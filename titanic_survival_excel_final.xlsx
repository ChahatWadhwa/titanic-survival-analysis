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activeTab="3"/>
  </bookViews>
  <sheets>
    <sheet name="train_raw" sheetId="4" r:id="rId1"/>
    <sheet name="Worksheet" sheetId="1" r:id="rId2"/>
    <sheet name="Pivot Tables" sheetId="7" r:id="rId3"/>
    <sheet name="Dashboard" sheetId="5" r:id="rId4"/>
    <sheet name="notes" sheetId="2" r:id="rId5"/>
  </sheets>
  <definedNames>
    <definedName name="_xlnm._FilterDatabase" localSheetId="1" hidden="1">Worksheet!$A$1:$S$892</definedName>
  </definedNames>
  <calcPr calcId="191029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<sst xmlns="http://schemas.openxmlformats.org/spreadsheetml/2006/main" count="8282" uniqueCount="2758">
  <si>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</si>
  <si>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</si>
  <si>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</si>
  <si>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</si>
  <si>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</si>
  <si>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</si>
  <si>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</si>
  <si>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</si>
  <si>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</si>
  <si>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</si>
  <si>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</si>
  <si>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</si>
  <si>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</si>
  <si>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</si>
  <si>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</si>
  <si>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</si>
  <si>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</si>
  <si>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</si>
  <si>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</si>
  <si>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</si>
  <si>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</si>
  <si>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</si>
  <si>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</si>
  <si>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</si>
  <si>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</si>
  <si>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</si>
  <si>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</si>
  <si>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\N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</si>
  <si>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</si>
  <si>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</si>
  <si>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</si>
  <si>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</si>
  <si>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</si>
  <si>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</si>
  <si>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</si>
  <si>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</si>
  <si>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</si>
  <si>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</si>
  <si>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</si>
  <si>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</si>
  <si>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</si>
  <si>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</si>
  <si>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</si>
  <si>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</si>
  <si>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</si>
  <si>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</si>
  <si>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</si>
  <si>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</si>
  <si>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</si>
  <si>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</si>
  <si>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</si>
  <si>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</si>
  <si>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</si>
  <si>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</si>
  <si>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</si>
  <si>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</si>
  <si>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</si>
  <si>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</si>
  <si>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</si>
  <si>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</si>
  <si>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</si>
  <si>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</si>
  <si>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</si>
  <si>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</si>
  <si>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</si>
  <si>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</si>
  <si>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</si>
  <si>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</si>
  <si>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</si>
  <si>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</si>
  <si>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</si>
  <si>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</si>
  <si>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</si>
  <si>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</si>
  <si>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</si>
  <si>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</si>
  <si>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</si>
  <si>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</si>
  <si>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</si>
  <si>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</si>
  <si>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</si>
  <si>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</si>
  <si>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</si>
  <si>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</si>
  <si>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</si>
  <si>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</si>
  <si>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</si>
  <si>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</si>
  <si>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</si>
  <si>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</si>
  <si>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</si>
  <si>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</si>
  <si>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</si>
  <si>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</si>
  <si>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</si>
  <si>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</si>
  <si>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</si>
  <si>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</si>
  <si>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</si>
  <si>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</si>
  <si>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</si>
  <si>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</si>
  <si>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</si>
  <si>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</si>
  <si>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</si>
  <si>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</si>
  <si>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</si>
  <si>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</si>
  <si>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</si>
  <si>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</si>
  <si>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</si>
  <si>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</si>
  <si>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</si>
  <si>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</si>
  <si>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</si>
  <si>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</si>
  <si>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</si>
  <si>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</si>
  <si>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</si>
  <si>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</si>
  <si>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</si>
  <si>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</si>
  <si>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</si>
  <si>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</si>
  <si>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</si>
  <si>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</si>
  <si>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</si>
  <si>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</si>
  <si>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</si>
  <si>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</si>
  <si>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</si>
  <si>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</si>
  <si>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</si>
  <si>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</si>
  <si>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</si>
  <si>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</si>
  <si>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</si>
  <si>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</si>
  <si>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</si>
  <si>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</si>
  <si>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</si>
  <si>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</si>
  <si>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</si>
  <si>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</si>
  <si>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</si>
  <si>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</si>
  <si>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</si>
  <si>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</si>
  <si>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</si>
  <si>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</si>
  <si>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</si>
  <si>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</si>
  <si>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</si>
  <si>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</si>
  <si>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</si>
  <si>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</si>
  <si>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</si>
  <si>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</si>
  <si>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</si>
  <si>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</si>
  <si>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</si>
  <si>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</si>
  <si>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</si>
  <si>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</si>
  <si>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</si>
  <si>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</si>
  <si>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</si>
  <si>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</si>
  <si>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</si>
  <si>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</si>
  <si>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</si>
  <si>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</si>
  <si>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</si>
  <si>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</si>
  <si>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</si>
  <si>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</si>
  <si>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</si>
  <si>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</si>
  <si>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</si>
  <si>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</si>
  <si>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</si>
  <si>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</si>
  <si>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</si>
  <si>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</si>
  <si>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</si>
  <si>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</si>
  <si>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</si>
  <si>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</si>
  <si>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</si>
  <si>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</si>
  <si>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</si>
  <si>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</si>
  <si>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</si>
  <si>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</si>
  <si>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</si>
  <si>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</si>
  <si>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</si>
  <si>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</si>
  <si>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</si>
  <si>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</si>
  <si>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</si>
  <si>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</si>
  <si>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</si>
  <si>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</si>
  <si>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</si>
  <si>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</si>
  <si>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</si>
  <si>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</si>
  <si>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</si>
  <si>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</si>
  <si>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</si>
  <si>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</si>
  <si>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</si>
  <si>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</si>
  <si>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</si>
  <si>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</si>
  <si>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</si>
  <si>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</si>
  <si>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</si>
  <si>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</si>
  <si>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</si>
  <si>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</si>
  <si>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</si>
  <si>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</si>
  <si>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</si>
  <si>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</si>
  <si>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</si>
  <si>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</si>
  <si>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</si>
  <si>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</si>
  <si>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</si>
  <si>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</si>
  <si>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</si>
  <si>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</si>
  <si>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</si>
  <si>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</si>
  <si>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</si>
  <si>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</si>
  <si>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</si>
  <si>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</si>
  <si>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</si>
  <si>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</si>
  <si>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</si>
  <si>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</si>
  <si>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</si>
  <si>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</si>
  <si>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</si>
  <si>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</si>
  <si>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</si>
  <si>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</si>
  <si>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</si>
  <si>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</si>
  <si>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</si>
  <si>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</si>
  <si>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</si>
  <si>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</si>
  <si>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</si>
  <si>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</si>
  <si>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</si>
  <si>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</si>
  <si>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</si>
  <si>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</si>
  <si>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</si>
  <si>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</si>
  <si>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</si>
  <si>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</si>
  <si>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</si>
  <si>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</si>
  <si>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</si>
  <si>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</si>
  <si>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</si>
  <si>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</si>
  <si>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</si>
  <si>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</si>
  <si>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</si>
  <si>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</si>
  <si>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</si>
  <si>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</si>
  <si>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</si>
  <si>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</si>
  <si>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</si>
  <si>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</si>
  <si>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</si>
  <si>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</si>
  <si>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</si>
  <si>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</si>
  <si>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</si>
  <si>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</si>
  <si>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</si>
  <si>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</si>
  <si>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</si>
  <si>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</si>
  <si>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</si>
  <si>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</si>
  <si>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</si>
  <si>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</si>
  <si>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</si>
  <si>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</si>
  <si>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</si>
  <si>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</si>
  <si>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</si>
  <si>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</si>
  <si>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</si>
  <si>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</si>
  <si>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</si>
  <si>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</si>
  <si>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</si>
  <si>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</si>
  <si>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</si>
  <si>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</si>
  <si>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</si>
  <si>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</si>
  <si>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</si>
  <si>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</si>
  <si>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</si>
  <si>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</si>
  <si>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</si>
  <si>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</si>
  <si>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</si>
  <si>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</si>
  <si>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</si>
  <si>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</si>
  <si>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</si>
  <si>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</si>
  <si>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</si>
  <si>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</si>
  <si>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</si>
  <si>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</si>
  <si>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</si>
  <si>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</si>
  <si>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</si>
  <si>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</si>
  <si>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</si>
  <si>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</si>
  <si>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</si>
  <si>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</si>
  <si>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</si>
  <si>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</si>
  <si>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</si>
  <si>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</si>
  <si>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</si>
  <si>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</si>
  <si>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</si>
  <si>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</si>
  <si>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</si>
  <si>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</si>
  <si>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</si>
  <si>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</si>
  <si>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</si>
  <si>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</si>
  <si>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</si>
  <si>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</si>
  <si>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</si>
  <si>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</si>
  <si>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</si>
  <si>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</si>
  <si>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</si>
  <si>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</si>
  <si>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</si>
  <si>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</si>
  <si>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</si>
  <si>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</si>
  <si>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</si>
  <si>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</si>
  <si>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</si>
  <si>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</si>
  <si>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</si>
  <si>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</si>
  <si>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</si>
  <si>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</si>
  <si>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</si>
  <si>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</si>
  <si>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</si>
  <si>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</si>
  <si>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</si>
  <si>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</si>
  <si>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</si>
  <si>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</si>
  <si>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</si>
  <si>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</si>
  <si>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</si>
  <si>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</si>
  <si>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</si>
  <si>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</si>
  <si>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</si>
  <si>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</si>
  <si>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</si>
  <si>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</si>
  <si>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</si>
  <si>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</si>
  <si>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</si>
  <si>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</si>
  <si>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</si>
  <si>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</si>
  <si>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</si>
  <si>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</si>
  <si>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</si>
  <si>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</si>
  <si>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</si>
  <si>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</si>
  <si>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</si>
  <si>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</si>
  <si>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</si>
  <si>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</si>
  <si>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</si>
  <si>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</si>
  <si>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</si>
  <si>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</si>
  <si>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</si>
  <si>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</si>
  <si>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</si>
  <si>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</si>
  <si>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</si>
  <si>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</si>
  <si>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</si>
  <si>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</si>
  <si>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</si>
  <si>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</si>
  <si>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</si>
  <si>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</si>
  <si>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</si>
  <si>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</si>
  <si>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</si>
  <si>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</si>
  <si>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</si>
  <si>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</si>
  <si>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</si>
  <si>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</si>
  <si>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</si>
  <si>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</si>
  <si>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</si>
  <si>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</si>
  <si>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</si>
  <si>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</si>
  <si>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</si>
  <si>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</si>
  <si>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</si>
  <si>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</si>
  <si>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</si>
  <si>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</si>
  <si>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</si>
  <si>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</si>
  <si>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</si>
  <si>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</si>
  <si>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</si>
  <si>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</si>
  <si>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</si>
  <si>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</si>
  <si>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</si>
  <si>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</si>
  <si>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</si>
  <si>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</si>
  <si>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</si>
  <si>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</si>
  <si>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</si>
  <si>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</si>
  <si>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</si>
  <si>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</si>
  <si>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</si>
  <si>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</si>
  <si>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</si>
  <si>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</si>
  <si>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</si>
  <si>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</si>
  <si>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</si>
  <si>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</si>
  <si>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</si>
  <si>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</si>
  <si>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</si>
  <si>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</si>
  <si>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</si>
  <si>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</si>
  <si>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</si>
  <si>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</si>
  <si>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</si>
  <si>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</si>
  <si>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</si>
  <si>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</si>
  <si>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</si>
  <si>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</si>
  <si>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</si>
  <si>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</si>
  <si>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</si>
  <si>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</si>
  <si>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</si>
  <si>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</si>
  <si>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</si>
  <si>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</si>
  <si>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</si>
  <si>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</si>
  <si>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</si>
  <si>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</si>
  <si>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</si>
  <si>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</si>
  <si>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</si>
  <si>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</si>
  <si>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</si>
  <si>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</si>
  <si>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</si>
  <si>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</si>
  <si>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</si>
  <si>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</si>
  <si>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</si>
  <si>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</si>
  <si>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</si>
  <si>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</si>
  <si>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</si>
  <si>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</si>
  <si>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</si>
  <si>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</si>
  <si>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</si>
  <si>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</si>
  <si>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</si>
  <si>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</si>
  <si>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</si>
  <si>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</si>
  <si>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</si>
  <si>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</si>
  <si>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</si>
  <si>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</si>
  <si>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</si>
  <si>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</si>
  <si>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</si>
  <si>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</si>
  <si>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</si>
  <si>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</si>
  <si>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</si>
  <si>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</si>
  <si>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</si>
  <si>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</si>
  <si>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</si>
  <si>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</si>
  <si>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</si>
  <si>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</si>
  <si>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</si>
  <si>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</si>
  <si>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</si>
  <si>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</si>
  <si>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</si>
  <si>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</si>
  <si>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</si>
  <si>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</si>
  <si>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</si>
  <si>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</si>
  <si>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</si>
  <si>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</si>
  <si>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</si>
  <si>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</si>
  <si>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</si>
  <si>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</si>
  <si>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</si>
  <si>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</si>
  <si>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</si>
  <si>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</si>
  <si>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</si>
  <si>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</si>
  <si>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</si>
  <si>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</si>
  <si>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</si>
  <si>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</si>
  <si>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</si>
  <si>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</si>
  <si>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</si>
  <si>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</si>
  <si>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</si>
  <si>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</si>
  <si>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</si>
  <si>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</si>
  <si>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</si>
  <si>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</si>
  <si>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</si>
  <si>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</si>
  <si>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</si>
  <si>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</si>
  <si>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</si>
  <si>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</si>
  <si>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</si>
  <si>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</si>
  <si>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</si>
  <si>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</si>
  <si>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</si>
  <si>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</si>
  <si>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</si>
  <si>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</si>
  <si>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</si>
  <si>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</si>
  <si>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</si>
  <si>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</si>
  <si>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</si>
  <si>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</si>
  <si>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</si>
  <si>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</si>
  <si>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</si>
  <si>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</si>
  <si>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</si>
  <si>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</si>
  <si>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</si>
  <si>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</si>
  <si>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</si>
  <si>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</si>
  <si>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</si>
  <si>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</si>
  <si>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</si>
  <si>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</si>
  <si>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</si>
  <si>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</si>
  <si>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</si>
  <si>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</si>
  <si>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</si>
  <si>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</si>
  <si>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</si>
  <si>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</si>
  <si>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</si>
  <si>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</si>
  <si>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</si>
  <si>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</si>
  <si>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</si>
  <si>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</si>
  <si>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</si>
  <si>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</si>
  <si>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</si>
  <si>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</si>
  <si>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</si>
  <si>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</si>
  <si>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</si>
  <si>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</si>
  <si>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</si>
  <si>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</si>
  <si>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</si>
  <si>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</si>
  <si>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</si>
  <si>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</si>
  <si>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</si>
  <si>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</si>
  <si>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</si>
  <si>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</si>
  <si>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</si>
  <si>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</si>
  <si>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</si>
  <si>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</si>
  <si>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</si>
  <si>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</si>
  <si>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</si>
  <si>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</si>
  <si>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</si>
  <si>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</si>
  <si>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</si>
  <si>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</si>
  <si>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</si>
  <si>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</si>
  <si>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</si>
  <si>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</si>
  <si>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</si>
  <si>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</si>
  <si>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</si>
  <si>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</si>
  <si>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</si>
  <si>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</si>
  <si>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</si>
  <si>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</si>
  <si>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</si>
  <si>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</si>
  <si>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</si>
  <si>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</si>
  <si>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</si>
  <si>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</si>
  <si>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</si>
  <si>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</si>
  <si>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</si>
  <si>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</si>
  <si>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</si>
  <si>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</si>
  <si>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</si>
  <si>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</si>
  <si>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</si>
  <si>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</si>
  <si>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</si>
  <si>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</si>
  <si>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</si>
  <si>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</si>
  <si>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</si>
  <si>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</si>
  <si>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</si>
  <si>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</si>
  <si>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</si>
  <si>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</si>
  <si>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</si>
  <si>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</si>
  <si>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</si>
  <si>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</si>
  <si>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</si>
  <si>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</si>
  <si>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</si>
  <si>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</si>
  <si>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</si>
  <si>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</si>
  <si>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</si>
  <si>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</si>
  <si>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</si>
  <si>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</si>
  <si>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</si>
  <si>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</si>
  <si>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</si>
  <si>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</si>
  <si>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</si>
  <si>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</si>
  <si>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</si>
  <si>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</si>
  <si>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</si>
  <si>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</si>
  <si>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</si>
  <si>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</si>
  <si>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</si>
  <si>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</si>
  <si>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</si>
  <si>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</si>
  <si>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</si>
  <si>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</si>
  <si>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</si>
  <si>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</si>
  <si>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</si>
  <si>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</si>
  <si>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</si>
  <si>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</si>
  <si>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</si>
  <si>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</si>
  <si>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</si>
  <si>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</si>
  <si>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</si>
  <si>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</si>
  <si>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</si>
  <si>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</si>
  <si>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</si>
  <si>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</si>
  <si>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</si>
  <si>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</si>
  <si>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</si>
  <si>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</si>
  <si>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</si>
  <si>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</si>
  <si>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</si>
  <si>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</si>
  <si>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</si>
  <si>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</si>
  <si>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</si>
  <si>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</si>
  <si>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</si>
  <si>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</si>
  <si>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</si>
  <si>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</si>
  <si>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</si>
  <si>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</si>
  <si>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</si>
  <si>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</si>
  <si>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</si>
  <si>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</si>
  <si>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</si>
  <si>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</si>
  <si>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</si>
  <si>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</si>
  <si>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</si>
  <si>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</si>
  <si>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</si>
  <si>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</si>
  <si>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</si>
  <si>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</si>
  <si>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</si>
  <si>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</si>
  <si>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</si>
  <si>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</si>
  <si>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</si>
  <si>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</si>
  <si>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</si>
  <si>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</si>
  <si>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</si>
  <si>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</si>
  <si>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</si>
  <si>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</si>
  <si>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</si>
  <si>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</si>
  <si>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</si>
  <si>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</si>
  <si>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</si>
  <si>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</si>
  <si>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</si>
  <si>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</si>
  <si>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</si>
  <si>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</si>
  <si>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</si>
  <si>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</si>
  <si>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</si>
  <si>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</si>
  <si>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</si>
  <si>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</si>
  <si>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</si>
  <si>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</si>
  <si>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</si>
  <si>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</si>
  <si>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</si>
  <si>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</si>
  <si>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</si>
  <si>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</si>
  <si>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</si>
  <si>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</si>
  <si>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</si>
  <si>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</si>
  <si>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</si>
  <si>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</si>
  <si>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</si>
  <si>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</si>
  <si>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</si>
  <si>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</si>
  <si>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</si>
  <si>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</si>
  <si>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</si>
  <si>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</si>
  <si>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</si>
  <si>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</si>
  <si>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</si>
  <si>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</si>
  <si>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</si>
  <si>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</si>
  <si>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</si>
  <si>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</si>
  <si>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</si>
  <si>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</si>
  <si>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</si>
  <si>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</si>
  <si>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</si>
  <si>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</si>
  <si>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</si>
  <si>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</si>
  <si>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</si>
  <si>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</si>
  <si>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</si>
  <si>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</si>
  <si>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</si>
  <si>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</si>
  <si>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</si>
  <si>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</si>
  <si>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</si>
  <si>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</si>
  <si>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</si>
  <si>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</si>
  <si>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</si>
  <si>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</si>
  <si>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</si>
  <si>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</si>
  <si>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</si>
  <si>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</si>
  <si>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</si>
  <si>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</si>
  <si>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</si>
  <si>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</si>
  <si>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</si>
  <si>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</si>
  <si>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</si>
  <si>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</si>
  <si>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</si>
  <si>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</si>
  <si>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</si>
  <si>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</si>
  <si>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</si>
  <si>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</si>
  <si>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</si>
  <si>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</si>
  <si>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</si>
  <si>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</si>
  <si>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</si>
  <si>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</si>
  <si>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</si>
  <si>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</si>
  <si>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</si>
  <si>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</si>
  <si>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</si>
  <si>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</si>
  <si>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</si>
  <si>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</si>
  <si>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</si>
  <si>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</si>
  <si>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</si>
  <si>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</si>
  <si>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</si>
  <si>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</si>
  <si>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</si>
  <si>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</si>
  <si>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</si>
  <si>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</si>
  <si>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</si>
  <si>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</si>
  <si>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</si>
  <si>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</si>
  <si>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</si>
  <si>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</si>
  <si>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</si>
  <si>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</si>
  <si>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</si>
  <si>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</si>
  <si>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</si>
  <si>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</si>
  <si>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</si>
  <si>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</si>
  <si>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</si>
  <si>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</si>
  <si>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</si>
  <si>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</si>
  <si>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</si>
  <si>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</si>
  <si>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</si>
  <si>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</si>
  <si>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</si>
  <si>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</si>
  <si>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</si>
  <si>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</si>
  <si>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</si>
  <si>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</si>
  <si>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</si>
  <si>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</si>
  <si>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</si>
  <si>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</si>
  <si>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</si>
  <si>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</si>
  <si>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</si>
  <si>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</si>
  <si>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</si>
  <si>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</si>
  <si>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</si>
  <si>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</si>
  <si>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</si>
  <si>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</si>
  <si>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</si>
  <si>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</si>
  <si>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</si>
  <si>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</si>
  <si>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</si>
  <si>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</si>
  <si>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</si>
  <si>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</si>
  <si>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</si>
  <si>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</si>
  <si>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</si>
  <si>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</si>
  <si>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</si>
  <si>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</si>
  <si>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</si>
  <si>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</si>
  <si>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</si>
  <si>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</si>
  <si>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</si>
  <si>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</si>
  <si>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</si>
  <si>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</si>
  <si>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</si>
  <si>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</si>
  <si>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</si>
  <si>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</si>
  <si>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</si>
  <si>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</si>
  <si>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</si>
  <si>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</si>
  <si>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</si>
  <si>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</si>
  <si>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</si>
  <si>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</si>
  <si>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</si>
  <si>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</si>
  <si>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</si>
  <si>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</si>
  <si>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</si>
  <si>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</si>
  <si>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</si>
  <si>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</si>
  <si>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</si>
  <si>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</si>
  <si>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</si>
  <si>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</si>
  <si>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</si>
  <si>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</si>
  <si>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</si>
  <si>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</si>
  <si>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</si>
  <si>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</si>
  <si>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</si>
  <si>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</si>
  <si>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</si>
  <si>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</si>
  <si>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</si>
  <si>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</si>
  <si>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</si>
  <si>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</si>
  <si>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</si>
  <si>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</si>
  <si>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</si>
  <si>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</si>
  <si>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</si>
  <si>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</si>
  <si>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</si>
  <si>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</si>
  <si>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</si>
  <si>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</si>
  <si>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</si>
  <si>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</si>
  <si>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</si>
  <si>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</si>
  <si>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</si>
  <si>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</si>
  <si>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</si>
  <si>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</si>
  <si>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</si>
  <si>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</si>
  <si>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</si>
  <si>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</si>
  <si>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</si>
  <si>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</si>
  <si>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</si>
  <si>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</si>
  <si>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</si>
  <si>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</si>
  <si>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</si>
  <si>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</si>
  <si>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</si>
  <si>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</si>
  <si>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</si>
  <si>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</si>
  <si>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</si>
  <si>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</si>
  <si>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</si>
  <si>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</si>
  <si>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</si>
  <si>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</si>
  <si>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</si>
  <si>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</si>
  <si>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</si>
  <si>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</si>
  <si>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</si>
  <si>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</si>
  <si>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</si>
  <si>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</si>
  <si>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</si>
  <si>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</si>
  <si>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</si>
  <si>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</si>
  <si>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</si>
  <si>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</si>
  <si>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</si>
  <si>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</si>
  <si>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</si>
  <si>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</si>
  <si>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</si>
  <si>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</si>
  <si>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</si>
  <si>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</si>
  <si>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</si>
  <si>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</si>
  <si>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</si>
  <si>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</si>
  <si>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</si>
  <si>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</si>
  <si>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</si>
  <si>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</si>
  <si>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</si>
  <si>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</si>
  <si>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</si>
  <si>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</si>
  <si>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</si>
  <si>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</si>
  <si>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</si>
  <si>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</si>
  <si>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</si>
  <si>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</si>
  <si>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</si>
  <si>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</si>
  <si>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</si>
  <si>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</si>
  <si>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</si>
  <si>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</si>
  <si>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</si>
  <si>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</si>
  <si>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</si>
  <si>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</si>
  <si>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</si>
  <si>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</si>
  <si>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</si>
  <si>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</si>
  <si>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</si>
  <si>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</si>
  <si>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</si>
  <si>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</si>
  <si>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</si>
  <si>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</si>
  <si>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</si>
  <si>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</si>
  <si>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</si>
  <si>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</si>
  <si>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</si>
  <si>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</si>
  <si>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</si>
  <si>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</si>
  <si>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</si>
  <si>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</si>
  <si>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</si>
  <si>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</si>
  <si>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</si>
  <si>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</si>
  <si>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</si>
  <si>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</si>
  <si>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</si>
  <si>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</si>
  <si>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</si>
  <si>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</si>
  <si>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</si>
  <si>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</si>
  <si>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</si>
  <si>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</si>
  <si>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</si>
  <si>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</si>
  <si>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</si>
  <si>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</si>
  <si>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</si>
  <si>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</si>
  <si>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</si>
  <si>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</si>
  <si>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</si>
  <si>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</si>
  <si>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</si>
  <si>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</si>
  <si>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</si>
  <si>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</si>
  <si>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</si>
  <si>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</si>
  <si>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</si>
  <si>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</si>
  <si>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</si>
  <si>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</si>
  <si>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</si>
  <si>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</si>
  <si>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</si>
  <si>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</si>
  <si>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</si>
  <si>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</si>
  <si>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</si>
  <si>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</si>
  <si>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</si>
  <si>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</si>
  <si>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</si>
  <si>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</si>
  <si>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</si>
  <si>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</si>
  <si>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</si>
  <si>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</si>
  <si>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</si>
  <si>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</si>
  <si>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</si>
  <si>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</si>
  <si>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</si>
  <si>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</si>
  <si>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</si>
  <si>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</si>
  <si>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</si>
  <si>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</si>
  <si>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</si>
  <si>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</si>
  <si>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</si>
  <si>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</si>
  <si>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</si>
  <si>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</si>
  <si>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</si>
  <si>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</si>
  <si>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</si>
  <si>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</si>
  <si>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</si>
  <si>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</si>
  <si>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</si>
  <si>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</si>
  <si>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</si>
  <si>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</si>
  <si>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</si>
  <si>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</si>
  <si>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</si>
  <si>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</si>
  <si>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</si>
  <si>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</si>
  <si>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</si>
  <si>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</si>
  <si>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</si>
  <si>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</si>
  <si>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</si>
  <si>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</si>
  <si>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</si>
  <si>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</si>
  <si>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</si>
  <si>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</si>
  <si>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</si>
  <si>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</si>
  <si>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</si>
  <si>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</si>
  <si>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</si>
  <si>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</si>
  <si>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</si>
  <si>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</si>
  <si>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</si>
  <si>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</si>
  <si>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</si>
  <si>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</si>
  <si>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</si>
  <si>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</si>
  <si>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</si>
  <si>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</si>
  <si>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</si>
  <si>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</si>
  <si>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</si>
  <si>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</si>
  <si>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</si>
  <si>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</si>
  <si>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</si>
  <si>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</si>
  <si>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</si>
  <si>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</si>
  <si>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</si>
  <si>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</si>
  <si>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</si>
  <si>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</si>
  <si>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</si>
  <si>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Last_Name</t>
  </si>
  <si>
    <t>First_Name</t>
  </si>
  <si>
    <t>Title</t>
  </si>
  <si>
    <t>Gender</t>
  </si>
  <si>
    <t>Age_Group</t>
  </si>
  <si>
    <t>Family_Size</t>
  </si>
  <si>
    <t>Survival_Status</t>
  </si>
  <si>
    <t>Family_Category</t>
  </si>
  <si>
    <t>Fare Fraction</t>
  </si>
  <si>
    <t>Embark_Point</t>
  </si>
  <si>
    <t>Braund</t>
  </si>
  <si>
    <t xml:space="preserve"> Owen Harris</t>
  </si>
  <si>
    <t>Mr</t>
  </si>
  <si>
    <t>Unknown</t>
  </si>
  <si>
    <t>Cumings</t>
  </si>
  <si>
    <t xml:space="preserve"> John Bradley (Florence Briggs Thayer)</t>
  </si>
  <si>
    <t>Mrs</t>
  </si>
  <si>
    <t>Heikkinen</t>
  </si>
  <si>
    <t xml:space="preserve"> Laina</t>
  </si>
  <si>
    <t>Miss</t>
  </si>
  <si>
    <t>Futrelle</t>
  </si>
  <si>
    <t xml:space="preserve"> Jacques Heath (Lily May Peel)</t>
  </si>
  <si>
    <t>Allen</t>
  </si>
  <si>
    <t xml:space="preserve"> William Henry</t>
  </si>
  <si>
    <t>Moran</t>
  </si>
  <si>
    <t xml:space="preserve"> James</t>
  </si>
  <si>
    <t>McCarthy</t>
  </si>
  <si>
    <t xml:space="preserve"> Timothy J</t>
  </si>
  <si>
    <t>Palsson</t>
  </si>
  <si>
    <t xml:space="preserve"> Gosta Leonard</t>
  </si>
  <si>
    <t>Master</t>
  </si>
  <si>
    <t>Johnson</t>
  </si>
  <si>
    <t xml:space="preserve"> Oscar W (Elisabeth Vilhelmina Berg)</t>
  </si>
  <si>
    <t>Nasser</t>
  </si>
  <si>
    <t xml:space="preserve"> Nicholas (Adele Achem)</t>
  </si>
  <si>
    <t>Sandstrom</t>
  </si>
  <si>
    <t xml:space="preserve"> Marguerite Rut</t>
  </si>
  <si>
    <t>Bonnell</t>
  </si>
  <si>
    <t xml:space="preserve"> Elizabeth</t>
  </si>
  <si>
    <t>Saundercock</t>
  </si>
  <si>
    <t>Andersson</t>
  </si>
  <si>
    <t xml:space="preserve"> Anders Johan</t>
  </si>
  <si>
    <t>Vestrom</t>
  </si>
  <si>
    <t xml:space="preserve"> Hulda Amanda Adolfina</t>
  </si>
  <si>
    <t>Hewlett</t>
  </si>
  <si>
    <t xml:space="preserve"> (Mary D Kingcome) </t>
  </si>
  <si>
    <t>Rice</t>
  </si>
  <si>
    <t xml:space="preserve"> Eugene</t>
  </si>
  <si>
    <t>Williams</t>
  </si>
  <si>
    <t xml:space="preserve"> Charles Eugene</t>
  </si>
  <si>
    <t>Vander Planke</t>
  </si>
  <si>
    <t xml:space="preserve"> Julius (Emelia Maria Vandemoortele)</t>
  </si>
  <si>
    <t>Masselmani</t>
  </si>
  <si>
    <t xml:space="preserve"> Fatima</t>
  </si>
  <si>
    <t>Fynney</t>
  </si>
  <si>
    <t xml:space="preserve"> Joseph J</t>
  </si>
  <si>
    <t>Beesley</t>
  </si>
  <si>
    <t xml:space="preserve"> Lawrence</t>
  </si>
  <si>
    <t>McGowan</t>
  </si>
  <si>
    <t xml:space="preserve"> Anna "Annie"</t>
  </si>
  <si>
    <t>Sloper</t>
  </si>
  <si>
    <t xml:space="preserve"> William Thompson</t>
  </si>
  <si>
    <t xml:space="preserve"> Torborg Danira</t>
  </si>
  <si>
    <t>Asplund</t>
  </si>
  <si>
    <t xml:space="preserve"> Carl Oscar (Selma Augusta Emilia Johansson)</t>
  </si>
  <si>
    <t>Emir</t>
  </si>
  <si>
    <t xml:space="preserve"> Farred Chehab</t>
  </si>
  <si>
    <t>Fortune</t>
  </si>
  <si>
    <t xml:space="preserve"> Charles Alexander</t>
  </si>
  <si>
    <t>O'Dwyer</t>
  </si>
  <si>
    <t xml:space="preserve"> Ellen "Nellie"</t>
  </si>
  <si>
    <t>Todoroff</t>
  </si>
  <si>
    <t xml:space="preserve"> Lalio</t>
  </si>
  <si>
    <t>Uruchurtu</t>
  </si>
  <si>
    <t xml:space="preserve"> Manuel E</t>
  </si>
  <si>
    <t>Don</t>
  </si>
  <si>
    <t>Spencer</t>
  </si>
  <si>
    <t xml:space="preserve"> William Augustus (Marie Eugenie)</t>
  </si>
  <si>
    <t>Glynn</t>
  </si>
  <si>
    <t xml:space="preserve"> Mary Agatha</t>
  </si>
  <si>
    <t>Wheadon</t>
  </si>
  <si>
    <t xml:space="preserve"> Edward H</t>
  </si>
  <si>
    <t>Meyer</t>
  </si>
  <si>
    <t xml:space="preserve"> Edgar Joseph</t>
  </si>
  <si>
    <t>Holverson</t>
  </si>
  <si>
    <t xml:space="preserve"> Alexander Oskar</t>
  </si>
  <si>
    <t>Mamee</t>
  </si>
  <si>
    <t xml:space="preserve"> Hanna</t>
  </si>
  <si>
    <t>Cann</t>
  </si>
  <si>
    <t xml:space="preserve"> Ernest Charles</t>
  </si>
  <si>
    <t xml:space="preserve"> Augusta Maria</t>
  </si>
  <si>
    <t>Nicola-Yarred</t>
  </si>
  <si>
    <t xml:space="preserve"> Jamila</t>
  </si>
  <si>
    <t>Ahlin</t>
  </si>
  <si>
    <t xml:space="preserve"> Johan (Johanna Persdotter Larsson)</t>
  </si>
  <si>
    <t>Turpin</t>
  </si>
  <si>
    <t xml:space="preserve"> William John Robert (Dorothy Ann Wonnacott)</t>
  </si>
  <si>
    <t>Kraeff</t>
  </si>
  <si>
    <t xml:space="preserve"> Theodor</t>
  </si>
  <si>
    <t>Laroche</t>
  </si>
  <si>
    <t xml:space="preserve"> Simonne Marie Anne Andree</t>
  </si>
  <si>
    <t>Devaney</t>
  </si>
  <si>
    <t xml:space="preserve"> Margaret Delia</t>
  </si>
  <si>
    <t>Rogers</t>
  </si>
  <si>
    <t xml:space="preserve"> William John</t>
  </si>
  <si>
    <t>Lennon</t>
  </si>
  <si>
    <t xml:space="preserve"> Denis</t>
  </si>
  <si>
    <t>O'Driscoll</t>
  </si>
  <si>
    <t xml:space="preserve"> Bridget</t>
  </si>
  <si>
    <t>Samaan</t>
  </si>
  <si>
    <t xml:space="preserve"> Youssef</t>
  </si>
  <si>
    <t>Arnold-Franchi</t>
  </si>
  <si>
    <t xml:space="preserve"> Josef (Josefine Franchi)</t>
  </si>
  <si>
    <t>Panula</t>
  </si>
  <si>
    <t xml:space="preserve"> Juha Niilo</t>
  </si>
  <si>
    <t>Nosworthy</t>
  </si>
  <si>
    <t xml:space="preserve"> Richard Cater</t>
  </si>
  <si>
    <t>Harper</t>
  </si>
  <si>
    <t xml:space="preserve"> Henry Sleeper (Myna Haxtun)</t>
  </si>
  <si>
    <t>Faunthorpe</t>
  </si>
  <si>
    <t xml:space="preserve"> Lizzie (Elizabeth Anne Wilkinson)</t>
  </si>
  <si>
    <t>Ostby</t>
  </si>
  <si>
    <t xml:space="preserve"> Engelhart Cornelius</t>
  </si>
  <si>
    <t>Woolner</t>
  </si>
  <si>
    <t xml:space="preserve"> Hugh</t>
  </si>
  <si>
    <t>Rugg</t>
  </si>
  <si>
    <t xml:space="preserve"> Emily</t>
  </si>
  <si>
    <t>Novel</t>
  </si>
  <si>
    <t xml:space="preserve"> Mansouer</t>
  </si>
  <si>
    <t>West</t>
  </si>
  <si>
    <t xml:space="preserve"> Constance Mirium</t>
  </si>
  <si>
    <t>Goodwin</t>
  </si>
  <si>
    <t xml:space="preserve"> William Frederick</t>
  </si>
  <si>
    <t>Sirayanian</t>
  </si>
  <si>
    <t xml:space="preserve"> Orsen</t>
  </si>
  <si>
    <t>Icard</t>
  </si>
  <si>
    <t xml:space="preserve"> Amelie</t>
  </si>
  <si>
    <t>Harris</t>
  </si>
  <si>
    <t xml:space="preserve"> Henry Birkhardt</t>
  </si>
  <si>
    <t>Skoog</t>
  </si>
  <si>
    <t xml:space="preserve"> Harald</t>
  </si>
  <si>
    <t>Stewart</t>
  </si>
  <si>
    <t xml:space="preserve"> Albert A</t>
  </si>
  <si>
    <t>Moubarek</t>
  </si>
  <si>
    <t xml:space="preserve"> Gerios</t>
  </si>
  <si>
    <t>Nye</t>
  </si>
  <si>
    <t xml:space="preserve"> (Elizabeth Ramell)</t>
  </si>
  <si>
    <t>Crease</t>
  </si>
  <si>
    <t xml:space="preserve"> Ernest James</t>
  </si>
  <si>
    <t xml:space="preserve"> Erna Alexandra</t>
  </si>
  <si>
    <t>Kink</t>
  </si>
  <si>
    <t xml:space="preserve"> Vincenz</t>
  </si>
  <si>
    <t>Jenkin</t>
  </si>
  <si>
    <t xml:space="preserve"> Stephen Curnow</t>
  </si>
  <si>
    <t xml:space="preserve"> Lillian Amy</t>
  </si>
  <si>
    <t>Hood</t>
  </si>
  <si>
    <t xml:space="preserve"> Ambrose Jr</t>
  </si>
  <si>
    <t>Chronopoulos</t>
  </si>
  <si>
    <t xml:space="preserve"> Apostolos</t>
  </si>
  <si>
    <t>Bing</t>
  </si>
  <si>
    <t xml:space="preserve"> Lee</t>
  </si>
  <si>
    <t>Moen</t>
  </si>
  <si>
    <t xml:space="preserve"> Sigurd Hansen</t>
  </si>
  <si>
    <t>Staneff</t>
  </si>
  <si>
    <t xml:space="preserve"> Ivan</t>
  </si>
  <si>
    <t>Moutal</t>
  </si>
  <si>
    <t xml:space="preserve"> Rahamin Haim</t>
  </si>
  <si>
    <t>Caldwell</t>
  </si>
  <si>
    <t xml:space="preserve"> Alden Gates</t>
  </si>
  <si>
    <t>Dowdell</t>
  </si>
  <si>
    <t>Waelens</t>
  </si>
  <si>
    <t xml:space="preserve"> Achille</t>
  </si>
  <si>
    <t>Sheerlinck</t>
  </si>
  <si>
    <t xml:space="preserve"> Jan Baptist</t>
  </si>
  <si>
    <t>McDermott</t>
  </si>
  <si>
    <t xml:space="preserve"> Brigdet Delia</t>
  </si>
  <si>
    <t>Carrau</t>
  </si>
  <si>
    <t xml:space="preserve"> Francisco M</t>
  </si>
  <si>
    <t>Ilett</t>
  </si>
  <si>
    <t xml:space="preserve"> Bertha</t>
  </si>
  <si>
    <t>Backstrom</t>
  </si>
  <si>
    <t xml:space="preserve"> Karl Alfred (Maria Mathilda Gustafsson)</t>
  </si>
  <si>
    <t>Ford</t>
  </si>
  <si>
    <t xml:space="preserve"> William Neal</t>
  </si>
  <si>
    <t>Slocovski</t>
  </si>
  <si>
    <t xml:space="preserve"> Selman Francis</t>
  </si>
  <si>
    <t xml:space="preserve"> Mabel Helen</t>
  </si>
  <si>
    <t>Celotti</t>
  </si>
  <si>
    <t xml:space="preserve"> Francesco</t>
  </si>
  <si>
    <t>Christmann</t>
  </si>
  <si>
    <t xml:space="preserve"> Emil</t>
  </si>
  <si>
    <t>Andreasson</t>
  </si>
  <si>
    <t xml:space="preserve"> Paul Edvin</t>
  </si>
  <si>
    <t>Chaffee</t>
  </si>
  <si>
    <t xml:space="preserve"> Herbert Fuller</t>
  </si>
  <si>
    <t>Dean</t>
  </si>
  <si>
    <t xml:space="preserve"> Bertram Frank</t>
  </si>
  <si>
    <t>Coxon</t>
  </si>
  <si>
    <t xml:space="preserve"> Daniel</t>
  </si>
  <si>
    <t>Shorney</t>
  </si>
  <si>
    <t xml:space="preserve"> Charles Joseph</t>
  </si>
  <si>
    <t>Goldschmidt</t>
  </si>
  <si>
    <t xml:space="preserve"> George B</t>
  </si>
  <si>
    <t>Greenfield</t>
  </si>
  <si>
    <t xml:space="preserve"> William Bertram</t>
  </si>
  <si>
    <t>Doling</t>
  </si>
  <si>
    <t xml:space="preserve"> John T (Ada Julia Bone)</t>
  </si>
  <si>
    <t>Kantor</t>
  </si>
  <si>
    <t xml:space="preserve"> Sinai</t>
  </si>
  <si>
    <t>Petranec</t>
  </si>
  <si>
    <t xml:space="preserve"> Matilda</t>
  </si>
  <si>
    <t>Petroff</t>
  </si>
  <si>
    <t xml:space="preserve"> Pastcho ("Pentcho")</t>
  </si>
  <si>
    <t>White</t>
  </si>
  <si>
    <t xml:space="preserve"> Richard Frasar</t>
  </si>
  <si>
    <t>Johansson</t>
  </si>
  <si>
    <t xml:space="preserve"> Gustaf Joel</t>
  </si>
  <si>
    <t>Gustafsson</t>
  </si>
  <si>
    <t xml:space="preserve"> Anders Vilhelm</t>
  </si>
  <si>
    <t>Mionoff</t>
  </si>
  <si>
    <t xml:space="preserve"> Stoytcho</t>
  </si>
  <si>
    <t>Salkjelsvik</t>
  </si>
  <si>
    <t xml:space="preserve"> Anna Kristine</t>
  </si>
  <si>
    <t>Moss</t>
  </si>
  <si>
    <t xml:space="preserve"> Albert Johan</t>
  </si>
  <si>
    <t>Rekic</t>
  </si>
  <si>
    <t xml:space="preserve"> Tido</t>
  </si>
  <si>
    <t>Porter</t>
  </si>
  <si>
    <t xml:space="preserve"> Walter Chamberlain</t>
  </si>
  <si>
    <t>Zabour</t>
  </si>
  <si>
    <t xml:space="preserve"> Hileni</t>
  </si>
  <si>
    <t>Barton</t>
  </si>
  <si>
    <t xml:space="preserve"> David John</t>
  </si>
  <si>
    <t>Jussila</t>
  </si>
  <si>
    <t xml:space="preserve"> Katriina</t>
  </si>
  <si>
    <t>Attalah</t>
  </si>
  <si>
    <t xml:space="preserve"> Malake</t>
  </si>
  <si>
    <t>Pekoniemi</t>
  </si>
  <si>
    <t xml:space="preserve"> Edvard</t>
  </si>
  <si>
    <t>Connors</t>
  </si>
  <si>
    <t xml:space="preserve"> Patrick</t>
  </si>
  <si>
    <t xml:space="preserve"> William John Robert</t>
  </si>
  <si>
    <t>Baxter</t>
  </si>
  <si>
    <t xml:space="preserve"> Quigg Edmond</t>
  </si>
  <si>
    <t xml:space="preserve"> Ellis Anna Maria</t>
  </si>
  <si>
    <t>Hickman</t>
  </si>
  <si>
    <t xml:space="preserve"> Stanley George</t>
  </si>
  <si>
    <t>Moore</t>
  </si>
  <si>
    <t xml:space="preserve"> Leonard Charles</t>
  </si>
  <si>
    <t xml:space="preserve"> Nicholas</t>
  </si>
  <si>
    <t>Webber</t>
  </si>
  <si>
    <t xml:space="preserve"> Susan</t>
  </si>
  <si>
    <t xml:space="preserve"> Percival Wayland</t>
  </si>
  <si>
    <t xml:space="preserve"> Elias</t>
  </si>
  <si>
    <t>McMahon</t>
  </si>
  <si>
    <t xml:space="preserve"> Martin</t>
  </si>
  <si>
    <t>Madsen</t>
  </si>
  <si>
    <t xml:space="preserve"> Fridtjof Arne</t>
  </si>
  <si>
    <t>Peter</t>
  </si>
  <si>
    <t xml:space="preserve"> Anna</t>
  </si>
  <si>
    <t>Ekstrom</t>
  </si>
  <si>
    <t xml:space="preserve"> Johan</t>
  </si>
  <si>
    <t>Drazenoic</t>
  </si>
  <si>
    <t xml:space="preserve"> Jozef</t>
  </si>
  <si>
    <t>Coelho</t>
  </si>
  <si>
    <t xml:space="preserve"> Domingos Fernandeo</t>
  </si>
  <si>
    <t>Robins</t>
  </si>
  <si>
    <t xml:space="preserve"> Alexander A (Grace Charity Laury)</t>
  </si>
  <si>
    <t>Weisz</t>
  </si>
  <si>
    <t xml:space="preserve"> Leopold (Mathilde Francoise Pede)</t>
  </si>
  <si>
    <t>Sobey</t>
  </si>
  <si>
    <t xml:space="preserve"> Samuel James Hayden</t>
  </si>
  <si>
    <t>Richard</t>
  </si>
  <si>
    <t xml:space="preserve"> Emile</t>
  </si>
  <si>
    <t>Newsom</t>
  </si>
  <si>
    <t xml:space="preserve"> Helen Monypeny</t>
  </si>
  <si>
    <t xml:space="preserve"> Jacques Heath</t>
  </si>
  <si>
    <t>Osen</t>
  </si>
  <si>
    <t xml:space="preserve"> Olaf Elon</t>
  </si>
  <si>
    <t>Giglio</t>
  </si>
  <si>
    <t xml:space="preserve"> Victor</t>
  </si>
  <si>
    <t>Boulos</t>
  </si>
  <si>
    <t xml:space="preserve"> Joseph (Sultana)</t>
  </si>
  <si>
    <t>Nysten</t>
  </si>
  <si>
    <t xml:space="preserve"> Anna Sofia</t>
  </si>
  <si>
    <t>Hakkarainen</t>
  </si>
  <si>
    <t xml:space="preserve"> Pekka Pietari (Elin Matilda Dolck)</t>
  </si>
  <si>
    <t>Burke</t>
  </si>
  <si>
    <t xml:space="preserve"> Jeremiah</t>
  </si>
  <si>
    <t>Andrew</t>
  </si>
  <si>
    <t xml:space="preserve"> Edgardo Samuel</t>
  </si>
  <si>
    <t>Nicholls</t>
  </si>
  <si>
    <t xml:space="preserve"> Joseph Charles</t>
  </si>
  <si>
    <t xml:space="preserve"> August Edvard ("Wennerstrom")</t>
  </si>
  <si>
    <t xml:space="preserve"> Robina Maggie "Ruby"</t>
  </si>
  <si>
    <t>Navratil</t>
  </si>
  <si>
    <t xml:space="preserve"> Michel ("Louis M Hoffman")</t>
  </si>
  <si>
    <t>Byles</t>
  </si>
  <si>
    <t xml:space="preserve"> Thomas Roussel Davids</t>
  </si>
  <si>
    <t>Rev</t>
  </si>
  <si>
    <t>Bateman</t>
  </si>
  <si>
    <t xml:space="preserve"> Robert James</t>
  </si>
  <si>
    <t>Pears</t>
  </si>
  <si>
    <t xml:space="preserve"> Thomas (Edith Wearne)</t>
  </si>
  <si>
    <t>Meo</t>
  </si>
  <si>
    <t xml:space="preserve"> Alfonzo</t>
  </si>
  <si>
    <t>van Billiard</t>
  </si>
  <si>
    <t xml:space="preserve"> Austin Blyler</t>
  </si>
  <si>
    <t>Olsen</t>
  </si>
  <si>
    <t xml:space="preserve"> Ole Martin</t>
  </si>
  <si>
    <t xml:space="preserve"> Charles Duane</t>
  </si>
  <si>
    <t>Gilnagh</t>
  </si>
  <si>
    <t xml:space="preserve"> Katherine "Katie"</t>
  </si>
  <si>
    <t>Corn</t>
  </si>
  <si>
    <t xml:space="preserve"> Harry</t>
  </si>
  <si>
    <t>Smiljanic</t>
  </si>
  <si>
    <t xml:space="preserve"> Mile</t>
  </si>
  <si>
    <t>Sage</t>
  </si>
  <si>
    <t xml:space="preserve"> Thomas Henry</t>
  </si>
  <si>
    <t>Cribb</t>
  </si>
  <si>
    <t xml:space="preserve"> John Hatfield</t>
  </si>
  <si>
    <t>Watt</t>
  </si>
  <si>
    <t xml:space="preserve"> James (Elizabeth "Bessie" Inglis Milne)</t>
  </si>
  <si>
    <t>Bengtsson</t>
  </si>
  <si>
    <t xml:space="preserve"> John Viktor</t>
  </si>
  <si>
    <t>Calic</t>
  </si>
  <si>
    <t xml:space="preserve"> Jovo</t>
  </si>
  <si>
    <t xml:space="preserve"> Eino Viljami</t>
  </si>
  <si>
    <t>Goldsmith</t>
  </si>
  <si>
    <t xml:space="preserve"> Frank John William "Frankie"</t>
  </si>
  <si>
    <t>Chibnall</t>
  </si>
  <si>
    <t xml:space="preserve"> (Edith Martha Bowerman)</t>
  </si>
  <si>
    <t xml:space="preserve"> William (Anna Bernhardina Karlsson)</t>
  </si>
  <si>
    <t>Baumann</t>
  </si>
  <si>
    <t xml:space="preserve"> John D</t>
  </si>
  <si>
    <t>Ling</t>
  </si>
  <si>
    <t>Van der hoef</t>
  </si>
  <si>
    <t xml:space="preserve"> Wyckoff</t>
  </si>
  <si>
    <t xml:space="preserve"> Arthur</t>
  </si>
  <si>
    <t xml:space="preserve"> Eleanor Ileen</t>
  </si>
  <si>
    <t>Sivola</t>
  </si>
  <si>
    <t xml:space="preserve"> Antti Wilhelm</t>
  </si>
  <si>
    <t>Smith</t>
  </si>
  <si>
    <t xml:space="preserve"> James Clinch</t>
  </si>
  <si>
    <t>Klasen</t>
  </si>
  <si>
    <t xml:space="preserve"> Klas Albin</t>
  </si>
  <si>
    <t>Lefebre</t>
  </si>
  <si>
    <t xml:space="preserve"> Henry Forbes</t>
  </si>
  <si>
    <t>Isham</t>
  </si>
  <si>
    <t xml:space="preserve"> Ann Elizabeth</t>
  </si>
  <si>
    <t>Hale</t>
  </si>
  <si>
    <t xml:space="preserve"> Reginald</t>
  </si>
  <si>
    <t>Leonard</t>
  </si>
  <si>
    <t xml:space="preserve"> Lionel</t>
  </si>
  <si>
    <t xml:space="preserve"> Constance Gladys</t>
  </si>
  <si>
    <t>Pernot</t>
  </si>
  <si>
    <t xml:space="preserve"> Rene</t>
  </si>
  <si>
    <t xml:space="preserve"> Clarence Gustaf Hugo</t>
  </si>
  <si>
    <t>Becker</t>
  </si>
  <si>
    <t xml:space="preserve"> Richard F</t>
  </si>
  <si>
    <t>Kink-Heilmann</t>
  </si>
  <si>
    <t xml:space="preserve"> Luise Gretchen</t>
  </si>
  <si>
    <t>Rood</t>
  </si>
  <si>
    <t xml:space="preserve"> Hugh Roscoe</t>
  </si>
  <si>
    <t>O'Brien</t>
  </si>
  <si>
    <t xml:space="preserve"> Thomas (Johanna "Hannah" Godfrey)</t>
  </si>
  <si>
    <t>Romaine</t>
  </si>
  <si>
    <t xml:space="preserve"> Charles Hallace ("Mr C Rolmane")</t>
  </si>
  <si>
    <t>Bourke</t>
  </si>
  <si>
    <t xml:space="preserve"> John</t>
  </si>
  <si>
    <t>Turcin</t>
  </si>
  <si>
    <t xml:space="preserve"> Stjepan</t>
  </si>
  <si>
    <t>Pinsky</t>
  </si>
  <si>
    <t xml:space="preserve"> (Rosa)</t>
  </si>
  <si>
    <t>Carbines</t>
  </si>
  <si>
    <t xml:space="preserve"> William</t>
  </si>
  <si>
    <t>Andersen-Jensen</t>
  </si>
  <si>
    <t xml:space="preserve"> Carla Christine Nielsine</t>
  </si>
  <si>
    <t xml:space="preserve"> Michel M</t>
  </si>
  <si>
    <t>Brown</t>
  </si>
  <si>
    <t xml:space="preserve"> James Joseph (Margaret Tobin)</t>
  </si>
  <si>
    <t>Lurette</t>
  </si>
  <si>
    <t xml:space="preserve"> Elise</t>
  </si>
  <si>
    <t>Mernagh</t>
  </si>
  <si>
    <t xml:space="preserve"> Robert</t>
  </si>
  <si>
    <t xml:space="preserve"> Karl Siegwart Andreas</t>
  </si>
  <si>
    <t>Madigan</t>
  </si>
  <si>
    <t xml:space="preserve"> Margaret "Maggie"</t>
  </si>
  <si>
    <t>Yrois</t>
  </si>
  <si>
    <t xml:space="preserve"> Henriette ("Mrs Harbeck")</t>
  </si>
  <si>
    <t>Vande Walle</t>
  </si>
  <si>
    <t xml:space="preserve"> Nestor Cyriel</t>
  </si>
  <si>
    <t xml:space="preserve"> Frederick</t>
  </si>
  <si>
    <t>Johanson</t>
  </si>
  <si>
    <t xml:space="preserve"> Jakob Alfred</t>
  </si>
  <si>
    <t>Youseff</t>
  </si>
  <si>
    <t xml:space="preserve"> Gerious</t>
  </si>
  <si>
    <t>Cohen</t>
  </si>
  <si>
    <t xml:space="preserve"> Gurshon "Gus"</t>
  </si>
  <si>
    <t>Strom</t>
  </si>
  <si>
    <t xml:space="preserve"> Telma Matilda</t>
  </si>
  <si>
    <t xml:space="preserve"> Karl Alfred</t>
  </si>
  <si>
    <t>Albimona</t>
  </si>
  <si>
    <t xml:space="preserve"> Nassef Cassem</t>
  </si>
  <si>
    <t>Carr</t>
  </si>
  <si>
    <t xml:space="preserve"> Helen "Ellen"</t>
  </si>
  <si>
    <t>Blank</t>
  </si>
  <si>
    <t xml:space="preserve"> Henry</t>
  </si>
  <si>
    <t>Ali</t>
  </si>
  <si>
    <t xml:space="preserve"> Ahmed</t>
  </si>
  <si>
    <t>Cameron</t>
  </si>
  <si>
    <t xml:space="preserve"> Clear Annie</t>
  </si>
  <si>
    <t>Perkin</t>
  </si>
  <si>
    <t xml:space="preserve"> John Henry</t>
  </si>
  <si>
    <t>Givard</t>
  </si>
  <si>
    <t xml:space="preserve"> Hans Kristensen</t>
  </si>
  <si>
    <t>Kiernan</t>
  </si>
  <si>
    <t xml:space="preserve"> Philip</t>
  </si>
  <si>
    <t>Newell</t>
  </si>
  <si>
    <t xml:space="preserve"> Madeleine</t>
  </si>
  <si>
    <t>Honkanen</t>
  </si>
  <si>
    <t xml:space="preserve"> Eliina</t>
  </si>
  <si>
    <t>Jacobsohn</t>
  </si>
  <si>
    <t xml:space="preserve"> Sidney Samuel</t>
  </si>
  <si>
    <t>Bazzani</t>
  </si>
  <si>
    <t xml:space="preserve"> Albina</t>
  </si>
  <si>
    <t xml:space="preserve"> Walter</t>
  </si>
  <si>
    <t>Sunderland</t>
  </si>
  <si>
    <t xml:space="preserve"> Victor Francis</t>
  </si>
  <si>
    <t>Bracken</t>
  </si>
  <si>
    <t xml:space="preserve"> James H</t>
  </si>
  <si>
    <t>Green</t>
  </si>
  <si>
    <t xml:space="preserve"> George Henry</t>
  </si>
  <si>
    <t>Nenkoff</t>
  </si>
  <si>
    <t xml:space="preserve"> Christo</t>
  </si>
  <si>
    <t>Hoyt</t>
  </si>
  <si>
    <t xml:space="preserve"> Frederick Maxfield</t>
  </si>
  <si>
    <t>Berglund</t>
  </si>
  <si>
    <t xml:space="preserve"> Karl Ivar Sven</t>
  </si>
  <si>
    <t>Mellors</t>
  </si>
  <si>
    <t>Lovell</t>
  </si>
  <si>
    <t xml:space="preserve"> John Hall ("Henry")</t>
  </si>
  <si>
    <t>Fahlstrom</t>
  </si>
  <si>
    <t xml:space="preserve"> Arne Jonas</t>
  </si>
  <si>
    <t xml:space="preserve"> Mathilde</t>
  </si>
  <si>
    <t xml:space="preserve"> Henry Birkhardt (Irene Wallach)</t>
  </si>
  <si>
    <t>Larsson</t>
  </si>
  <si>
    <t xml:space="preserve"> Bengt Edvin</t>
  </si>
  <si>
    <t>Sjostedt</t>
  </si>
  <si>
    <t xml:space="preserve"> Ernst Adolf</t>
  </si>
  <si>
    <t xml:space="preserve"> Lillian Gertrud</t>
  </si>
  <si>
    <t>Leyson</t>
  </si>
  <si>
    <t xml:space="preserve"> Robert William Norman</t>
  </si>
  <si>
    <t>Harknett</t>
  </si>
  <si>
    <t xml:space="preserve"> Alice Phoebe</t>
  </si>
  <si>
    <t>Hold</t>
  </si>
  <si>
    <t xml:space="preserve"> Stephen</t>
  </si>
  <si>
    <t>Collyer</t>
  </si>
  <si>
    <t xml:space="preserve"> Marjorie "Lottie"</t>
  </si>
  <si>
    <t>Pengelly</t>
  </si>
  <si>
    <t xml:space="preserve"> Frederick William</t>
  </si>
  <si>
    <t>Hunt</t>
  </si>
  <si>
    <t xml:space="preserve"> Thamine</t>
  </si>
  <si>
    <t>Murphy</t>
  </si>
  <si>
    <t xml:space="preserve"> Katherine "Kate"</t>
  </si>
  <si>
    <t>Coleridge</t>
  </si>
  <si>
    <t xml:space="preserve"> Reginald Charles</t>
  </si>
  <si>
    <t>Maenpaa</t>
  </si>
  <si>
    <t xml:space="preserve"> Matti Alexanteri</t>
  </si>
  <si>
    <t xml:space="preserve"> Sleiman</t>
  </si>
  <si>
    <t>Minahan</t>
  </si>
  <si>
    <t xml:space="preserve"> William Edward</t>
  </si>
  <si>
    <t>Dr</t>
  </si>
  <si>
    <t>Lindahl</t>
  </si>
  <si>
    <t xml:space="preserve"> Agda Thorilda Viktoria</t>
  </si>
  <si>
    <t>Hamalainen</t>
  </si>
  <si>
    <t xml:space="preserve"> William (Anna)</t>
  </si>
  <si>
    <t>Beckwith</t>
  </si>
  <si>
    <t xml:space="preserve"> Richard Leonard</t>
  </si>
  <si>
    <t>Carter</t>
  </si>
  <si>
    <t xml:space="preserve"> Ernest Courtenay</t>
  </si>
  <si>
    <t>Reed</t>
  </si>
  <si>
    <t xml:space="preserve"> James George</t>
  </si>
  <si>
    <t xml:space="preserve"> Wilhelm (Elna Matilda Persson)</t>
  </si>
  <si>
    <t>Stead</t>
  </si>
  <si>
    <t xml:space="preserve"> William Thomas</t>
  </si>
  <si>
    <t>Lobb</t>
  </si>
  <si>
    <t xml:space="preserve"> William Arthur</t>
  </si>
  <si>
    <t>Rosblom</t>
  </si>
  <si>
    <t xml:space="preserve"> Viktor (Helena Wilhelmina)</t>
  </si>
  <si>
    <t>Touma</t>
  </si>
  <si>
    <t xml:space="preserve"> Darwis (Hanne Youssef Razi)</t>
  </si>
  <si>
    <t>Thorne</t>
  </si>
  <si>
    <t xml:space="preserve"> Gertrude Maybelle</t>
  </si>
  <si>
    <t>Cherry</t>
  </si>
  <si>
    <t xml:space="preserve"> Gladys</t>
  </si>
  <si>
    <t>Ward</t>
  </si>
  <si>
    <t>Parrish</t>
  </si>
  <si>
    <t xml:space="preserve"> (Lutie Davis)</t>
  </si>
  <si>
    <t xml:space="preserve"> Thomas</t>
  </si>
  <si>
    <t xml:space="preserve"> Edvin Rojj Felix</t>
  </si>
  <si>
    <t>Taussig</t>
  </si>
  <si>
    <t>Harrison</t>
  </si>
  <si>
    <t>Henry</t>
  </si>
  <si>
    <t xml:space="preserve"> Delia</t>
  </si>
  <si>
    <t>Reeves</t>
  </si>
  <si>
    <t xml:space="preserve"> David</t>
  </si>
  <si>
    <t xml:space="preserve"> Ernesti Arvid</t>
  </si>
  <si>
    <t>Persson</t>
  </si>
  <si>
    <t xml:space="preserve"> Ernst Ulrik</t>
  </si>
  <si>
    <t>Graham</t>
  </si>
  <si>
    <t xml:space="preserve"> William Thompson (Edith Junkins)</t>
  </si>
  <si>
    <t>Bissette</t>
  </si>
  <si>
    <t xml:space="preserve"> Amelia</t>
  </si>
  <si>
    <t>Cairns</t>
  </si>
  <si>
    <t xml:space="preserve"> Alexander</t>
  </si>
  <si>
    <t>Tornquist</t>
  </si>
  <si>
    <t>Mellinger</t>
  </si>
  <si>
    <t xml:space="preserve"> (Elizabeth Anne Maidment)</t>
  </si>
  <si>
    <t>Natsch</t>
  </si>
  <si>
    <t xml:space="preserve"> Charles H</t>
  </si>
  <si>
    <t>Healy</t>
  </si>
  <si>
    <t xml:space="preserve"> Hanora "Nora"</t>
  </si>
  <si>
    <t>Andrews</t>
  </si>
  <si>
    <t xml:space="preserve"> Kornelia Theodosia</t>
  </si>
  <si>
    <t>Lindblom</t>
  </si>
  <si>
    <t xml:space="preserve"> Augusta Charlotta</t>
  </si>
  <si>
    <t>Parkes</t>
  </si>
  <si>
    <t xml:space="preserve"> Francis "Frank"</t>
  </si>
  <si>
    <t xml:space="preserve"> Eric</t>
  </si>
  <si>
    <t>Abbott</t>
  </si>
  <si>
    <t xml:space="preserve"> Stanton (Rosa Hunt)</t>
  </si>
  <si>
    <t>Duane</t>
  </si>
  <si>
    <t xml:space="preserve"> Frank</t>
  </si>
  <si>
    <t>Olsson</t>
  </si>
  <si>
    <t xml:space="preserve"> Nils Johan Goransson</t>
  </si>
  <si>
    <t>de Pelsmaeker</t>
  </si>
  <si>
    <t xml:space="preserve"> Alfons</t>
  </si>
  <si>
    <t>Dorking</t>
  </si>
  <si>
    <t xml:space="preserve"> Edward Arthur</t>
  </si>
  <si>
    <t xml:space="preserve"> Richard William</t>
  </si>
  <si>
    <t>Stankovic</t>
  </si>
  <si>
    <t>de Mulder</t>
  </si>
  <si>
    <t xml:space="preserve"> Theodore</t>
  </si>
  <si>
    <t>Naidenoff</t>
  </si>
  <si>
    <t xml:space="preserve"> Penko</t>
  </si>
  <si>
    <t>Hosono</t>
  </si>
  <si>
    <t xml:space="preserve"> Masabumi</t>
  </si>
  <si>
    <t>Connolly</t>
  </si>
  <si>
    <t xml:space="preserve"> Kate</t>
  </si>
  <si>
    <t>Barber</t>
  </si>
  <si>
    <t>Bishop</t>
  </si>
  <si>
    <t xml:space="preserve"> Dickinson H (Helen Walton)</t>
  </si>
  <si>
    <t>Levy</t>
  </si>
  <si>
    <t xml:space="preserve"> Rene Jacques</t>
  </si>
  <si>
    <t>Haas</t>
  </si>
  <si>
    <t xml:space="preserve"> Aloisia</t>
  </si>
  <si>
    <t>Mineff</t>
  </si>
  <si>
    <t>Lewy</t>
  </si>
  <si>
    <t xml:space="preserve"> Ervin G</t>
  </si>
  <si>
    <t>Hanna</t>
  </si>
  <si>
    <t xml:space="preserve"> Mansour</t>
  </si>
  <si>
    <t>Allison</t>
  </si>
  <si>
    <t xml:space="preserve"> Helen Loraine</t>
  </si>
  <si>
    <t>Saalfeld</t>
  </si>
  <si>
    <t xml:space="preserve"> Adolphe</t>
  </si>
  <si>
    <t xml:space="preserve"> James (Helene DeLaudeniere Chaput)</t>
  </si>
  <si>
    <t>Kelly</t>
  </si>
  <si>
    <t xml:space="preserve"> Anna Katherine "Annie Kate"</t>
  </si>
  <si>
    <t>McCoy</t>
  </si>
  <si>
    <t xml:space="preserve"> Bernard</t>
  </si>
  <si>
    <t xml:space="preserve"> William Cahoone Jr</t>
  </si>
  <si>
    <t>Keane</t>
  </si>
  <si>
    <t xml:space="preserve"> Nora A</t>
  </si>
  <si>
    <t xml:space="preserve"> Howard Hugh "Harry"</t>
  </si>
  <si>
    <t xml:space="preserve"> Hudson Trevor</t>
  </si>
  <si>
    <t>Fleming</t>
  </si>
  <si>
    <t xml:space="preserve"> Margaret</t>
  </si>
  <si>
    <t>Penasco y Castellana</t>
  </si>
  <si>
    <t xml:space="preserve"> Victor de Satode (Maria Josefa Perez de Soto y Vallejo)</t>
  </si>
  <si>
    <t>Abelson</t>
  </si>
  <si>
    <t xml:space="preserve"> Samuel</t>
  </si>
  <si>
    <t>Francatelli</t>
  </si>
  <si>
    <t xml:space="preserve"> Laura Mabel</t>
  </si>
  <si>
    <t>Hays</t>
  </si>
  <si>
    <t xml:space="preserve"> Margaret Bechstein</t>
  </si>
  <si>
    <t>Ryerson</t>
  </si>
  <si>
    <t xml:space="preserve"> Emily Borie</t>
  </si>
  <si>
    <t>Lahtinen</t>
  </si>
  <si>
    <t xml:space="preserve"> William (Anna Sylfven)</t>
  </si>
  <si>
    <t>Hendekovic</t>
  </si>
  <si>
    <t xml:space="preserve"> Ignjac</t>
  </si>
  <si>
    <t>Hart</t>
  </si>
  <si>
    <t xml:space="preserve"> Benjamin</t>
  </si>
  <si>
    <t>Nilsson</t>
  </si>
  <si>
    <t xml:space="preserve"> Helmina Josefina</t>
  </si>
  <si>
    <t xml:space="preserve"> Sinai (Miriam Sternin)</t>
  </si>
  <si>
    <t>Moraweck</t>
  </si>
  <si>
    <t xml:space="preserve"> Ernest</t>
  </si>
  <si>
    <t>Wick</t>
  </si>
  <si>
    <t xml:space="preserve"> Mary Natalie</t>
  </si>
  <si>
    <t>Spedden</t>
  </si>
  <si>
    <t xml:space="preserve"> Frederic Oakley (Margaretta Corning Stone)</t>
  </si>
  <si>
    <t>Dennis</t>
  </si>
  <si>
    <t>Danoff</t>
  </si>
  <si>
    <t xml:space="preserve"> Yoto</t>
  </si>
  <si>
    <t>Slayter</t>
  </si>
  <si>
    <t xml:space="preserve"> Hilda Mary</t>
  </si>
  <si>
    <t xml:space="preserve"> Albert Francis (Sylvia Mae Harbaugh)</t>
  </si>
  <si>
    <t xml:space="preserve"> George John Jr</t>
  </si>
  <si>
    <t>Young</t>
  </si>
  <si>
    <t xml:space="preserve"> Marie Grice</t>
  </si>
  <si>
    <t>Nysveen</t>
  </si>
  <si>
    <t xml:space="preserve"> Johan Hansen</t>
  </si>
  <si>
    <t>Ball</t>
  </si>
  <si>
    <t xml:space="preserve"> (Ada E Hall)</t>
  </si>
  <si>
    <t xml:space="preserve"> Frank John (Emily Alice Brown)</t>
  </si>
  <si>
    <t>Hippach</t>
  </si>
  <si>
    <t xml:space="preserve"> Jean Gertrude</t>
  </si>
  <si>
    <t xml:space="preserve"> Agnes</t>
  </si>
  <si>
    <t>Partner</t>
  </si>
  <si>
    <t xml:space="preserve"> Austen</t>
  </si>
  <si>
    <t xml:space="preserve"> George Edward</t>
  </si>
  <si>
    <t xml:space="preserve"> Leo Edmondus</t>
  </si>
  <si>
    <t>Frauenthal</t>
  </si>
  <si>
    <t xml:space="preserve"> Henry William (Clara Heinsheimer)</t>
  </si>
  <si>
    <t>Denkoff</t>
  </si>
  <si>
    <t xml:space="preserve"> Mitto</t>
  </si>
  <si>
    <t xml:space="preserve"> Thomas Clinton</t>
  </si>
  <si>
    <t>Burns</t>
  </si>
  <si>
    <t xml:space="preserve"> Elizabeth Margaret</t>
  </si>
  <si>
    <t>Dahl</t>
  </si>
  <si>
    <t xml:space="preserve"> Karl Edwart</t>
  </si>
  <si>
    <t>Blackwell</t>
  </si>
  <si>
    <t xml:space="preserve"> Stephen Weart</t>
  </si>
  <si>
    <t xml:space="preserve"> Edmond Roger</t>
  </si>
  <si>
    <t xml:space="preserve"> Alice Elizabeth</t>
  </si>
  <si>
    <t>Collander</t>
  </si>
  <si>
    <t xml:space="preserve"> Erik Gustaf</t>
  </si>
  <si>
    <t>Sedgwick</t>
  </si>
  <si>
    <t xml:space="preserve"> Charles Frederick Waddington</t>
  </si>
  <si>
    <t>Fox</t>
  </si>
  <si>
    <t xml:space="preserve"> Stanley Hubert</t>
  </si>
  <si>
    <t xml:space="preserve"> Amelia "Mildred"</t>
  </si>
  <si>
    <t xml:space="preserve"> Marion Elsie</t>
  </si>
  <si>
    <t>Davison</t>
  </si>
  <si>
    <t xml:space="preserve"> Thomas Henry (Mary E Finck)</t>
  </si>
  <si>
    <t>Coutts</t>
  </si>
  <si>
    <t xml:space="preserve"> William Loch "William"</t>
  </si>
  <si>
    <t>Dimic</t>
  </si>
  <si>
    <t xml:space="preserve"> Jovan</t>
  </si>
  <si>
    <t>Odahl</t>
  </si>
  <si>
    <t xml:space="preserve"> Nils Martin</t>
  </si>
  <si>
    <t>Williams-Lambert</t>
  </si>
  <si>
    <t xml:space="preserve"> Fletcher Fellows</t>
  </si>
  <si>
    <t>Elias</t>
  </si>
  <si>
    <t xml:space="preserve"> Tannous</t>
  </si>
  <si>
    <t xml:space="preserve"> Josef</t>
  </si>
  <si>
    <t>Yousif</t>
  </si>
  <si>
    <t xml:space="preserve"> Wazli</t>
  </si>
  <si>
    <t>Vanden Steen</t>
  </si>
  <si>
    <t xml:space="preserve"> Leo Peter</t>
  </si>
  <si>
    <t>Bowerman</t>
  </si>
  <si>
    <t xml:space="preserve"> Elsie Edith</t>
  </si>
  <si>
    <t>Funk</t>
  </si>
  <si>
    <t xml:space="preserve"> Annie Clemmer</t>
  </si>
  <si>
    <t>McGovern</t>
  </si>
  <si>
    <t xml:space="preserve"> Mary</t>
  </si>
  <si>
    <t>Mockler</t>
  </si>
  <si>
    <t xml:space="preserve"> Helen Mary "Ellie"</t>
  </si>
  <si>
    <t xml:space="preserve"> Wilhelm</t>
  </si>
  <si>
    <t>del Carlo</t>
  </si>
  <si>
    <t xml:space="preserve"> Sebastiano</t>
  </si>
  <si>
    <t>Barbara</t>
  </si>
  <si>
    <t xml:space="preserve"> (Catherine David)</t>
  </si>
  <si>
    <t>Asim</t>
  </si>
  <si>
    <t xml:space="preserve"> Adola</t>
  </si>
  <si>
    <t>Adahl</t>
  </si>
  <si>
    <t xml:space="preserve"> Mauritz Nils Martin</t>
  </si>
  <si>
    <t>Warren</t>
  </si>
  <si>
    <t xml:space="preserve"> Frank Manley (Anna Sophia Atkinson)</t>
  </si>
  <si>
    <t>Moussa</t>
  </si>
  <si>
    <t xml:space="preserve"> (Mantoura Boulos)</t>
  </si>
  <si>
    <t>Jermyn</t>
  </si>
  <si>
    <t xml:space="preserve"> Annie</t>
  </si>
  <si>
    <t>Aubart</t>
  </si>
  <si>
    <t xml:space="preserve"> Leontine Pauline</t>
  </si>
  <si>
    <t>Mme</t>
  </si>
  <si>
    <t>Harder</t>
  </si>
  <si>
    <t xml:space="preserve"> George Achilles</t>
  </si>
  <si>
    <t>Wiklund</t>
  </si>
  <si>
    <t>Beavan</t>
  </si>
  <si>
    <t>Ringhini</t>
  </si>
  <si>
    <t xml:space="preserve"> Sante</t>
  </si>
  <si>
    <t xml:space="preserve"> Stina Viola</t>
  </si>
  <si>
    <t xml:space="preserve"> Edgar Joseph (Leila Saks)</t>
  </si>
  <si>
    <t>Landergren</t>
  </si>
  <si>
    <t xml:space="preserve"> Aurora Adelia</t>
  </si>
  <si>
    <t>Widener</t>
  </si>
  <si>
    <t xml:space="preserve"> Harry Elkins</t>
  </si>
  <si>
    <t>Betros</t>
  </si>
  <si>
    <t xml:space="preserve"> Karl Gideon</t>
  </si>
  <si>
    <t>Bidois</t>
  </si>
  <si>
    <t xml:space="preserve"> Rosalie</t>
  </si>
  <si>
    <t>Nakid</t>
  </si>
  <si>
    <t xml:space="preserve"> Maria ("Mary")</t>
  </si>
  <si>
    <t>Tikkanen</t>
  </si>
  <si>
    <t xml:space="preserve"> Juho</t>
  </si>
  <si>
    <t xml:space="preserve"> Alexander Oskar (Mary Aline Towner)</t>
  </si>
  <si>
    <t>Plotcharsky</t>
  </si>
  <si>
    <t xml:space="preserve"> Vasil</t>
  </si>
  <si>
    <t>Davies</t>
  </si>
  <si>
    <t xml:space="preserve"> Charles Henry</t>
  </si>
  <si>
    <t xml:space="preserve"> Sidney Leonard</t>
  </si>
  <si>
    <t>Buss</t>
  </si>
  <si>
    <t>Sadlier</t>
  </si>
  <si>
    <t xml:space="preserve"> Matthew</t>
  </si>
  <si>
    <t>Lehmann</t>
  </si>
  <si>
    <t xml:space="preserve"> William Ernest</t>
  </si>
  <si>
    <t>Jansson</t>
  </si>
  <si>
    <t xml:space="preserve"> Carl Olof</t>
  </si>
  <si>
    <t xml:space="preserve"> Johan Birger</t>
  </si>
  <si>
    <t xml:space="preserve"> Marjorie</t>
  </si>
  <si>
    <t xml:space="preserve"> Hjalmar (Agnes Charlotta Bengtsson)</t>
  </si>
  <si>
    <t xml:space="preserve"> Erik</t>
  </si>
  <si>
    <t xml:space="preserve"> Elina</t>
  </si>
  <si>
    <t>McKane</t>
  </si>
  <si>
    <t xml:space="preserve"> Peter David</t>
  </si>
  <si>
    <t>Pain</t>
  </si>
  <si>
    <t xml:space="preserve"> Alfred</t>
  </si>
  <si>
    <t>Trout</t>
  </si>
  <si>
    <t xml:space="preserve"> William H (Jessie L)</t>
  </si>
  <si>
    <t>Niskanen</t>
  </si>
  <si>
    <t xml:space="preserve"> Juha</t>
  </si>
  <si>
    <t>Adams</t>
  </si>
  <si>
    <t xml:space="preserve"> Mari Aina</t>
  </si>
  <si>
    <t xml:space="preserve"> Pekka Pietari</t>
  </si>
  <si>
    <t>Oreskovic</t>
  </si>
  <si>
    <t xml:space="preserve"> Marija</t>
  </si>
  <si>
    <t>Gale</t>
  </si>
  <si>
    <t xml:space="preserve"> Shadrach</t>
  </si>
  <si>
    <t>Widegren</t>
  </si>
  <si>
    <t xml:space="preserve"> Carl/Charles Peter</t>
  </si>
  <si>
    <t>Richards</t>
  </si>
  <si>
    <t xml:space="preserve"> William Rowe</t>
  </si>
  <si>
    <t>Birkeland</t>
  </si>
  <si>
    <t xml:space="preserve"> Hans Martin Monsen</t>
  </si>
  <si>
    <t xml:space="preserve"> Ida</t>
  </si>
  <si>
    <t>Sdycoff</t>
  </si>
  <si>
    <t xml:space="preserve"> Todor</t>
  </si>
  <si>
    <t xml:space="preserve"> Daisy E</t>
  </si>
  <si>
    <t>Cunningham</t>
  </si>
  <si>
    <t xml:space="preserve"> Alfred Fleming</t>
  </si>
  <si>
    <t>Sundman</t>
  </si>
  <si>
    <t xml:space="preserve"> Johan Julian</t>
  </si>
  <si>
    <t>Meek</t>
  </si>
  <si>
    <t xml:space="preserve"> Thomas (Annie Louise Rowley)</t>
  </si>
  <si>
    <t>Drew</t>
  </si>
  <si>
    <t xml:space="preserve"> James Vivian (Lulu Thorne Christian)</t>
  </si>
  <si>
    <t>Silven</t>
  </si>
  <si>
    <t xml:space="preserve"> Lyyli Karoliina</t>
  </si>
  <si>
    <t>Matthews</t>
  </si>
  <si>
    <t>Van Impe</t>
  </si>
  <si>
    <t xml:space="preserve"> Catharina</t>
  </si>
  <si>
    <t>Gheorgheff</t>
  </si>
  <si>
    <t xml:space="preserve"> Stanio</t>
  </si>
  <si>
    <t>Charters</t>
  </si>
  <si>
    <t>Zimmerman</t>
  </si>
  <si>
    <t xml:space="preserve"> Leo</t>
  </si>
  <si>
    <t>Danbom</t>
  </si>
  <si>
    <t xml:space="preserve"> Ernst Gilbert (Anna Sigrid Maria Brogren)</t>
  </si>
  <si>
    <t xml:space="preserve"> Viktor Richard</t>
  </si>
  <si>
    <t>Wiseman</t>
  </si>
  <si>
    <t xml:space="preserve"> Phillippe</t>
  </si>
  <si>
    <t>Clarke</t>
  </si>
  <si>
    <t xml:space="preserve"> Charles V (Ada Maria Winfield)</t>
  </si>
  <si>
    <t>Phillips</t>
  </si>
  <si>
    <t xml:space="preserve"> Kate Florence ("Mrs Kate Louise Phillips Marshall")</t>
  </si>
  <si>
    <t>Flynn</t>
  </si>
  <si>
    <t>Pickard</t>
  </si>
  <si>
    <t xml:space="preserve"> Berk (Berk Trembisky)</t>
  </si>
  <si>
    <t>Bjornstrom-Steffansson</t>
  </si>
  <si>
    <t xml:space="preserve"> Mauritz Hakan</t>
  </si>
  <si>
    <t>Thorneycroft</t>
  </si>
  <si>
    <t xml:space="preserve"> Percival (Florence Kate White)</t>
  </si>
  <si>
    <t>Louch</t>
  </si>
  <si>
    <t xml:space="preserve"> Charles Alexander (Alice Adelaide Slow)</t>
  </si>
  <si>
    <t>Kallio</t>
  </si>
  <si>
    <t xml:space="preserve"> Nikolai Erland</t>
  </si>
  <si>
    <t>Silvey</t>
  </si>
  <si>
    <t xml:space="preserve"> William Baird</t>
  </si>
  <si>
    <t xml:space="preserve"> Lucile Polk</t>
  </si>
  <si>
    <t xml:space="preserve"> Doolina Margaret "Daisy"</t>
  </si>
  <si>
    <t xml:space="preserve"> Sidney (Emily Hocking)</t>
  </si>
  <si>
    <t xml:space="preserve"> Mark</t>
  </si>
  <si>
    <t>Kvillner</t>
  </si>
  <si>
    <t xml:space="preserve"> Johan Henrik Johannesson</t>
  </si>
  <si>
    <t xml:space="preserve"> Benjamin (Esther Ada Bloomfield)</t>
  </si>
  <si>
    <t>Hampe</t>
  </si>
  <si>
    <t xml:space="preserve"> Leon</t>
  </si>
  <si>
    <t>Petterson</t>
  </si>
  <si>
    <t xml:space="preserve"> Johan Emil</t>
  </si>
  <si>
    <t>Reynaldo</t>
  </si>
  <si>
    <t xml:space="preserve"> Encarnacion</t>
  </si>
  <si>
    <t>Ms</t>
  </si>
  <si>
    <t>Johannesen-Bratthammer</t>
  </si>
  <si>
    <t xml:space="preserve"> Bernt</t>
  </si>
  <si>
    <t>Dodge</t>
  </si>
  <si>
    <t xml:space="preserve"> Washington</t>
  </si>
  <si>
    <t xml:space="preserve"> Madeleine Violet</t>
  </si>
  <si>
    <t>Seward</t>
  </si>
  <si>
    <t xml:space="preserve"> Frederic Kimber</t>
  </si>
  <si>
    <t>Baclini</t>
  </si>
  <si>
    <t xml:space="preserve"> Marie Catherine</t>
  </si>
  <si>
    <t>Peuchen</t>
  </si>
  <si>
    <t xml:space="preserve"> Arthur Godfrey</t>
  </si>
  <si>
    <t>Major</t>
  </si>
  <si>
    <t xml:space="preserve"> Edwy Arthur</t>
  </si>
  <si>
    <t>Hagland</t>
  </si>
  <si>
    <t xml:space="preserve"> Ingvald Olai Olsen</t>
  </si>
  <si>
    <t>Foreman</t>
  </si>
  <si>
    <t xml:space="preserve"> Benjamin Laventall</t>
  </si>
  <si>
    <t>Goldenberg</t>
  </si>
  <si>
    <t xml:space="preserve"> Samuel L</t>
  </si>
  <si>
    <t>Peduzzi</t>
  </si>
  <si>
    <t xml:space="preserve"> Joseph</t>
  </si>
  <si>
    <t>Jalsevac</t>
  </si>
  <si>
    <t>Millet</t>
  </si>
  <si>
    <t xml:space="preserve"> Francis Davis</t>
  </si>
  <si>
    <t>Kenyon</t>
  </si>
  <si>
    <t xml:space="preserve"> Frederick R (Marion)</t>
  </si>
  <si>
    <t>Toomey</t>
  </si>
  <si>
    <t xml:space="preserve"> Ellen</t>
  </si>
  <si>
    <t>O'Connor</t>
  </si>
  <si>
    <t xml:space="preserve"> Maurice</t>
  </si>
  <si>
    <t>Anderson</t>
  </si>
  <si>
    <t>Morley</t>
  </si>
  <si>
    <t>Gee</t>
  </si>
  <si>
    <t xml:space="preserve"> Arthur H</t>
  </si>
  <si>
    <t>Milling</t>
  </si>
  <si>
    <t xml:space="preserve"> Jacob Christian</t>
  </si>
  <si>
    <t>Maisner</t>
  </si>
  <si>
    <t xml:space="preserve"> Simon</t>
  </si>
  <si>
    <t>Goncalves</t>
  </si>
  <si>
    <t xml:space="preserve"> Manuel Estanslas</t>
  </si>
  <si>
    <t>Campbell</t>
  </si>
  <si>
    <t>Smart</t>
  </si>
  <si>
    <t xml:space="preserve"> John Montgomery</t>
  </si>
  <si>
    <t>Scanlan</t>
  </si>
  <si>
    <t xml:space="preserve"> Helene Barbara</t>
  </si>
  <si>
    <t>Keefe</t>
  </si>
  <si>
    <t>Cacic</t>
  </si>
  <si>
    <t xml:space="preserve"> Luka</t>
  </si>
  <si>
    <t xml:space="preserve"> Edwy Arthur (Ada Mary Worth)</t>
  </si>
  <si>
    <t>Jerwan</t>
  </si>
  <si>
    <t xml:space="preserve"> Amin S (Marie Marthe Thuillard)</t>
  </si>
  <si>
    <t>Strandberg</t>
  </si>
  <si>
    <t xml:space="preserve"> Ida Sofia</t>
  </si>
  <si>
    <t>Clifford</t>
  </si>
  <si>
    <t xml:space="preserve"> George Quincy</t>
  </si>
  <si>
    <t>Renouf</t>
  </si>
  <si>
    <t xml:space="preserve"> Peter Henry</t>
  </si>
  <si>
    <t xml:space="preserve"> Lewis Richard</t>
  </si>
  <si>
    <t>Karlsson</t>
  </si>
  <si>
    <t xml:space="preserve"> Nils August</t>
  </si>
  <si>
    <t>Hirvonen</t>
  </si>
  <si>
    <t xml:space="preserve"> Hildur E</t>
  </si>
  <si>
    <t xml:space="preserve"> Harold Victor</t>
  </si>
  <si>
    <t>Frost</t>
  </si>
  <si>
    <t xml:space="preserve"> Anthony Wood "Archie"</t>
  </si>
  <si>
    <t>Rouse</t>
  </si>
  <si>
    <t xml:space="preserve"> Richard Henry</t>
  </si>
  <si>
    <t>Turkula</t>
  </si>
  <si>
    <t xml:space="preserve"> (Hedwig)</t>
  </si>
  <si>
    <t xml:space="preserve"> Dickinson H</t>
  </si>
  <si>
    <t xml:space="preserve"> Jeannie</t>
  </si>
  <si>
    <t xml:space="preserve"> Frederick Maxfield (Jane Anne Forby)</t>
  </si>
  <si>
    <t>Kent</t>
  </si>
  <si>
    <t xml:space="preserve"> Edward Austin</t>
  </si>
  <si>
    <t>Somerton</t>
  </si>
  <si>
    <t xml:space="preserve"> Francis William</t>
  </si>
  <si>
    <t xml:space="preserve"> Eden Leslie "Neville"</t>
  </si>
  <si>
    <t xml:space="preserve"> Konrad Mathias Reiersen</t>
  </si>
  <si>
    <t>Windelov</t>
  </si>
  <si>
    <t xml:space="preserve"> Einar</t>
  </si>
  <si>
    <t>Molson</t>
  </si>
  <si>
    <t xml:space="preserve"> Harry Markland</t>
  </si>
  <si>
    <t>Artagaveytia</t>
  </si>
  <si>
    <t xml:space="preserve"> Ramon</t>
  </si>
  <si>
    <t>Stanley</t>
  </si>
  <si>
    <t xml:space="preserve"> Edward Roland</t>
  </si>
  <si>
    <t>Yousseff</t>
  </si>
  <si>
    <t>Eustis</t>
  </si>
  <si>
    <t xml:space="preserve"> Elizabeth Mussey</t>
  </si>
  <si>
    <t>Shellard</t>
  </si>
  <si>
    <t xml:space="preserve"> Hudson J C (Bessie Waldo Daniels)</t>
  </si>
  <si>
    <t>Svensson</t>
  </si>
  <si>
    <t xml:space="preserve"> Olof</t>
  </si>
  <si>
    <t xml:space="preserve"> Petar</t>
  </si>
  <si>
    <t>Canavan</t>
  </si>
  <si>
    <t>O'Sullivan</t>
  </si>
  <si>
    <t xml:space="preserve"> Bridget Mary</t>
  </si>
  <si>
    <t>Laitinen</t>
  </si>
  <si>
    <t xml:space="preserve"> Kristina Sofia</t>
  </si>
  <si>
    <t>Maioni</t>
  </si>
  <si>
    <t xml:space="preserve"> Roberta</t>
  </si>
  <si>
    <t xml:space="preserve"> Victor de Satode</t>
  </si>
  <si>
    <t>Quick</t>
  </si>
  <si>
    <t xml:space="preserve"> Frederick Charles (Jane Richards)</t>
  </si>
  <si>
    <t>Bradley</t>
  </si>
  <si>
    <t xml:space="preserve"> George ("George Arthur Brayton")</t>
  </si>
  <si>
    <t xml:space="preserve"> Henry Margido</t>
  </si>
  <si>
    <t>Lang</t>
  </si>
  <si>
    <t xml:space="preserve"> Fang</t>
  </si>
  <si>
    <t>Daly</t>
  </si>
  <si>
    <t xml:space="preserve"> Eugene Patrick</t>
  </si>
  <si>
    <t>McGough</t>
  </si>
  <si>
    <t xml:space="preserve"> James Robert</t>
  </si>
  <si>
    <t>Rothschild</t>
  </si>
  <si>
    <t xml:space="preserve"> Martin (Elizabeth L</t>
  </si>
  <si>
    <t>Coleff</t>
  </si>
  <si>
    <t xml:space="preserve"> Satio</t>
  </si>
  <si>
    <t>Walker</t>
  </si>
  <si>
    <t xml:space="preserve"> William Anderson</t>
  </si>
  <si>
    <t>Lemore</t>
  </si>
  <si>
    <t xml:space="preserve"> (Amelia Milley)</t>
  </si>
  <si>
    <t>Ryan</t>
  </si>
  <si>
    <t>Angle</t>
  </si>
  <si>
    <t xml:space="preserve"> William A (Florence "Mary" Agnes Hughes)</t>
  </si>
  <si>
    <t>Pavlovic</t>
  </si>
  <si>
    <t xml:space="preserve"> Stefo</t>
  </si>
  <si>
    <t>Perreault</t>
  </si>
  <si>
    <t xml:space="preserve"> Anne</t>
  </si>
  <si>
    <t>Vovk</t>
  </si>
  <si>
    <t xml:space="preserve"> Janko</t>
  </si>
  <si>
    <t>Lahoud</t>
  </si>
  <si>
    <t xml:space="preserve"> Sarkis</t>
  </si>
  <si>
    <t xml:space="preserve"> Louis Albert (Ida Sophia Fischer)</t>
  </si>
  <si>
    <t>Kassem</t>
  </si>
  <si>
    <t xml:space="preserve"> Fared</t>
  </si>
  <si>
    <t>Farrell</t>
  </si>
  <si>
    <t>Ridsdale</t>
  </si>
  <si>
    <t xml:space="preserve"> Lucy</t>
  </si>
  <si>
    <t>Farthing</t>
  </si>
  <si>
    <t>Salonen</t>
  </si>
  <si>
    <t xml:space="preserve"> Johan Werner</t>
  </si>
  <si>
    <t>Hocking</t>
  </si>
  <si>
    <t xml:space="preserve"> Richard George</t>
  </si>
  <si>
    <t xml:space="preserve"> Phyllis May</t>
  </si>
  <si>
    <t>Toufik</t>
  </si>
  <si>
    <t xml:space="preserve"> Nakli</t>
  </si>
  <si>
    <t xml:space="preserve"> Joseph Jr</t>
  </si>
  <si>
    <t xml:space="preserve"> Catherine (Catherine Rizk)</t>
  </si>
  <si>
    <t xml:space="preserve"> Eva Miriam</t>
  </si>
  <si>
    <t>Butt</t>
  </si>
  <si>
    <t xml:space="preserve"> Archibald Willingham</t>
  </si>
  <si>
    <t>LeRoy</t>
  </si>
  <si>
    <t>Risien</t>
  </si>
  <si>
    <t xml:space="preserve"> Samuel Beard</t>
  </si>
  <si>
    <t>Frolicher</t>
  </si>
  <si>
    <t xml:space="preserve"> Hedwig Margaritha</t>
  </si>
  <si>
    <t>Crosby</t>
  </si>
  <si>
    <t xml:space="preserve"> Harriet R</t>
  </si>
  <si>
    <t xml:space="preserve"> Ingeborg Constanzia</t>
  </si>
  <si>
    <t xml:space="preserve"> Sigrid Elisabeth</t>
  </si>
  <si>
    <t>Beane</t>
  </si>
  <si>
    <t xml:space="preserve"> Edward</t>
  </si>
  <si>
    <t>Douglas</t>
  </si>
  <si>
    <t xml:space="preserve"> Walter Donald</t>
  </si>
  <si>
    <t>Nicholson</t>
  </si>
  <si>
    <t xml:space="preserve"> Arthur Ernest</t>
  </si>
  <si>
    <t xml:space="preserve"> Edward (Ethel Clarke)</t>
  </si>
  <si>
    <t>Padro y Manent</t>
  </si>
  <si>
    <t xml:space="preserve"> Julian</t>
  </si>
  <si>
    <t xml:space="preserve"> Frank John</t>
  </si>
  <si>
    <t xml:space="preserve"> John Morgan Jr</t>
  </si>
  <si>
    <t>Thayer</t>
  </si>
  <si>
    <t xml:space="preserve"> John Borland Jr</t>
  </si>
  <si>
    <t>Sharp</t>
  </si>
  <si>
    <t xml:space="preserve"> Percival James R</t>
  </si>
  <si>
    <t xml:space="preserve"> Timothy</t>
  </si>
  <si>
    <t>Leeni</t>
  </si>
  <si>
    <t xml:space="preserve"> Fahim ("Philip Zenni")</t>
  </si>
  <si>
    <t>Ohman</t>
  </si>
  <si>
    <t xml:space="preserve"> Velin</t>
  </si>
  <si>
    <t>Wright</t>
  </si>
  <si>
    <t xml:space="preserve"> George</t>
  </si>
  <si>
    <t>Duff Gordon</t>
  </si>
  <si>
    <t xml:space="preserve"> (Lucille Christiana Sutherland) ("Mrs Morgan")</t>
  </si>
  <si>
    <t>Lady</t>
  </si>
  <si>
    <t>Robbins</t>
  </si>
  <si>
    <t xml:space="preserve"> Emil (Tillie Mandelbaum)</t>
  </si>
  <si>
    <t>de Messemaeker</t>
  </si>
  <si>
    <t xml:space="preserve"> Guillaume Joseph (Emma)</t>
  </si>
  <si>
    <t>Morrow</t>
  </si>
  <si>
    <t xml:space="preserve"> Thomas Rowan</t>
  </si>
  <si>
    <t>Sivic</t>
  </si>
  <si>
    <t xml:space="preserve"> Husein</t>
  </si>
  <si>
    <t>Norman</t>
  </si>
  <si>
    <t xml:space="preserve"> Robert Douglas</t>
  </si>
  <si>
    <t>Simmons</t>
  </si>
  <si>
    <t>Meanwell</t>
  </si>
  <si>
    <t xml:space="preserve"> (Marion Ogden)</t>
  </si>
  <si>
    <t xml:space="preserve"> Alfred J</t>
  </si>
  <si>
    <t>Stoytcheff</t>
  </si>
  <si>
    <t xml:space="preserve"> Ilia</t>
  </si>
  <si>
    <t xml:space="preserve"> Nils (Alma Cornelia Berglund)</t>
  </si>
  <si>
    <t>Doharr</t>
  </si>
  <si>
    <t>Jonsson</t>
  </si>
  <si>
    <t xml:space="preserve"> Carl</t>
  </si>
  <si>
    <t>Appleton</t>
  </si>
  <si>
    <t xml:space="preserve"> Edward Dale (Charlotte Lamson)</t>
  </si>
  <si>
    <t xml:space="preserve"> John Irwin ("Irving")</t>
  </si>
  <si>
    <t>Rush</t>
  </si>
  <si>
    <t xml:space="preserve"> Alfred George John</t>
  </si>
  <si>
    <t>Patchett</t>
  </si>
  <si>
    <t>Garside</t>
  </si>
  <si>
    <t xml:space="preserve"> Ethel</t>
  </si>
  <si>
    <t xml:space="preserve"> William Baird (Alice Munger)</t>
  </si>
  <si>
    <t>Caram</t>
  </si>
  <si>
    <t xml:space="preserve"> Joseph (Maria Elias)</t>
  </si>
  <si>
    <t xml:space="preserve"> Eiriik</t>
  </si>
  <si>
    <t>Christy</t>
  </si>
  <si>
    <t xml:space="preserve"> Julie Rachel</t>
  </si>
  <si>
    <t xml:space="preserve"> John Borland (Marian Longstreth Morris)</t>
  </si>
  <si>
    <t>Downton</t>
  </si>
  <si>
    <t xml:space="preserve"> William James</t>
  </si>
  <si>
    <t>Ross</t>
  </si>
  <si>
    <t xml:space="preserve"> John Hugo</t>
  </si>
  <si>
    <t>Paulner</t>
  </si>
  <si>
    <t xml:space="preserve"> Uscher</t>
  </si>
  <si>
    <t xml:space="preserve"> Ruth</t>
  </si>
  <si>
    <t>Jarvis</t>
  </si>
  <si>
    <t xml:space="preserve"> John Denzil</t>
  </si>
  <si>
    <t>Frolicher-Stehli</t>
  </si>
  <si>
    <t xml:space="preserve"> Maxmillian</t>
  </si>
  <si>
    <t>Gilinski</t>
  </si>
  <si>
    <t xml:space="preserve"> Eliezer</t>
  </si>
  <si>
    <t>Murdlin</t>
  </si>
  <si>
    <t>Rintamaki</t>
  </si>
  <si>
    <t xml:space="preserve"> Matti</t>
  </si>
  <si>
    <t>Stephenson</t>
  </si>
  <si>
    <t xml:space="preserve"> Walter Bertram (Martha Eustis)</t>
  </si>
  <si>
    <t>Elsbury</t>
  </si>
  <si>
    <t>Chapman</t>
  </si>
  <si>
    <t xml:space="preserve"> Jean Baptiste</t>
  </si>
  <si>
    <t>Leitch</t>
  </si>
  <si>
    <t xml:space="preserve"> Jessie Wills</t>
  </si>
  <si>
    <t xml:space="preserve"> Cosmo Edmund ("Mr Morgan")</t>
  </si>
  <si>
    <t>Sir</t>
  </si>
  <si>
    <t xml:space="preserve"> Sidney Samuel (Amy Frances Christy)</t>
  </si>
  <si>
    <t>Slabenoff</t>
  </si>
  <si>
    <t xml:space="preserve"> Petco</t>
  </si>
  <si>
    <t>Harrington</t>
  </si>
  <si>
    <t>Torber</t>
  </si>
  <si>
    <t xml:space="preserve"> Ernst William</t>
  </si>
  <si>
    <t>Homer</t>
  </si>
  <si>
    <t xml:space="preserve"> Harry ("Mr E Haven")</t>
  </si>
  <si>
    <t>Lindell</t>
  </si>
  <si>
    <t xml:space="preserve"> Edvard Bengtsson</t>
  </si>
  <si>
    <t>Karaic</t>
  </si>
  <si>
    <t xml:space="preserve"> Milan</t>
  </si>
  <si>
    <t>Daniel</t>
  </si>
  <si>
    <t xml:space="preserve"> Robert Williams</t>
  </si>
  <si>
    <t xml:space="preserve"> Joseph (Juliette Marie Louise Lafargue)</t>
  </si>
  <si>
    <t>Shutes</t>
  </si>
  <si>
    <t xml:space="preserve"> Elizabeth W</t>
  </si>
  <si>
    <t xml:space="preserve"> Anders Johan (Alfrida Konstantia Brogren)</t>
  </si>
  <si>
    <t>Jardin</t>
  </si>
  <si>
    <t xml:space="preserve"> Jose Neto</t>
  </si>
  <si>
    <t xml:space="preserve"> Margaret Jane</t>
  </si>
  <si>
    <t>Horgan</t>
  </si>
  <si>
    <t>Brocklebank</t>
  </si>
  <si>
    <t xml:space="preserve"> William Alfred</t>
  </si>
  <si>
    <t>Herman</t>
  </si>
  <si>
    <t xml:space="preserve"> Alice</t>
  </si>
  <si>
    <t xml:space="preserve"> Ernst Gilbert</t>
  </si>
  <si>
    <t xml:space="preserve"> William Arthur (Cordelia K Stanlick)</t>
  </si>
  <si>
    <t xml:space="preserve"> Marion Louise</t>
  </si>
  <si>
    <t>Gavey</t>
  </si>
  <si>
    <t>Yasbeck</t>
  </si>
  <si>
    <t xml:space="preserve"> Antoni</t>
  </si>
  <si>
    <t>Kimball</t>
  </si>
  <si>
    <t xml:space="preserve"> Edwin Nelson Jr</t>
  </si>
  <si>
    <t xml:space="preserve"> Sahid</t>
  </si>
  <si>
    <t>Hansen</t>
  </si>
  <si>
    <t xml:space="preserve"> Henry Damsgaard</t>
  </si>
  <si>
    <t>Bowen</t>
  </si>
  <si>
    <t xml:space="preserve"> David John "Dai"</t>
  </si>
  <si>
    <t>Sutton</t>
  </si>
  <si>
    <t>Kirkland</t>
  </si>
  <si>
    <t xml:space="preserve"> Charles Leonard</t>
  </si>
  <si>
    <t>Longley</t>
  </si>
  <si>
    <t xml:space="preserve"> Gretchen Fiske</t>
  </si>
  <si>
    <t>Bostandyeff</t>
  </si>
  <si>
    <t xml:space="preserve"> Guentcho</t>
  </si>
  <si>
    <t>O'Connell</t>
  </si>
  <si>
    <t xml:space="preserve"> Patrick D</t>
  </si>
  <si>
    <t>Barkworth</t>
  </si>
  <si>
    <t xml:space="preserve"> Algernon Henry Wilson</t>
  </si>
  <si>
    <t>Lundahl</t>
  </si>
  <si>
    <t xml:space="preserve"> Johan Svensson</t>
  </si>
  <si>
    <t>Stahelin-Maeglin</t>
  </si>
  <si>
    <t xml:space="preserve"> Max</t>
  </si>
  <si>
    <t>Parr</t>
  </si>
  <si>
    <t xml:space="preserve"> William Henry Marsh</t>
  </si>
  <si>
    <t xml:space="preserve"> Mabel</t>
  </si>
  <si>
    <t>Davis</t>
  </si>
  <si>
    <t>Leinonen</t>
  </si>
  <si>
    <t xml:space="preserve"> Antti Gustaf</t>
  </si>
  <si>
    <t xml:space="preserve"> Harvey</t>
  </si>
  <si>
    <t xml:space="preserve"> Juha (Maria Emilia Ojala)</t>
  </si>
  <si>
    <t xml:space="preserve"> Percival</t>
  </si>
  <si>
    <t>Jensen</t>
  </si>
  <si>
    <t xml:space="preserve"> Hans Peder</t>
  </si>
  <si>
    <t>Sagesser</t>
  </si>
  <si>
    <t xml:space="preserve"> Emma</t>
  </si>
  <si>
    <t>Mlle</t>
  </si>
  <si>
    <t xml:space="preserve"> Margit Elizabeth</t>
  </si>
  <si>
    <t>Foo</t>
  </si>
  <si>
    <t xml:space="preserve"> Choong</t>
  </si>
  <si>
    <t xml:space="preserve"> Eugenie</t>
  </si>
  <si>
    <t xml:space="preserve"> Henry Sleeper</t>
  </si>
  <si>
    <t>Cor</t>
  </si>
  <si>
    <t xml:space="preserve"> Liudevit</t>
  </si>
  <si>
    <t>Simonius-Blumer</t>
  </si>
  <si>
    <t xml:space="preserve"> Oberst Alfons</t>
  </si>
  <si>
    <t>Col</t>
  </si>
  <si>
    <t>Willey</t>
  </si>
  <si>
    <t xml:space="preserve"> Amy Zillah Elsie</t>
  </si>
  <si>
    <t>Mitkoff</t>
  </si>
  <si>
    <t xml:space="preserve"> Mito</t>
  </si>
  <si>
    <t xml:space="preserve"> Elsie</t>
  </si>
  <si>
    <t>Kalvik</t>
  </si>
  <si>
    <t xml:space="preserve"> Johannes Halvorsen</t>
  </si>
  <si>
    <t>O'Leary</t>
  </si>
  <si>
    <t xml:space="preserve"> Hanora "Norah"</t>
  </si>
  <si>
    <t>Hegarty</t>
  </si>
  <si>
    <t xml:space="preserve"> Leonard Mark</t>
  </si>
  <si>
    <t>Radeff</t>
  </si>
  <si>
    <t xml:space="preserve"> John (Catherine)</t>
  </si>
  <si>
    <t>Eitemiller</t>
  </si>
  <si>
    <t xml:space="preserve"> George Floyd</t>
  </si>
  <si>
    <t xml:space="preserve"> Arthur Webster</t>
  </si>
  <si>
    <t xml:space="preserve"> Henry William</t>
  </si>
  <si>
    <t>Badt</t>
  </si>
  <si>
    <t xml:space="preserve"> Mohamed</t>
  </si>
  <si>
    <t>Colley</t>
  </si>
  <si>
    <t xml:space="preserve"> Edward Pomeroy</t>
  </si>
  <si>
    <t xml:space="preserve"> Peju</t>
  </si>
  <si>
    <t>Lindqvist</t>
  </si>
  <si>
    <t xml:space="preserve"> Eino William</t>
  </si>
  <si>
    <t xml:space="preserve"> Lewis</t>
  </si>
  <si>
    <t>Butler</t>
  </si>
  <si>
    <t xml:space="preserve"> Reginald Fenton</t>
  </si>
  <si>
    <t>Rommetvedt</t>
  </si>
  <si>
    <t xml:space="preserve"> Knud Paust</t>
  </si>
  <si>
    <t>Cook</t>
  </si>
  <si>
    <t xml:space="preserve"> Jacob</t>
  </si>
  <si>
    <t>Taylor</t>
  </si>
  <si>
    <t xml:space="preserve"> Elmer Zebley (Juliet Cummins Wright)</t>
  </si>
  <si>
    <t xml:space="preserve"> Thomas William Solomon (Elizabeth Catherine Ford)</t>
  </si>
  <si>
    <t>Davidson</t>
  </si>
  <si>
    <t xml:space="preserve"> Thornton</t>
  </si>
  <si>
    <t>Mitchell</t>
  </si>
  <si>
    <t xml:space="preserve"> Henry Michael</t>
  </si>
  <si>
    <t>Wilhelms</t>
  </si>
  <si>
    <t xml:space="preserve"> Charles</t>
  </si>
  <si>
    <t>Watson</t>
  </si>
  <si>
    <t xml:space="preserve"> Ennis Hastings</t>
  </si>
  <si>
    <t>Edvardsson</t>
  </si>
  <si>
    <t xml:space="preserve"> Gustaf Hjalmar</t>
  </si>
  <si>
    <t>Sawyer</t>
  </si>
  <si>
    <t xml:space="preserve"> Frederick Charles</t>
  </si>
  <si>
    <t>Turja</t>
  </si>
  <si>
    <t xml:space="preserve"> Frederick (Augusta Tyler)</t>
  </si>
  <si>
    <t>Cardeza</t>
  </si>
  <si>
    <t xml:space="preserve"> Thomas Drake Martinez</t>
  </si>
  <si>
    <t>Peters</t>
  </si>
  <si>
    <t xml:space="preserve"> Katie</t>
  </si>
  <si>
    <t>Hassab</t>
  </si>
  <si>
    <t xml:space="preserve"> Hammad</t>
  </si>
  <si>
    <t>Olsvigen</t>
  </si>
  <si>
    <t xml:space="preserve"> Thor Anderson</t>
  </si>
  <si>
    <t xml:space="preserve"> Charles Edward</t>
  </si>
  <si>
    <t xml:space="preserve"> Thomas William Solomon</t>
  </si>
  <si>
    <t xml:space="preserve"> Joseph Philippe Lemercier</t>
  </si>
  <si>
    <t xml:space="preserve"> Jaako Arnold</t>
  </si>
  <si>
    <t>Dakic</t>
  </si>
  <si>
    <t xml:space="preserve"> Branko</t>
  </si>
  <si>
    <t>Fischer</t>
  </si>
  <si>
    <t xml:space="preserve"> Eberhard Thelander</t>
  </si>
  <si>
    <t>Madill</t>
  </si>
  <si>
    <t xml:space="preserve"> Georgette Alexandra</t>
  </si>
  <si>
    <t>Dick</t>
  </si>
  <si>
    <t xml:space="preserve"> Albert Adrian</t>
  </si>
  <si>
    <t>Karun</t>
  </si>
  <si>
    <t xml:space="preserve"> Manca</t>
  </si>
  <si>
    <t>Lam</t>
  </si>
  <si>
    <t xml:space="preserve"> Ali</t>
  </si>
  <si>
    <t>Saad</t>
  </si>
  <si>
    <t xml:space="preserve"> Khalil</t>
  </si>
  <si>
    <t>Weir</t>
  </si>
  <si>
    <t>Mullens</t>
  </si>
  <si>
    <t xml:space="preserve"> John Borland</t>
  </si>
  <si>
    <t>Humblen</t>
  </si>
  <si>
    <t xml:space="preserve"> Adolf Mathias Nicolai Olsen</t>
  </si>
  <si>
    <t>Astor</t>
  </si>
  <si>
    <t xml:space="preserve"> John Jacob (Madeleine Talmadge Force)</t>
  </si>
  <si>
    <t>Silverthorne</t>
  </si>
  <si>
    <t xml:space="preserve"> Spencer Victor</t>
  </si>
  <si>
    <t xml:space="preserve"> Saiide</t>
  </si>
  <si>
    <t>Gallagher</t>
  </si>
  <si>
    <t xml:space="preserve"> Henrik Juul</t>
  </si>
  <si>
    <t xml:space="preserve"> Henry Samuel ("Mr Henry Marshall")</t>
  </si>
  <si>
    <t xml:space="preserve"> Florence "Fannie"</t>
  </si>
  <si>
    <t>Calderhead</t>
  </si>
  <si>
    <t xml:space="preserve"> Edward Pennington</t>
  </si>
  <si>
    <t>Cleaver</t>
  </si>
  <si>
    <t xml:space="preserve"> Halim Gonios ("William George")</t>
  </si>
  <si>
    <t>Mayne</t>
  </si>
  <si>
    <t xml:space="preserve"> Berthe Antonine ("Mrs de Villiers")</t>
  </si>
  <si>
    <t>Klaber</t>
  </si>
  <si>
    <t xml:space="preserve"> Herman</t>
  </si>
  <si>
    <t xml:space="preserve"> Elmer Zebley</t>
  </si>
  <si>
    <t xml:space="preserve"> August Viktor</t>
  </si>
  <si>
    <t>Greenberg</t>
  </si>
  <si>
    <t>Soholt</t>
  </si>
  <si>
    <t xml:space="preserve"> Peter Andreas Lauritz Andersen</t>
  </si>
  <si>
    <t>Endres</t>
  </si>
  <si>
    <t xml:space="preserve"> Caroline Louise</t>
  </si>
  <si>
    <t>Troutt</t>
  </si>
  <si>
    <t xml:space="preserve"> Edwina Celia "Winnie"</t>
  </si>
  <si>
    <t>McEvoy</t>
  </si>
  <si>
    <t xml:space="preserve"> Michael</t>
  </si>
  <si>
    <t xml:space="preserve"> Malkolm Joackim</t>
  </si>
  <si>
    <t xml:space="preserve"> Annie Jessie "Nina"</t>
  </si>
  <si>
    <t xml:space="preserve"> Svend Lauritz</t>
  </si>
  <si>
    <t>Gillespie</t>
  </si>
  <si>
    <t>Hodges</t>
  </si>
  <si>
    <t xml:space="preserve"> Henry Price</t>
  </si>
  <si>
    <t>Chambers</t>
  </si>
  <si>
    <t xml:space="preserve"> Norman Campbell</t>
  </si>
  <si>
    <t xml:space="preserve"> Peter Henry (Lillian Jefferys)</t>
  </si>
  <si>
    <t>Mannion</t>
  </si>
  <si>
    <t xml:space="preserve"> Margareth</t>
  </si>
  <si>
    <t>Bryhl</t>
  </si>
  <si>
    <t xml:space="preserve"> Kurt Arnold Gottfrid</t>
  </si>
  <si>
    <t>Ilmakangas</t>
  </si>
  <si>
    <t xml:space="preserve"> Pieta Sofia</t>
  </si>
  <si>
    <t xml:space="preserve"> Elisabeth Walton</t>
  </si>
  <si>
    <t>Hassan</t>
  </si>
  <si>
    <t xml:space="preserve"> Houssein G N</t>
  </si>
  <si>
    <t>Knight</t>
  </si>
  <si>
    <t xml:space="preserve"> Robert J</t>
  </si>
  <si>
    <t>Berriman</t>
  </si>
  <si>
    <t>Troupiansky</t>
  </si>
  <si>
    <t xml:space="preserve"> Moses Aaron</t>
  </si>
  <si>
    <t xml:space="preserve"> Leslie</t>
  </si>
  <si>
    <t xml:space="preserve"> Edward (Margaret Ann Watson)</t>
  </si>
  <si>
    <t>Lesurer</t>
  </si>
  <si>
    <t xml:space="preserve"> Gustave J</t>
  </si>
  <si>
    <t>Ivanoff</t>
  </si>
  <si>
    <t xml:space="preserve"> Kanio</t>
  </si>
  <si>
    <t>Nankoff</t>
  </si>
  <si>
    <t xml:space="preserve"> Minko</t>
  </si>
  <si>
    <t>Hawksford</t>
  </si>
  <si>
    <t xml:space="preserve"> Walter James</t>
  </si>
  <si>
    <t>Cavendish</t>
  </si>
  <si>
    <t xml:space="preserve"> Tyrell William</t>
  </si>
  <si>
    <t xml:space="preserve"> Susan Parker "Suzette"</t>
  </si>
  <si>
    <t>McNamee</t>
  </si>
  <si>
    <t xml:space="preserve"> Neal</t>
  </si>
  <si>
    <t>Stranden</t>
  </si>
  <si>
    <t xml:space="preserve"> Edward Gifford</t>
  </si>
  <si>
    <t>Capt</t>
  </si>
  <si>
    <t xml:space="preserve"> Rossmore Edward</t>
  </si>
  <si>
    <t>Sinkkonen</t>
  </si>
  <si>
    <t>Marvin</t>
  </si>
  <si>
    <t xml:space="preserve"> Daniel Warner</t>
  </si>
  <si>
    <t>Connaghton</t>
  </si>
  <si>
    <t>Wells</t>
  </si>
  <si>
    <t xml:space="preserve"> Joan</t>
  </si>
  <si>
    <t>Moor</t>
  </si>
  <si>
    <t xml:space="preserve"> Meier</t>
  </si>
  <si>
    <t>Vande Velde</t>
  </si>
  <si>
    <t xml:space="preserve"> Johannes Joseph</t>
  </si>
  <si>
    <t>Jonkoff</t>
  </si>
  <si>
    <t xml:space="preserve"> Samuel (Jane Laver)</t>
  </si>
  <si>
    <t xml:space="preserve"> Viljo</t>
  </si>
  <si>
    <t>Carlsson</t>
  </si>
  <si>
    <t xml:space="preserve"> August Sigfrid</t>
  </si>
  <si>
    <t>Bailey</t>
  </si>
  <si>
    <t xml:space="preserve"> Percy Andrew</t>
  </si>
  <si>
    <t>Theobald</t>
  </si>
  <si>
    <t xml:space="preserve"> Thomas Leonard</t>
  </si>
  <si>
    <t>Rothes</t>
  </si>
  <si>
    <t xml:space="preserve"> of (Lucy Noel Martha Dyer-Edwards)</t>
  </si>
  <si>
    <t>the Countess</t>
  </si>
  <si>
    <t>Garfirth</t>
  </si>
  <si>
    <t>Nirva</t>
  </si>
  <si>
    <t xml:space="preserve"> Iisakki Antino Aijo</t>
  </si>
  <si>
    <t>Barah</t>
  </si>
  <si>
    <t xml:space="preserve"> Hanna Assi</t>
  </si>
  <si>
    <t xml:space="preserve"> William Ernest (Lucile Polk)</t>
  </si>
  <si>
    <t>Eklund</t>
  </si>
  <si>
    <t xml:space="preserve"> Hans Linus</t>
  </si>
  <si>
    <t>Hogeboom</t>
  </si>
  <si>
    <t xml:space="preserve"> John C (Anna Andrews)</t>
  </si>
  <si>
    <t>Brewe</t>
  </si>
  <si>
    <t xml:space="preserve"> Arthur Jackson</t>
  </si>
  <si>
    <t>Mangan</t>
  </si>
  <si>
    <t xml:space="preserve"> Daniel J</t>
  </si>
  <si>
    <t>Gronnestad</t>
  </si>
  <si>
    <t xml:space="preserve"> Daniel Danielsen</t>
  </si>
  <si>
    <t>Lievens</t>
  </si>
  <si>
    <t xml:space="preserve"> Rene Aime</t>
  </si>
  <si>
    <t xml:space="preserve"> Niels Peder</t>
  </si>
  <si>
    <t>Mack</t>
  </si>
  <si>
    <t xml:space="preserve"> (Mary)</t>
  </si>
  <si>
    <t xml:space="preserve"> Dibo</t>
  </si>
  <si>
    <t xml:space="preserve"> Elizabeth (Eliza Needs)</t>
  </si>
  <si>
    <t>Myhrman</t>
  </si>
  <si>
    <t xml:space="preserve"> Pehr Fabian Oliver Malkolm</t>
  </si>
  <si>
    <t>Tobin</t>
  </si>
  <si>
    <t xml:space="preserve"> Roger</t>
  </si>
  <si>
    <t>Emanuel</t>
  </si>
  <si>
    <t xml:space="preserve"> Virginia Ethel</t>
  </si>
  <si>
    <t>Kilgannon</t>
  </si>
  <si>
    <t xml:space="preserve"> Thomas J</t>
  </si>
  <si>
    <t>Robert</t>
  </si>
  <si>
    <t xml:space="preserve"> Edward Scott (Elisabeth Walton McMillan)</t>
  </si>
  <si>
    <t>Ayoub</t>
  </si>
  <si>
    <t xml:space="preserve"> Banoura</t>
  </si>
  <si>
    <t xml:space="preserve"> Albert Adrian (Vera Gillespie)</t>
  </si>
  <si>
    <t>Long</t>
  </si>
  <si>
    <t xml:space="preserve"> Milton Clyde</t>
  </si>
  <si>
    <t>Johnston</t>
  </si>
  <si>
    <t xml:space="preserve"> Andrew G</t>
  </si>
  <si>
    <t>Harmer</t>
  </si>
  <si>
    <t xml:space="preserve"> Abraham (David Lishin)</t>
  </si>
  <si>
    <t>Sjoblom</t>
  </si>
  <si>
    <t xml:space="preserve"> George Hugh</t>
  </si>
  <si>
    <t xml:space="preserve"> Bertram Vere</t>
  </si>
  <si>
    <t>Guggenheim</t>
  </si>
  <si>
    <t xml:space="preserve"> Andrew "Andy"</t>
  </si>
  <si>
    <t>Gaskell</t>
  </si>
  <si>
    <t xml:space="preserve"> Stella Anna</t>
  </si>
  <si>
    <t xml:space="preserve"> William Fisher</t>
  </si>
  <si>
    <t>Dantcheff</t>
  </si>
  <si>
    <t xml:space="preserve"> Ristiu</t>
  </si>
  <si>
    <t>Otter</t>
  </si>
  <si>
    <t xml:space="preserve"> Richard</t>
  </si>
  <si>
    <t>Leader</t>
  </si>
  <si>
    <t xml:space="preserve"> Alice (Farnham)</t>
  </si>
  <si>
    <t>Osman</t>
  </si>
  <si>
    <t xml:space="preserve"> Mara</t>
  </si>
  <si>
    <t>Ibrahim Shawah</t>
  </si>
  <si>
    <t xml:space="preserve"> Yousseff</t>
  </si>
  <si>
    <t xml:space="preserve"> Jean Baptiste (Rosalie Paula Govaert)</t>
  </si>
  <si>
    <t>Ponesell</t>
  </si>
  <si>
    <t xml:space="preserve"> Harvey (Charlotte Annie Tate)</t>
  </si>
  <si>
    <t xml:space="preserve"> William Thornton II</t>
  </si>
  <si>
    <t>Thomas</t>
  </si>
  <si>
    <t xml:space="preserve"> Assad Alexander</t>
  </si>
  <si>
    <t>Hedman</t>
  </si>
  <si>
    <t xml:space="preserve"> Oskar Arvid</t>
  </si>
  <si>
    <t xml:space="preserve"> Karl Johan</t>
  </si>
  <si>
    <t xml:space="preserve"> Thomas Jr</t>
  </si>
  <si>
    <t>Pettersson</t>
  </si>
  <si>
    <t xml:space="preserve"> Ellen Natalia</t>
  </si>
  <si>
    <t xml:space="preserve"> August</t>
  </si>
  <si>
    <t xml:space="preserve"> Norman Campbell (Bertha Griggs)</t>
  </si>
  <si>
    <t>Alexander</t>
  </si>
  <si>
    <t>Lester</t>
  </si>
  <si>
    <t>Slemen</t>
  </si>
  <si>
    <t xml:space="preserve"> Richard James</t>
  </si>
  <si>
    <t xml:space="preserve"> Ebba Iris Alfrida</t>
  </si>
  <si>
    <t>Tomlin</t>
  </si>
  <si>
    <t xml:space="preserve"> Ernest Portage</t>
  </si>
  <si>
    <t>Fry</t>
  </si>
  <si>
    <t>Heininen</t>
  </si>
  <si>
    <t xml:space="preserve"> Wendla Maria</t>
  </si>
  <si>
    <t>Mallet</t>
  </si>
  <si>
    <t xml:space="preserve"> Albert</t>
  </si>
  <si>
    <t>Holm</t>
  </si>
  <si>
    <t xml:space="preserve"> John Fredrik Alexander</t>
  </si>
  <si>
    <t xml:space="preserve"> Karl Thorsten</t>
  </si>
  <si>
    <t xml:space="preserve"> Charles Melville (Clara Jennings Gregg)</t>
  </si>
  <si>
    <t>Lulic</t>
  </si>
  <si>
    <t xml:space="preserve"> Nikola</t>
  </si>
  <si>
    <t>Reuchlin</t>
  </si>
  <si>
    <t xml:space="preserve"> John George</t>
  </si>
  <si>
    <t>Jonkheer</t>
  </si>
  <si>
    <t xml:space="preserve"> (Beila)</t>
  </si>
  <si>
    <t xml:space="preserve"> Urho Abraham</t>
  </si>
  <si>
    <t xml:space="preserve"> Len</t>
  </si>
  <si>
    <t xml:space="preserve"> Andre</t>
  </si>
  <si>
    <t>McCormack</t>
  </si>
  <si>
    <t xml:space="preserve"> Thomas Joseph</t>
  </si>
  <si>
    <t>Stone</t>
  </si>
  <si>
    <t xml:space="preserve"> George Nelson (Martha Evelyn)</t>
  </si>
  <si>
    <t xml:space="preserve"> Antoni (Selini Alexander)</t>
  </si>
  <si>
    <t xml:space="preserve"> George Sibley</t>
  </si>
  <si>
    <t xml:space="preserve"> Amin</t>
  </si>
  <si>
    <t>Augustsson</t>
  </si>
  <si>
    <t>Allum</t>
  </si>
  <si>
    <t xml:space="preserve"> Owen George</t>
  </si>
  <si>
    <t>Compton</t>
  </si>
  <si>
    <t xml:space="preserve"> Sara Rebecca</t>
  </si>
  <si>
    <t>Pasic</t>
  </si>
  <si>
    <t xml:space="preserve"> Jakob</t>
  </si>
  <si>
    <t>Sirota</t>
  </si>
  <si>
    <t>Chip</t>
  </si>
  <si>
    <t xml:space="preserve"> Chang</t>
  </si>
  <si>
    <t>Marechal</t>
  </si>
  <si>
    <t xml:space="preserve"> Pierre</t>
  </si>
  <si>
    <t>Alhomaki</t>
  </si>
  <si>
    <t xml:space="preserve"> Ilmari Rudolf</t>
  </si>
  <si>
    <t>Mudd</t>
  </si>
  <si>
    <t xml:space="preserve"> Thomas Charles</t>
  </si>
  <si>
    <t>Serepeca</t>
  </si>
  <si>
    <t xml:space="preserve"> Augusta</t>
  </si>
  <si>
    <t>Lemberopolous</t>
  </si>
  <si>
    <t xml:space="preserve"> Peter L</t>
  </si>
  <si>
    <t>Culumovic</t>
  </si>
  <si>
    <t xml:space="preserve"> Jeso</t>
  </si>
  <si>
    <t>Abbing</t>
  </si>
  <si>
    <t xml:space="preserve"> Anthony</t>
  </si>
  <si>
    <t xml:space="preserve"> Douglas Bullen</t>
  </si>
  <si>
    <t>Markoff</t>
  </si>
  <si>
    <t xml:space="preserve"> Marin</t>
  </si>
  <si>
    <t xml:space="preserve"> Samuel L (Edwiga Grabowska)</t>
  </si>
  <si>
    <t xml:space="preserve"> Sigvard Harald Elias</t>
  </si>
  <si>
    <t xml:space="preserve"> Nourelain</t>
  </si>
  <si>
    <t>Lines</t>
  </si>
  <si>
    <t xml:space="preserve"> Mary Conover</t>
  </si>
  <si>
    <t xml:space="preserve"> Ernest Courtenay (Lilian Hughes)</t>
  </si>
  <si>
    <t>Aks</t>
  </si>
  <si>
    <t xml:space="preserve"> Sam (Leah Rosen)</t>
  </si>
  <si>
    <t xml:space="preserve"> George Dennick (Mary Hitchcock)</t>
  </si>
  <si>
    <t xml:space="preserve"> Peter Denis </t>
  </si>
  <si>
    <t xml:space="preserve"> Solomon (Latifa Qurban)</t>
  </si>
  <si>
    <t>Razi</t>
  </si>
  <si>
    <t xml:space="preserve"> Raihed</t>
  </si>
  <si>
    <t xml:space="preserve"> Claus Peter</t>
  </si>
  <si>
    <t>Giles</t>
  </si>
  <si>
    <t xml:space="preserve"> Frederick Edward</t>
  </si>
  <si>
    <t>Swift</t>
  </si>
  <si>
    <t xml:space="preserve"> Frederick Joel (Margaret Welles Barron)</t>
  </si>
  <si>
    <t xml:space="preserve"> Dorothy Edith "Dolly"</t>
  </si>
  <si>
    <t>Gill</t>
  </si>
  <si>
    <t xml:space="preserve"> John William</t>
  </si>
  <si>
    <t>Bystrom</t>
  </si>
  <si>
    <t xml:space="preserve"> (Karolina)</t>
  </si>
  <si>
    <t>Duran y More</t>
  </si>
  <si>
    <t xml:space="preserve"> Asuncion</t>
  </si>
  <si>
    <t>Roebling</t>
  </si>
  <si>
    <t xml:space="preserve"> Washington Augustus II</t>
  </si>
  <si>
    <t>van Melkebeke</t>
  </si>
  <si>
    <t xml:space="preserve"> Philemon</t>
  </si>
  <si>
    <t xml:space="preserve"> Harold Theodor</t>
  </si>
  <si>
    <t>Balkic</t>
  </si>
  <si>
    <t xml:space="preserve"> Cerin</t>
  </si>
  <si>
    <t xml:space="preserve"> Richard Leonard (Sallie Monypeny)</t>
  </si>
  <si>
    <t xml:space="preserve"> Frans Olof</t>
  </si>
  <si>
    <t>Vander Cruyssen</t>
  </si>
  <si>
    <t xml:space="preserve"> Samuel (Hannah Wizosky)</t>
  </si>
  <si>
    <t>Najib</t>
  </si>
  <si>
    <t xml:space="preserve"> Adele Kiamie "Jane"</t>
  </si>
  <si>
    <t xml:space="preserve"> Alfred Ossian</t>
  </si>
  <si>
    <t xml:space="preserve"> Nedelio</t>
  </si>
  <si>
    <t>Laleff</t>
  </si>
  <si>
    <t xml:space="preserve"> Kristo</t>
  </si>
  <si>
    <t>Potter</t>
  </si>
  <si>
    <t xml:space="preserve"> Thomas Jr (Lily Alexenia Wilson)</t>
  </si>
  <si>
    <t>Shelley</t>
  </si>
  <si>
    <t xml:space="preserve"> William (Imanita Parrish Hall)</t>
  </si>
  <si>
    <t>Markun</t>
  </si>
  <si>
    <t xml:space="preserve"> Johann</t>
  </si>
  <si>
    <t>Dahlberg</t>
  </si>
  <si>
    <t xml:space="preserve"> Gerda Ulrika</t>
  </si>
  <si>
    <t>Banfield</t>
  </si>
  <si>
    <t xml:space="preserve"> Frederick James</t>
  </si>
  <si>
    <t>Sutehall</t>
  </si>
  <si>
    <t xml:space="preserve"> Henry Jr</t>
  </si>
  <si>
    <t xml:space="preserve"> William (Margaret Norton)</t>
  </si>
  <si>
    <t>Montvila</t>
  </si>
  <si>
    <t xml:space="preserve"> Juozas</t>
  </si>
  <si>
    <t xml:space="preserve"> Margaret Edith</t>
  </si>
  <si>
    <t xml:space="preserve"> Catherine Helen "Carrie"</t>
  </si>
  <si>
    <t>Behr</t>
  </si>
  <si>
    <t xml:space="preserve"> Karl Howell</t>
  </si>
  <si>
    <t>Dooley</t>
  </si>
  <si>
    <t>Survival Rate Based on Gender</t>
  </si>
  <si>
    <t>Average of Survived</t>
  </si>
  <si>
    <t>Female</t>
  </si>
  <si>
    <t>Male</t>
  </si>
  <si>
    <t>Grand Total</t>
  </si>
  <si>
    <t>Survival Rate Based on Gender &amp; Passenger Class</t>
  </si>
  <si>
    <t>Survival Count By Family Size</t>
  </si>
  <si>
    <t>Count of Family_Size</t>
  </si>
  <si>
    <t>Not Survived</t>
  </si>
  <si>
    <t>Passenger Count &amp; Survival Rate by Age Group</t>
  </si>
  <si>
    <t>Count of Age_Group</t>
  </si>
  <si>
    <t>Adult</t>
  </si>
  <si>
    <t>Elderly</t>
  </si>
  <si>
    <t>Kid</t>
  </si>
  <si>
    <t>Teenager</t>
  </si>
  <si>
    <t>Survival Rate by Embarkation Point, Passenger Class &amp; Gender</t>
  </si>
  <si>
    <t>Cherbourg</t>
  </si>
  <si>
    <t>Queenstown</t>
  </si>
  <si>
    <t>Southampton</t>
  </si>
  <si>
    <t>x</t>
  </si>
  <si>
    <t>Survival Rate by Embarkation Point &amp; Fare Fraction</t>
  </si>
  <si>
    <t>High</t>
  </si>
  <si>
    <t>Low</t>
  </si>
  <si>
    <t>Mid</t>
  </si>
  <si>
    <t>Titanic Survival Dashboard</t>
  </si>
  <si>
    <t>Total Passengers
891</t>
  </si>
  <si>
    <t>Overall Survival Rate
38%</t>
  </si>
  <si>
    <r>
      <t xml:space="preserve">                                       </t>
    </r>
    <r>
      <rPr>
        <b/>
        <sz val="12"/>
        <color theme="1"/>
        <rFont val="Calibri"/>
        <charset val="134"/>
        <scheme val="minor"/>
      </rPr>
      <t xml:space="preserve">    Key Insights:</t>
    </r>
    <r>
      <rPr>
        <b/>
        <sz val="11"/>
        <color theme="1"/>
        <rFont val="Calibri"/>
        <charset val="134"/>
        <scheme val="minor"/>
      </rPr>
      <t xml:space="preserve">
1. Females had much higher survival rate than males.
2. First class passengers were most likely to survive.
3. Third class had lowest survival.
4. Embarkation point also influenced survival slightly.</t>
    </r>
  </si>
  <si>
    <t>Age Group</t>
  </si>
  <si>
    <t>Min Age</t>
  </si>
  <si>
    <t xml:space="preserve">Note:I grouped passenger into age bands using XLOOKUP with approximate matching. </t>
  </si>
  <si>
    <t xml:space="preserve">Note:I grouped passenger gender bands using XLOOKUP with approximate matching. </t>
  </si>
  <si>
    <t xml:space="preserve">Note:I grouped passenger fares into Low, Mid, and High bands using XLOOKUP with approximate matching. </t>
  </si>
  <si>
    <t>Range</t>
  </si>
  <si>
    <t>Family Category</t>
  </si>
  <si>
    <t xml:space="preserve">Note:I grouped passenger family bands using XLOOKUP with approximate matching. </t>
  </si>
  <si>
    <t>Size</t>
  </si>
  <si>
    <t>Category</t>
  </si>
  <si>
    <t>Alone</t>
  </si>
  <si>
    <t>Small Family</t>
  </si>
  <si>
    <t>Large Family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</si>
</sst>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FAA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10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justify" vertical="center"/>
    </xf>
    <xf numFmtId="0" fontId="0" fillId="0" borderId="0" xfId="0" applyNumberFormat="1" applyFill="1" applyAlignment="1">
      <alignment horizontal="justify" vertical="center"/>
    </xf>
    <xf numFmtId="0" fontId="0" fillId="0" borderId="0" xfId="0" applyNumberFormat="1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justify"/>
    </dxf>
    <dxf>
      <numFmt numFmtId="0" formatCode="General"/>
    </dxf>
    <dxf>
      <alignment horizontal="left" vertical="center"/>
    </dxf>
    <dxf>
      <alignment horizontal="left" vertical="center"/>
    </dxf>
    <dxf>
      <alignment horizontal="left" vertical="center"/>
    </dxf>
    <dxf>
      <numFmt numFmtId="0" formatCode="General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colors>
    <mruColors>
      <color rgb="004590CF"/>
      <color rgb="0065A6D7"/>
      <color rgb="0081B4E0"/>
      <color rgb="005D9FD7"/>
      <color rgb="006FAAD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3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[train_raw_excel_final.xlsx]Pivot Tables!PivotTable14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Survival Rate Based on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'Pivot Tables'!$B$5:$B$8</c:f>
              <c:numCache>
                <c:formatCode>0.00%</c:formatCode>
                <c:ptCount val="3"/>
                <c:pt idx="0">
                  <c:v>0.736156351791531</c:v>
                </c:pt>
                <c:pt idx="1">
                  <c:v>0.188811188811189</c:v>
                </c:pt>
                <c:pt idx="2">
                  <c:v>0.666666666666667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7690220"/>
        <c:axId val="664209330"/>
      </c:barChart>
      <c:catAx>
        <c:axId val="376902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209330"/>
        <c:crosses val="autoZero"/>
        <c:auto val="1"/>
        <c:lblAlgn val="ctr"/>
        <c:lblOffset val="100"/>
        <c:noMultiLvlLbl val="0"/>
      </c:catAx>
      <c:valAx>
        <c:axId val="6642093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6902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964b7c-edb6-4219-9c21-e976f7d911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[train_raw_excel_final.xlsx]Pivot Tables!PivotTable15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Survival Rate by Pclass &amp;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Tables'!$B$19:$B$20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Tables'!$A$21:$A$24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'Pivot Tables'!$B$21:$B$24</c:f>
              <c:numCache>
                <c:formatCode>0.00%</c:formatCode>
                <c:ptCount val="3"/>
                <c:pt idx="0">
                  <c:v>0.965909090909091</c:v>
                </c:pt>
                <c:pt idx="1">
                  <c:v>0.92</c:v>
                </c:pt>
                <c:pt idx="2">
                  <c:v>0.5</c:v>
                </c:pt>
              </c:numCache>
            </c:numRef>
          </c:val>
        </c:ser>
        <c:ser>
          <c:idx val="1"/>
          <c:order val="1"/>
          <c:tx>
            <c:strRef>
              <c:f>'Pivot Tables'!$C$19:$C$20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Tables'!$A$21:$A$24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'Pivot Tables'!$C$21:$C$24</c:f>
              <c:numCache>
                <c:formatCode>0.00%</c:formatCode>
                <c:ptCount val="3"/>
                <c:pt idx="0">
                  <c:v>0.376068376068376</c:v>
                </c:pt>
                <c:pt idx="1">
                  <c:v>0.157407407407407</c:v>
                </c:pt>
                <c:pt idx="2">
                  <c:v>0.135446685878963</c:v>
                </c:pt>
              </c:numCache>
            </c:numRef>
          </c:val>
        </c:ser>
        <c:ser>
          <c:idx val="2"/>
          <c:order val="2"/>
          <c:tx>
            <c:strRef>
              <c:f>'Pivot Tables'!$D$19:$D$20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Tables'!$A$21:$A$24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'Pivot Tables'!$D$21:$D$24</c:f>
              <c:numCache>
                <c:formatCode>0.00%</c:formatCode>
                <c:ptCount val="3"/>
                <c:pt idx="0">
                  <c:v>0.636363636363636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178290197"/>
        <c:axId val="622160876"/>
      </c:barChart>
      <c:catAx>
        <c:axId val="1782901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160876"/>
        <c:crosses val="autoZero"/>
        <c:auto val="1"/>
        <c:lblAlgn val="ctr"/>
        <c:lblOffset val="100"/>
        <c:noMultiLvlLbl val="0"/>
      </c:catAx>
      <c:valAx>
        <c:axId val="6221608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2901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7ce2e9-be5b-4012-bf61-d96808e2c4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[train_raw_excel_final.xlsx]Pivot Tables!PivotTable16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Survival Count by Family Size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Tables'!$B$35:$B$36</c:f>
              <c:strCache>
                <c:ptCount val="1"/>
                <c:pt idx="0">
                  <c:v>Not Survived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Tables'!$A$37:$A$46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</c:strCache>
            </c:strRef>
          </c:cat>
          <c:val>
            <c:numRef>
              <c:f>'Pivot Tables'!$B$37:$B$46</c:f>
              <c:numCache>
                <c:formatCode>General</c:formatCode>
                <c:ptCount val="9"/>
                <c:pt idx="0">
                  <c:v>374</c:v>
                </c:pt>
                <c:pt idx="1">
                  <c:v>72</c:v>
                </c:pt>
                <c:pt idx="2">
                  <c:v>43</c:v>
                </c:pt>
                <c:pt idx="3">
                  <c:v>8</c:v>
                </c:pt>
                <c:pt idx="4">
                  <c:v>12</c:v>
                </c:pt>
                <c:pt idx="5">
                  <c:v>19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</c:numCache>
            </c:numRef>
          </c:val>
        </c:ser>
        <c:ser>
          <c:idx val="1"/>
          <c:order val="1"/>
          <c:tx>
            <c:strRef>
              <c:f>'Pivot Tables'!$C$35:$C$36</c:f>
              <c:strCache>
                <c:ptCount val="1"/>
                <c:pt idx="0">
                  <c:v>Survived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Tables'!$A$37:$A$46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</c:strCache>
            </c:strRef>
          </c:cat>
          <c:val>
            <c:numRef>
              <c:f>'Pivot Tables'!$C$37:$C$46</c:f>
              <c:numCache>
                <c:formatCode>General</c:formatCode>
                <c:ptCount val="9"/>
                <c:pt idx="0">
                  <c:v>163</c:v>
                </c:pt>
                <c:pt idx="1">
                  <c:v>89</c:v>
                </c:pt>
                <c:pt idx="2">
                  <c:v>59</c:v>
                </c:pt>
                <c:pt idx="3">
                  <c:v>21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38834891"/>
        <c:axId val="135983594"/>
      </c:barChart>
      <c:catAx>
        <c:axId val="3883489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983594"/>
        <c:crosses val="autoZero"/>
        <c:auto val="1"/>
        <c:lblAlgn val="ctr"/>
        <c:lblOffset val="100"/>
        <c:noMultiLvlLbl val="0"/>
      </c:catAx>
      <c:valAx>
        <c:axId val="13598359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8348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28b37e-e8ca-4c69-975f-75ce191a83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[train_raw_excel_final.xlsx]Pivot Tables!PivotTable18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Passenger Count and Survival Rate by Age Group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Tables'!$B$56</c:f>
              <c:strCache>
                <c:ptCount val="1"/>
                <c:pt idx="0">
                  <c:v>Average of Survived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Tables'!$A$57:$A$62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Kid</c:v>
                </c:pt>
                <c:pt idx="3">
                  <c:v>Teenager</c:v>
                </c:pt>
                <c:pt idx="4">
                  <c:v>Unknown</c:v>
                </c:pt>
              </c:strCache>
            </c:strRef>
          </c:cat>
          <c:val>
            <c:numRef>
              <c:f>'Pivot Tables'!$B$57:$B$62</c:f>
              <c:numCache>
                <c:formatCode>0%</c:formatCode>
                <c:ptCount val="5"/>
                <c:pt idx="0">
                  <c:v>0.389312977099237</c:v>
                </c:pt>
                <c:pt idx="1">
                  <c:v>0.269230769230769</c:v>
                </c:pt>
                <c:pt idx="2">
                  <c:v>0.579710144927536</c:v>
                </c:pt>
                <c:pt idx="3">
                  <c:v>0.410526315789474</c:v>
                </c:pt>
                <c:pt idx="4">
                  <c:v>0.293785310734463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1264222"/>
        <c:axId val="856398654"/>
      </c:barChart>
      <c:lineChart>
        <c:grouping val="standard"/>
        <c:varyColors val="0"/>
        <c:ser>
          <c:idx val="1"/>
          <c:order val="1"/>
          <c:tx>
            <c:strRef>
              <c:f>'Pivot Tables'!$C$56</c:f>
              <c:strCache>
                <c:ptCount val="1"/>
                <c:pt idx="0">
                  <c:v>Count of Age_Group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Tables'!$A$57:$A$62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Kid</c:v>
                </c:pt>
                <c:pt idx="3">
                  <c:v>Teenager</c:v>
                </c:pt>
                <c:pt idx="4">
                  <c:v>Unknown</c:v>
                </c:pt>
              </c:strCache>
            </c:strRef>
          </c:cat>
          <c:val>
            <c:numRef>
              <c:f>'Pivot Tables'!$C$57:$C$62</c:f>
              <c:numCache>
                <c:formatCode>General</c:formatCode>
                <c:ptCount val="5"/>
                <c:pt idx="0">
                  <c:v>524</c:v>
                </c:pt>
                <c:pt idx="1">
                  <c:v>26</c:v>
                </c:pt>
                <c:pt idx="2">
                  <c:v>69</c:v>
                </c:pt>
                <c:pt idx="3">
                  <c:v>95</c:v>
                </c:pt>
                <c:pt idx="4">
                  <c:v>177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65393167"/>
        <c:axId val="60423316"/>
      </c:lineChart>
      <c:catAx>
        <c:axId val="50126422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Group</a:t>
                </a:r>
              </a:p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398654"/>
        <c:crosses val="autoZero"/>
        <c:auto val="1"/>
        <c:lblAlgn val="ctr"/>
        <c:lblOffset val="100"/>
        <c:noMultiLvlLbl val="0"/>
      </c:catAx>
      <c:valAx>
        <c:axId val="8563986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Survival Rate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264222"/>
        <c:crosses val="autoZero"/>
        <c:crossBetween val="between"/>
      </c:valAx>
      <c:catAx>
        <c:axId val="65393167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23316"/>
        <c:crosses val="autoZero"/>
        <c:auto val="1"/>
        <c:lblAlgn val="ctr"/>
        <c:lblOffset val="100"/>
        <c:noMultiLvlLbl val="0"/>
      </c:catAx>
      <c:valAx>
        <c:axId val="60423316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Count of Age Group 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393167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e87b0c-be5e-49a9-ac47-73d7948767f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[train_raw_excel_final.xlsx]Pivot Tables!PivotTable19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Survival Rate by Embarkation Point, Passenger Class &amp;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Tables'!$B$82:$B$83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Tables'!$A$84:$A$88</c:f>
              <c:strCache>
                <c:ptCount val="4"/>
                <c:pt idx="0">
                  <c:v>Cherbourg</c:v>
                </c:pt>
                <c:pt idx="1">
                  <c:v>Queenstown</c:v>
                </c:pt>
                <c:pt idx="2">
                  <c:v>Southampton</c:v>
                </c:pt>
                <c:pt idx="3">
                  <c:v>Unknown</c:v>
                </c:pt>
              </c:strCache>
            </c:strRef>
          </c:cat>
          <c:val>
            <c:numRef>
              <c:f>'Pivot Tables'!$B$84:$B$88</c:f>
              <c:numCache>
                <c:formatCode>0%</c:formatCode>
                <c:ptCount val="4"/>
                <c:pt idx="0">
                  <c:v>0.974358974358974</c:v>
                </c:pt>
                <c:pt idx="1">
                  <c:v>1</c:v>
                </c:pt>
                <c:pt idx="2">
                  <c:v>0.956521739130435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'Pivot Tables'!$C$82:$C$83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Tables'!$A$84:$A$88</c:f>
              <c:strCache>
                <c:ptCount val="4"/>
                <c:pt idx="0">
                  <c:v>Cherbourg</c:v>
                </c:pt>
                <c:pt idx="1">
                  <c:v>Queenstown</c:v>
                </c:pt>
                <c:pt idx="2">
                  <c:v>Southampton</c:v>
                </c:pt>
                <c:pt idx="3">
                  <c:v>Unknown</c:v>
                </c:pt>
              </c:strCache>
            </c:strRef>
          </c:cat>
          <c:val>
            <c:numRef>
              <c:f>'Pivot Tables'!$C$84:$C$88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0.909090909090909</c:v>
                </c:pt>
              </c:numCache>
            </c:numRef>
          </c:val>
        </c:ser>
        <c:ser>
          <c:idx val="2"/>
          <c:order val="2"/>
          <c:tx>
            <c:strRef>
              <c:f>'Pivot Tables'!$D$82:$D$83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Tables'!$A$84:$A$88</c:f>
              <c:strCache>
                <c:ptCount val="4"/>
                <c:pt idx="0">
                  <c:v>Cherbourg</c:v>
                </c:pt>
                <c:pt idx="1">
                  <c:v>Queenstown</c:v>
                </c:pt>
                <c:pt idx="2">
                  <c:v>Southampton</c:v>
                </c:pt>
                <c:pt idx="3">
                  <c:v>Unknown</c:v>
                </c:pt>
              </c:strCache>
            </c:strRef>
          </c:cat>
          <c:val>
            <c:numRef>
              <c:f>'Pivot Tables'!$D$84:$D$88</c:f>
              <c:numCache>
                <c:formatCode>0%</c:formatCode>
                <c:ptCount val="4"/>
                <c:pt idx="0">
                  <c:v>0.652173913043478</c:v>
                </c:pt>
                <c:pt idx="1">
                  <c:v>0.727272727272727</c:v>
                </c:pt>
                <c:pt idx="2">
                  <c:v>0.375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15056057"/>
        <c:axId val="771878323"/>
      </c:barChart>
      <c:catAx>
        <c:axId val="41505605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Embarktion Point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1878323"/>
        <c:crosses val="autoZero"/>
        <c:auto val="1"/>
        <c:lblAlgn val="ctr"/>
        <c:lblOffset val="100"/>
        <c:noMultiLvlLbl val="0"/>
      </c:catAx>
      <c:valAx>
        <c:axId val="7718783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Survival Rate</a:t>
                </a:r>
                <a:endParaRPr b="1"/>
              </a:p>
            </c:rich>
          </c:tx>
          <c:layout>
            <c:manualLayout>
              <c:xMode val="edge"/>
              <c:yMode val="edge"/>
              <c:x val="0.0219852553975777"/>
              <c:y val="0.433775742310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50560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ddcde37-793b-4c98-93ea-f24c47ce0f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[train_raw_excel_final.xlsx]Pivot Tables!PivotTable20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Survival Rate by Embarkation Point &amp; Fare Fraction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Tables'!$B$97:$B$98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Tables'!$A$99:$A$103</c:f>
              <c:strCache>
                <c:ptCount val="4"/>
                <c:pt idx="0">
                  <c:v>Cherbourg</c:v>
                </c:pt>
                <c:pt idx="1">
                  <c:v>Queenstown</c:v>
                </c:pt>
                <c:pt idx="2">
                  <c:v>Southampton</c:v>
                </c:pt>
                <c:pt idx="3">
                  <c:v>Unknown</c:v>
                </c:pt>
              </c:strCache>
            </c:strRef>
          </c:cat>
          <c:val>
            <c:numRef>
              <c:f>'Pivot Tables'!$B$99:$B$103</c:f>
              <c:numCache>
                <c:formatCode>0%</c:formatCode>
                <c:ptCount val="4"/>
                <c:pt idx="0">
                  <c:v>0.786885245901639</c:v>
                </c:pt>
                <c:pt idx="1">
                  <c:v>0.5</c:v>
                </c:pt>
                <c:pt idx="2">
                  <c:v>0.604166666666667</c:v>
                </c:pt>
                <c:pt idx="3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Tables'!$C$97:$C$98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Tables'!$A$99:$A$103</c:f>
              <c:strCache>
                <c:ptCount val="4"/>
                <c:pt idx="0">
                  <c:v>Cherbourg</c:v>
                </c:pt>
                <c:pt idx="1">
                  <c:v>Queenstown</c:v>
                </c:pt>
                <c:pt idx="2">
                  <c:v>Southampton</c:v>
                </c:pt>
                <c:pt idx="3">
                  <c:v>Unknown</c:v>
                </c:pt>
              </c:strCache>
            </c:strRef>
          </c:cat>
          <c:val>
            <c:numRef>
              <c:f>'Pivot Tables'!$C$99:$C$103</c:f>
              <c:numCache>
                <c:formatCode>0%</c:formatCode>
                <c:ptCount val="4"/>
                <c:pt idx="0">
                  <c:v>0.243243243243243</c:v>
                </c:pt>
                <c:pt idx="1">
                  <c:v>0.388888888888889</c:v>
                </c:pt>
                <c:pt idx="2">
                  <c:v>0.151020408163265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Tables'!$D$97:$D$98</c:f>
              <c:strCache>
                <c:ptCount val="1"/>
                <c:pt idx="0">
                  <c:v>Mid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Tables'!$A$99:$A$103</c:f>
              <c:strCache>
                <c:ptCount val="4"/>
                <c:pt idx="0">
                  <c:v>Cherbourg</c:v>
                </c:pt>
                <c:pt idx="1">
                  <c:v>Queenstown</c:v>
                </c:pt>
                <c:pt idx="2">
                  <c:v>Southampton</c:v>
                </c:pt>
                <c:pt idx="3">
                  <c:v>Unknown</c:v>
                </c:pt>
              </c:strCache>
            </c:strRef>
          </c:cat>
          <c:val>
            <c:numRef>
              <c:f>'Pivot Tables'!$D$99:$D$103</c:f>
              <c:numCache>
                <c:formatCode>0%</c:formatCode>
                <c:ptCount val="4"/>
                <c:pt idx="0">
                  <c:v>0.514285714285714</c:v>
                </c:pt>
                <c:pt idx="1">
                  <c:v>0.380952380952381</c:v>
                </c:pt>
                <c:pt idx="2">
                  <c:v>0.402640264026403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65616313"/>
        <c:axId val="947103041"/>
      </c:lineChart>
      <c:catAx>
        <c:axId val="2656163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7103041"/>
        <c:crosses val="autoZero"/>
        <c:auto val="1"/>
        <c:lblAlgn val="ctr"/>
        <c:lblOffset val="100"/>
        <c:noMultiLvlLbl val="0"/>
      </c:catAx>
      <c:valAx>
        <c:axId val="947103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56163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4c93e7-094f-409a-9360-46194eb7bf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[train_raw_excel_final.xlsx]Pivot Tables!PivotTable15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Survival Rate by Pclass &amp;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Tables'!$B$19:$B$20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Tables'!$A$21:$A$24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'Pivot Tables'!$B$21:$B$24</c:f>
              <c:numCache>
                <c:formatCode>0.00%</c:formatCode>
                <c:ptCount val="3"/>
                <c:pt idx="0">
                  <c:v>0.965909090909091</c:v>
                </c:pt>
                <c:pt idx="1">
                  <c:v>0.92</c:v>
                </c:pt>
                <c:pt idx="2">
                  <c:v>0.5</c:v>
                </c:pt>
              </c:numCache>
            </c:numRef>
          </c:val>
        </c:ser>
        <c:ser>
          <c:idx val="1"/>
          <c:order val="1"/>
          <c:tx>
            <c:strRef>
              <c:f>'Pivot Tables'!$C$19:$C$20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Tables'!$A$21:$A$24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'Pivot Tables'!$C$21:$C$24</c:f>
              <c:numCache>
                <c:formatCode>0.00%</c:formatCode>
                <c:ptCount val="3"/>
                <c:pt idx="0">
                  <c:v>0.376068376068376</c:v>
                </c:pt>
                <c:pt idx="1">
                  <c:v>0.157407407407407</c:v>
                </c:pt>
                <c:pt idx="2">
                  <c:v>0.135446685878963</c:v>
                </c:pt>
              </c:numCache>
            </c:numRef>
          </c:val>
        </c:ser>
        <c:ser>
          <c:idx val="2"/>
          <c:order val="2"/>
          <c:tx>
            <c:strRef>
              <c:f>'Pivot Tables'!$D$19:$D$20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Tables'!$A$21:$A$24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'Pivot Tables'!$D$21:$D$24</c:f>
              <c:numCache>
                <c:formatCode>0.00%</c:formatCode>
                <c:ptCount val="3"/>
                <c:pt idx="0">
                  <c:v>0.636363636363636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178290197"/>
        <c:axId val="622160876"/>
      </c:barChart>
      <c:catAx>
        <c:axId val="1782901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160876"/>
        <c:crosses val="autoZero"/>
        <c:auto val="1"/>
        <c:lblAlgn val="ctr"/>
        <c:lblOffset val="100"/>
        <c:noMultiLvlLbl val="0"/>
      </c:catAx>
      <c:valAx>
        <c:axId val="6221608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2901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844720-3268-4e7d-8a9c-99f9bd27fc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[train_raw_excel_final.xlsx]Pivot Tables!PivotTable14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Survival Rate Based on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'Pivot Tables'!$B$5:$B$8</c:f>
              <c:numCache>
                <c:formatCode>0.00%</c:formatCode>
                <c:ptCount val="3"/>
                <c:pt idx="0">
                  <c:v>0.736156351791531</c:v>
                </c:pt>
                <c:pt idx="1">
                  <c:v>0.188811188811189</c:v>
                </c:pt>
                <c:pt idx="2">
                  <c:v>0.666666666666667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7690220"/>
        <c:axId val="664209330"/>
      </c:barChart>
      <c:catAx>
        <c:axId val="376902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209330"/>
        <c:crosses val="autoZero"/>
        <c:auto val="1"/>
        <c:lblAlgn val="ctr"/>
        <c:lblOffset val="100"/>
        <c:noMultiLvlLbl val="0"/>
      </c:catAx>
      <c:valAx>
        <c:axId val="6642093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6902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7909a7-9c73-4e9b-8dc3-37e72a5b43d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[train_raw_excel_final.xlsx]Pivot Tables!PivotTable16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Survival Count by Family Size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Tables'!$B$35:$B$36</c:f>
              <c:strCache>
                <c:ptCount val="1"/>
                <c:pt idx="0">
                  <c:v>Not Survived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Tables'!$A$37:$A$46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</c:strCache>
            </c:strRef>
          </c:cat>
          <c:val>
            <c:numRef>
              <c:f>'Pivot Tables'!$B$37:$B$46</c:f>
              <c:numCache>
                <c:formatCode>General</c:formatCode>
                <c:ptCount val="9"/>
                <c:pt idx="0">
                  <c:v>374</c:v>
                </c:pt>
                <c:pt idx="1">
                  <c:v>72</c:v>
                </c:pt>
                <c:pt idx="2">
                  <c:v>43</c:v>
                </c:pt>
                <c:pt idx="3">
                  <c:v>8</c:v>
                </c:pt>
                <c:pt idx="4">
                  <c:v>12</c:v>
                </c:pt>
                <c:pt idx="5">
                  <c:v>19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</c:numCache>
            </c:numRef>
          </c:val>
        </c:ser>
        <c:ser>
          <c:idx val="1"/>
          <c:order val="1"/>
          <c:tx>
            <c:strRef>
              <c:f>'Pivot Tables'!$C$35:$C$36</c:f>
              <c:strCache>
                <c:ptCount val="1"/>
                <c:pt idx="0">
                  <c:v>Survived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Tables'!$A$37:$A$46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</c:strCache>
            </c:strRef>
          </c:cat>
          <c:val>
            <c:numRef>
              <c:f>'Pivot Tables'!$C$37:$C$46</c:f>
              <c:numCache>
                <c:formatCode>General</c:formatCode>
                <c:ptCount val="9"/>
                <c:pt idx="0">
                  <c:v>163</c:v>
                </c:pt>
                <c:pt idx="1">
                  <c:v>89</c:v>
                </c:pt>
                <c:pt idx="2">
                  <c:v>59</c:v>
                </c:pt>
                <c:pt idx="3">
                  <c:v>21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38834891"/>
        <c:axId val="135983594"/>
      </c:barChart>
      <c:catAx>
        <c:axId val="3883489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983594"/>
        <c:crosses val="autoZero"/>
        <c:auto val="1"/>
        <c:lblAlgn val="ctr"/>
        <c:lblOffset val="100"/>
        <c:noMultiLvlLbl val="0"/>
      </c:catAx>
      <c:valAx>
        <c:axId val="13598359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8348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5a2e3f-3942-434b-91b2-16b7bd4d00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[train_raw_excel_final.xlsx]Pivot Tables!PivotTable18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Passenger Count and Survival Rate by Age Group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Tables'!$B$56</c:f>
              <c:strCache>
                <c:ptCount val="1"/>
                <c:pt idx="0">
                  <c:v>Average of Survived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Tables'!$A$57:$A$62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Kid</c:v>
                </c:pt>
                <c:pt idx="3">
                  <c:v>Teenager</c:v>
                </c:pt>
                <c:pt idx="4">
                  <c:v>Unknown</c:v>
                </c:pt>
              </c:strCache>
            </c:strRef>
          </c:cat>
          <c:val>
            <c:numRef>
              <c:f>'Pivot Tables'!$B$57:$B$62</c:f>
              <c:numCache>
                <c:formatCode>0%</c:formatCode>
                <c:ptCount val="5"/>
                <c:pt idx="0">
                  <c:v>0.389312977099237</c:v>
                </c:pt>
                <c:pt idx="1">
                  <c:v>0.269230769230769</c:v>
                </c:pt>
                <c:pt idx="2">
                  <c:v>0.579710144927536</c:v>
                </c:pt>
                <c:pt idx="3">
                  <c:v>0.410526315789474</c:v>
                </c:pt>
                <c:pt idx="4">
                  <c:v>0.293785310734463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1264222"/>
        <c:axId val="856398654"/>
      </c:barChart>
      <c:lineChart>
        <c:grouping val="standard"/>
        <c:varyColors val="0"/>
        <c:ser>
          <c:idx val="1"/>
          <c:order val="1"/>
          <c:tx>
            <c:strRef>
              <c:f>'Pivot Tables'!$C$56</c:f>
              <c:strCache>
                <c:ptCount val="1"/>
                <c:pt idx="0">
                  <c:v>Count of Age_Group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Tables'!$A$57:$A$62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Kid</c:v>
                </c:pt>
                <c:pt idx="3">
                  <c:v>Teenager</c:v>
                </c:pt>
                <c:pt idx="4">
                  <c:v>Unknown</c:v>
                </c:pt>
              </c:strCache>
            </c:strRef>
          </c:cat>
          <c:val>
            <c:numRef>
              <c:f>'Pivot Tables'!$C$57:$C$62</c:f>
              <c:numCache>
                <c:formatCode>General</c:formatCode>
                <c:ptCount val="5"/>
                <c:pt idx="0">
                  <c:v>524</c:v>
                </c:pt>
                <c:pt idx="1">
                  <c:v>26</c:v>
                </c:pt>
                <c:pt idx="2">
                  <c:v>69</c:v>
                </c:pt>
                <c:pt idx="3">
                  <c:v>95</c:v>
                </c:pt>
                <c:pt idx="4">
                  <c:v>177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65393167"/>
        <c:axId val="60423316"/>
      </c:lineChart>
      <c:catAx>
        <c:axId val="50126422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Group</a:t>
                </a:r>
              </a:p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398654"/>
        <c:crosses val="autoZero"/>
        <c:auto val="1"/>
        <c:lblAlgn val="ctr"/>
        <c:lblOffset val="100"/>
        <c:noMultiLvlLbl val="0"/>
      </c:catAx>
      <c:valAx>
        <c:axId val="8563986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Survival Rate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264222"/>
        <c:crosses val="autoZero"/>
        <c:crossBetween val="between"/>
      </c:valAx>
      <c:catAx>
        <c:axId val="65393167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23316"/>
        <c:crosses val="autoZero"/>
        <c:auto val="1"/>
        <c:lblAlgn val="ctr"/>
        <c:lblOffset val="100"/>
        <c:noMultiLvlLbl val="0"/>
      </c:catAx>
      <c:valAx>
        <c:axId val="60423316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Count of Age Group 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393167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cb973a-d818-4c1c-a5ee-125c0d2629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[train_raw_excel_final.xlsx]Pivot Tables!PivotTable19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Survival Rate by Embarkation Point, Passenger Class &amp;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Tables'!$B$82:$B$83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Tables'!$A$84:$A$88</c:f>
              <c:strCache>
                <c:ptCount val="4"/>
                <c:pt idx="0">
                  <c:v>Cherbourg</c:v>
                </c:pt>
                <c:pt idx="1">
                  <c:v>Queenstown</c:v>
                </c:pt>
                <c:pt idx="2">
                  <c:v>Southampton</c:v>
                </c:pt>
                <c:pt idx="3">
                  <c:v>Unknown</c:v>
                </c:pt>
              </c:strCache>
            </c:strRef>
          </c:cat>
          <c:val>
            <c:numRef>
              <c:f>'Pivot Tables'!$B$84:$B$88</c:f>
              <c:numCache>
                <c:formatCode>0%</c:formatCode>
                <c:ptCount val="4"/>
                <c:pt idx="0">
                  <c:v>0.974358974358974</c:v>
                </c:pt>
                <c:pt idx="1">
                  <c:v>1</c:v>
                </c:pt>
                <c:pt idx="2">
                  <c:v>0.956521739130435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'Pivot Tables'!$C$82:$C$83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Tables'!$A$84:$A$88</c:f>
              <c:strCache>
                <c:ptCount val="4"/>
                <c:pt idx="0">
                  <c:v>Cherbourg</c:v>
                </c:pt>
                <c:pt idx="1">
                  <c:v>Queenstown</c:v>
                </c:pt>
                <c:pt idx="2">
                  <c:v>Southampton</c:v>
                </c:pt>
                <c:pt idx="3">
                  <c:v>Unknown</c:v>
                </c:pt>
              </c:strCache>
            </c:strRef>
          </c:cat>
          <c:val>
            <c:numRef>
              <c:f>'Pivot Tables'!$C$84:$C$88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0.909090909090909</c:v>
                </c:pt>
              </c:numCache>
            </c:numRef>
          </c:val>
        </c:ser>
        <c:ser>
          <c:idx val="2"/>
          <c:order val="2"/>
          <c:tx>
            <c:strRef>
              <c:f>'Pivot Tables'!$D$82:$D$83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Tables'!$A$84:$A$88</c:f>
              <c:strCache>
                <c:ptCount val="4"/>
                <c:pt idx="0">
                  <c:v>Cherbourg</c:v>
                </c:pt>
                <c:pt idx="1">
                  <c:v>Queenstown</c:v>
                </c:pt>
                <c:pt idx="2">
                  <c:v>Southampton</c:v>
                </c:pt>
                <c:pt idx="3">
                  <c:v>Unknown</c:v>
                </c:pt>
              </c:strCache>
            </c:strRef>
          </c:cat>
          <c:val>
            <c:numRef>
              <c:f>'Pivot Tables'!$D$84:$D$88</c:f>
              <c:numCache>
                <c:formatCode>0%</c:formatCode>
                <c:ptCount val="4"/>
                <c:pt idx="0">
                  <c:v>0.652173913043478</c:v>
                </c:pt>
                <c:pt idx="1">
                  <c:v>0.727272727272727</c:v>
                </c:pt>
                <c:pt idx="2">
                  <c:v>0.375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15056057"/>
        <c:axId val="771878323"/>
      </c:barChart>
      <c:catAx>
        <c:axId val="41505605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Embarktion Point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1878323"/>
        <c:crosses val="autoZero"/>
        <c:auto val="1"/>
        <c:lblAlgn val="ctr"/>
        <c:lblOffset val="100"/>
        <c:noMultiLvlLbl val="0"/>
      </c:catAx>
      <c:valAx>
        <c:axId val="7718783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Survival Rate</a:t>
                </a:r>
                <a:endParaRPr b="1"/>
              </a:p>
            </c:rich>
          </c:tx>
          <c:layout>
            <c:manualLayout>
              <c:xMode val="edge"/>
              <c:yMode val="edge"/>
              <c:x val="0.0219852553975777"/>
              <c:y val="0.433775742310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50560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9cc095-ebc5-48c7-aac0-d73c952167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[train_raw_excel_final.xlsx]Pivot Tables!PivotTable20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Survival Rate by Embarkation Point &amp; Fare Fraction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Tables'!$B$97:$B$98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Tables'!$A$99:$A$103</c:f>
              <c:strCache>
                <c:ptCount val="4"/>
                <c:pt idx="0">
                  <c:v>Cherbourg</c:v>
                </c:pt>
                <c:pt idx="1">
                  <c:v>Queenstown</c:v>
                </c:pt>
                <c:pt idx="2">
                  <c:v>Southampton</c:v>
                </c:pt>
                <c:pt idx="3">
                  <c:v>Unknown</c:v>
                </c:pt>
              </c:strCache>
            </c:strRef>
          </c:cat>
          <c:val>
            <c:numRef>
              <c:f>'Pivot Tables'!$B$99:$B$103</c:f>
              <c:numCache>
                <c:formatCode>0%</c:formatCode>
                <c:ptCount val="4"/>
                <c:pt idx="0">
                  <c:v>0.786885245901639</c:v>
                </c:pt>
                <c:pt idx="1">
                  <c:v>0.5</c:v>
                </c:pt>
                <c:pt idx="2">
                  <c:v>0.604166666666667</c:v>
                </c:pt>
                <c:pt idx="3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Tables'!$C$97:$C$98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Tables'!$A$99:$A$103</c:f>
              <c:strCache>
                <c:ptCount val="4"/>
                <c:pt idx="0">
                  <c:v>Cherbourg</c:v>
                </c:pt>
                <c:pt idx="1">
                  <c:v>Queenstown</c:v>
                </c:pt>
                <c:pt idx="2">
                  <c:v>Southampton</c:v>
                </c:pt>
                <c:pt idx="3">
                  <c:v>Unknown</c:v>
                </c:pt>
              </c:strCache>
            </c:strRef>
          </c:cat>
          <c:val>
            <c:numRef>
              <c:f>'Pivot Tables'!$C$99:$C$103</c:f>
              <c:numCache>
                <c:formatCode>0%</c:formatCode>
                <c:ptCount val="4"/>
                <c:pt idx="0">
                  <c:v>0.243243243243243</c:v>
                </c:pt>
                <c:pt idx="1">
                  <c:v>0.388888888888889</c:v>
                </c:pt>
                <c:pt idx="2">
                  <c:v>0.151020408163265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Tables'!$D$97:$D$98</c:f>
              <c:strCache>
                <c:ptCount val="1"/>
                <c:pt idx="0">
                  <c:v>Mid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Tables'!$A$99:$A$103</c:f>
              <c:strCache>
                <c:ptCount val="4"/>
                <c:pt idx="0">
                  <c:v>Cherbourg</c:v>
                </c:pt>
                <c:pt idx="1">
                  <c:v>Queenstown</c:v>
                </c:pt>
                <c:pt idx="2">
                  <c:v>Southampton</c:v>
                </c:pt>
                <c:pt idx="3">
                  <c:v>Unknown</c:v>
                </c:pt>
              </c:strCache>
            </c:strRef>
          </c:cat>
          <c:val>
            <c:numRef>
              <c:f>'Pivot Tables'!$D$99:$D$103</c:f>
              <c:numCache>
                <c:formatCode>0%</c:formatCode>
                <c:ptCount val="4"/>
                <c:pt idx="0">
                  <c:v>0.514285714285714</c:v>
                </c:pt>
                <c:pt idx="1">
                  <c:v>0.380952380952381</c:v>
                </c:pt>
                <c:pt idx="2">
                  <c:v>0.402640264026403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65616313"/>
        <c:axId val="947103041"/>
      </c:lineChart>
      <c:catAx>
        <c:axId val="2656163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7103041"/>
        <c:crosses val="autoZero"/>
        <c:auto val="1"/>
        <c:lblAlgn val="ctr"/>
        <c:lblOffset val="100"/>
        <c:noMultiLvlLbl val="0"/>
      </c:catAx>
      <c:valAx>
        <c:axId val="947103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56163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ca79da-6edd-4a53-8e20-5b2e604b7b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762635</xdr:colOff>
      <xdr:row>0</xdr:row>
      <xdr:rowOff>65405</xdr:rowOff>
    </xdr:from>
    <xdr:to>
      <xdr:col>16</xdr:col>
      <xdr:colOff>8255</xdr:colOff>
      <xdr:row>15</xdr:row>
      <xdr:rowOff>41910</xdr:rowOff>
    </xdr:to>
    <xdr:graphicFrame>
      <xdr:nvGraphicFramePr>
        <xdr:cNvPr id="31" name="Chart 30"/>
        <xdr:cNvGraphicFramePr/>
      </xdr:nvGraphicFramePr>
      <xdr:xfrm>
        <a:off x="6096635" y="65405"/>
        <a:ext cx="8637270" cy="2738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781685</xdr:colOff>
      <xdr:row>16</xdr:row>
      <xdr:rowOff>17145</xdr:rowOff>
    </xdr:from>
    <xdr:to>
      <xdr:col>16</xdr:col>
      <xdr:colOff>6985</xdr:colOff>
      <xdr:row>30</xdr:row>
      <xdr:rowOff>164465</xdr:rowOff>
    </xdr:to>
    <xdr:graphicFrame>
      <xdr:nvGraphicFramePr>
        <xdr:cNvPr id="39" name="Chart 38"/>
        <xdr:cNvGraphicFramePr/>
      </xdr:nvGraphicFramePr>
      <xdr:xfrm>
        <a:off x="6115685" y="2963545"/>
        <a:ext cx="8616950" cy="2725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788670</xdr:colOff>
      <xdr:row>32</xdr:row>
      <xdr:rowOff>24765</xdr:rowOff>
    </xdr:from>
    <xdr:to>
      <xdr:col>16</xdr:col>
      <xdr:colOff>15875</xdr:colOff>
      <xdr:row>51</xdr:row>
      <xdr:rowOff>163830</xdr:rowOff>
    </xdr:to>
    <xdr:graphicFrame>
      <xdr:nvGraphicFramePr>
        <xdr:cNvPr id="41" name="Chart 40"/>
        <xdr:cNvGraphicFramePr/>
      </xdr:nvGraphicFramePr>
      <xdr:xfrm>
        <a:off x="6122670" y="5917565"/>
        <a:ext cx="8618855" cy="3637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753745</xdr:colOff>
      <xdr:row>53</xdr:row>
      <xdr:rowOff>1270</xdr:rowOff>
    </xdr:from>
    <xdr:to>
      <xdr:col>16</xdr:col>
      <xdr:colOff>63500</xdr:colOff>
      <xdr:row>73</xdr:row>
      <xdr:rowOff>157480</xdr:rowOff>
    </xdr:to>
    <xdr:graphicFrame>
      <xdr:nvGraphicFramePr>
        <xdr:cNvPr id="49" name="Chart 48"/>
        <xdr:cNvGraphicFramePr/>
      </xdr:nvGraphicFramePr>
      <xdr:xfrm>
        <a:off x="6087745" y="9761220"/>
        <a:ext cx="8701405" cy="3839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783590</xdr:colOff>
      <xdr:row>75</xdr:row>
      <xdr:rowOff>19050</xdr:rowOff>
    </xdr:from>
    <xdr:to>
      <xdr:col>16</xdr:col>
      <xdr:colOff>32385</xdr:colOff>
      <xdr:row>92</xdr:row>
      <xdr:rowOff>50800</xdr:rowOff>
    </xdr:to>
    <xdr:graphicFrame>
      <xdr:nvGraphicFramePr>
        <xdr:cNvPr id="50" name="Chart 49"/>
        <xdr:cNvGraphicFramePr/>
      </xdr:nvGraphicFramePr>
      <xdr:xfrm>
        <a:off x="6117590" y="13830300"/>
        <a:ext cx="8640445" cy="3162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793115</xdr:colOff>
      <xdr:row>93</xdr:row>
      <xdr:rowOff>6350</xdr:rowOff>
    </xdr:from>
    <xdr:to>
      <xdr:col>16</xdr:col>
      <xdr:colOff>11430</xdr:colOff>
      <xdr:row>112</xdr:row>
      <xdr:rowOff>10795</xdr:rowOff>
    </xdr:to>
    <xdr:graphicFrame>
      <xdr:nvGraphicFramePr>
        <xdr:cNvPr id="51" name="Chart 50"/>
        <xdr:cNvGraphicFramePr/>
      </xdr:nvGraphicFramePr>
      <xdr:xfrm>
        <a:off x="6127115" y="17132300"/>
        <a:ext cx="8609965" cy="3503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11</xdr:row>
      <xdr:rowOff>183515</xdr:rowOff>
    </xdr:from>
    <xdr:to>
      <xdr:col>20</xdr:col>
      <xdr:colOff>608965</xdr:colOff>
      <xdr:row>29</xdr:row>
      <xdr:rowOff>167005</xdr:rowOff>
    </xdr:to>
    <xdr:graphicFrame>
      <xdr:nvGraphicFramePr>
        <xdr:cNvPr id="22" name="Chart 21"/>
        <xdr:cNvGraphicFramePr/>
      </xdr:nvGraphicFramePr>
      <xdr:xfrm>
        <a:off x="6705600" y="3021965"/>
        <a:ext cx="6369050" cy="3298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</xdr:colOff>
      <xdr:row>11</xdr:row>
      <xdr:rowOff>183515</xdr:rowOff>
    </xdr:from>
    <xdr:to>
      <xdr:col>10</xdr:col>
      <xdr:colOff>593090</xdr:colOff>
      <xdr:row>30</xdr:row>
      <xdr:rowOff>4445</xdr:rowOff>
    </xdr:to>
    <xdr:graphicFrame>
      <xdr:nvGraphicFramePr>
        <xdr:cNvPr id="23" name="Chart 22"/>
        <xdr:cNvGraphicFramePr/>
      </xdr:nvGraphicFramePr>
      <xdr:xfrm>
        <a:off x="622300" y="3021965"/>
        <a:ext cx="6066790" cy="3319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610235</xdr:colOff>
      <xdr:row>30</xdr:row>
      <xdr:rowOff>0</xdr:rowOff>
    </xdr:from>
    <xdr:to>
      <xdr:col>10</xdr:col>
      <xdr:colOff>598805</xdr:colOff>
      <xdr:row>47</xdr:row>
      <xdr:rowOff>177800</xdr:rowOff>
    </xdr:to>
    <xdr:graphicFrame>
      <xdr:nvGraphicFramePr>
        <xdr:cNvPr id="24" name="Chart 23"/>
        <xdr:cNvGraphicFramePr/>
      </xdr:nvGraphicFramePr>
      <xdr:xfrm>
        <a:off x="609600" y="6337300"/>
        <a:ext cx="6085205" cy="3308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12065</xdr:colOff>
      <xdr:row>30</xdr:row>
      <xdr:rowOff>0</xdr:rowOff>
    </xdr:from>
    <xdr:to>
      <xdr:col>21</xdr:col>
      <xdr:colOff>27940</xdr:colOff>
      <xdr:row>47</xdr:row>
      <xdr:rowOff>175260</xdr:rowOff>
    </xdr:to>
    <xdr:graphicFrame>
      <xdr:nvGraphicFramePr>
        <xdr:cNvPr id="25" name="Chart 24"/>
        <xdr:cNvGraphicFramePr/>
      </xdr:nvGraphicFramePr>
      <xdr:xfrm>
        <a:off x="6717665" y="6337300"/>
        <a:ext cx="6385560" cy="3305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5715</xdr:colOff>
      <xdr:row>48</xdr:row>
      <xdr:rowOff>19050</xdr:rowOff>
    </xdr:from>
    <xdr:to>
      <xdr:col>10</xdr:col>
      <xdr:colOff>576580</xdr:colOff>
      <xdr:row>66</xdr:row>
      <xdr:rowOff>24765</xdr:rowOff>
    </xdr:to>
    <xdr:graphicFrame>
      <xdr:nvGraphicFramePr>
        <xdr:cNvPr id="26" name="Chart 25"/>
        <xdr:cNvGraphicFramePr/>
      </xdr:nvGraphicFramePr>
      <xdr:xfrm>
        <a:off x="615315" y="9671050"/>
        <a:ext cx="6057265" cy="3320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5715</xdr:colOff>
      <xdr:row>47</xdr:row>
      <xdr:rowOff>183515</xdr:rowOff>
    </xdr:from>
    <xdr:to>
      <xdr:col>21</xdr:col>
      <xdr:colOff>33655</xdr:colOff>
      <xdr:row>66</xdr:row>
      <xdr:rowOff>8255</xdr:rowOff>
    </xdr:to>
    <xdr:graphicFrame>
      <xdr:nvGraphicFramePr>
        <xdr:cNvPr id="27" name="Chart 26"/>
        <xdr:cNvGraphicFramePr/>
      </xdr:nvGraphicFramePr>
      <xdr:xfrm>
        <a:off x="6711315" y="9651365"/>
        <a:ext cx="6397625" cy="3323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0.5663310185" refreshedBy="Chahat" recordCount="891">
  <cacheSource type="worksheet">
    <worksheetSource ref="A1:S892" sheet="Worksheet"/>
  </cacheSource>
  <cacheFields count="18">
    <cacheField name="PassengerId" numFmtId="0">
      <sharedItems containsSemiMixedTypes="0" containsString="0" containsNumber="1" containsInteger="1" minValue="0" maxValue="891" count="89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</sharedItems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0" maxValue="3" count="3">
        <n v="3"/>
        <n v="1"/>
        <n v="2"/>
      </sharedItems>
    </cacheField>
    <cacheField name="Last_Name" numFmtId="0">
      <sharedItems count="667">
        <s v="Braund"/>
        <s v="Cumings"/>
        <s v="Heikkinen"/>
        <s v="Futrelle"/>
        <s v="Allen"/>
        <s v="Moran"/>
        <s v="McCarthy"/>
        <s v="Palsson"/>
        <s v="Johnson"/>
        <s v="Nasser"/>
        <s v="Sandstrom"/>
        <s v="Bonnell"/>
        <s v="Saundercock"/>
        <s v="Andersson"/>
        <s v="Vestrom"/>
        <s v="Hewlett"/>
        <s v="Rice"/>
        <s v="Williams"/>
        <s v="Vander Planke"/>
        <s v="Masselmani"/>
        <s v="Fynney"/>
        <s v="Beesley"/>
        <s v="McGowan"/>
        <s v="Sloper"/>
        <s v="Asplund"/>
        <s v="Emir"/>
        <s v="Fortune"/>
        <s v="O'Dwyer"/>
        <s v="Todoroff"/>
        <s v="Uruchurtu"/>
        <s v="Spencer"/>
        <s v="Glynn"/>
        <s v="Wheadon"/>
        <s v="Meyer"/>
        <s v="Holverson"/>
        <s v="Mamee"/>
        <s v="Cann"/>
        <s v="Nicola-Yarred"/>
        <s v="Ahlin"/>
        <s v="Turpin"/>
        <s v="Kraeff"/>
        <s v="Laroche"/>
        <s v="Devaney"/>
        <s v="Rogers"/>
        <s v="Lennon"/>
        <s v="O'Driscoll"/>
        <s v="Samaan"/>
        <s v="Arnold-Franchi"/>
        <s v="Panula"/>
        <s v="Nosworthy"/>
        <s v="Harper"/>
        <s v="Faunthorpe"/>
        <s v="Ostby"/>
        <s v="Woolner"/>
        <s v="Rugg"/>
        <s v="Novel"/>
        <s v="West"/>
        <s v="Goodwin"/>
        <s v="Sirayanian"/>
        <s v="Icard"/>
        <s v="Harris"/>
        <s v="Skoog"/>
        <s v="Stewart"/>
        <s v="Moubarek"/>
        <s v="Nye"/>
        <s v="Crease"/>
        <s v="Kink"/>
        <s v="Jenkin"/>
        <s v="Hood"/>
        <s v="Chronopoulos"/>
        <s v="Bing"/>
        <s v="Moen"/>
        <s v="Staneff"/>
        <s v="Moutal"/>
        <s v="Caldwell"/>
        <s v="Dowdell"/>
        <s v="Waelens"/>
        <s v="Sheerlinck"/>
        <s v="McDermott"/>
        <s v="Carrau"/>
        <s v="Ilett"/>
        <s v="Backstrom"/>
        <s v="Ford"/>
        <s v="Slocovski"/>
        <s v="Celotti"/>
        <s v="Christmann"/>
        <s v="Andreasson"/>
        <s v="Chaffee"/>
        <s v="Dean"/>
        <s v="Coxon"/>
        <s v="Shorney"/>
        <s v="Goldschmidt"/>
        <s v="Greenfield"/>
        <s v="Doling"/>
        <s v="Kantor"/>
        <s v="Petranec"/>
        <s v="Petroff"/>
        <s v="White"/>
        <s v="Johansson"/>
        <s v="Gustafsson"/>
        <s v="Mionoff"/>
        <s v="Salkjelsvik"/>
        <s v="Moss"/>
        <s v="Rekic"/>
        <s v="Porter"/>
        <s v="Zabour"/>
        <s v="Barton"/>
        <s v="Jussila"/>
        <s v="Attalah"/>
        <s v="Pekoniemi"/>
        <s v="Connors"/>
        <s v="Baxter"/>
        <s v="Hickman"/>
        <s v="Moore"/>
        <s v="Webber"/>
        <s v="McMahon"/>
        <s v="Madsen"/>
        <s v="Peter"/>
        <s v="Ekstrom"/>
        <s v="Drazenoic"/>
        <s v="Coelho"/>
        <s v="Robins"/>
        <s v="Weisz"/>
        <s v="Sobey"/>
        <s v="Richard"/>
        <s v="Newsom"/>
        <s v="Osen"/>
        <s v="Giglio"/>
        <s v="Boulos"/>
        <s v="Nysten"/>
        <s v="Hakkarainen"/>
        <s v="Burke"/>
        <s v="Andrew"/>
        <s v="Nicholls"/>
        <s v="Navratil"/>
        <s v="Byles"/>
        <s v="Bateman"/>
        <s v="Pears"/>
        <s v="Meo"/>
        <s v="van Billiard"/>
        <s v="Olsen"/>
        <s v="Gilnagh"/>
        <s v="Corn"/>
        <s v="Smiljanic"/>
        <s v="Sage"/>
        <s v="Cribb"/>
        <s v="Watt"/>
        <s v="Bengtsson"/>
        <s v="Calic"/>
        <s v="Goldsmith"/>
        <s v="Chibnall"/>
        <s v="Baumann"/>
        <s v="Ling"/>
        <s v="Van der hoef"/>
        <s v="Sivola"/>
        <s v="Smith"/>
        <s v="Klasen"/>
        <s v="Lefebre"/>
        <s v="Isham"/>
        <s v="Hale"/>
        <s v="Leonard"/>
        <s v="Pernot"/>
        <s v="Becker"/>
        <s v="Kink-Heilmann"/>
        <s v="Rood"/>
        <s v="O'Brien"/>
        <s v="Romaine"/>
        <s v="Bourke"/>
        <s v="Turcin"/>
        <s v="Pinsky"/>
        <s v="Carbines"/>
        <s v="Andersen-Jensen"/>
        <s v="Brown"/>
        <s v="Lurette"/>
        <s v="Mernagh"/>
        <s v="Madigan"/>
        <s v="Yrois"/>
        <s v="Vande Walle"/>
        <s v="Johanson"/>
        <s v="Youseff"/>
        <s v="Cohen"/>
        <s v="Strom"/>
        <s v="Albimona"/>
        <s v="Carr"/>
        <s v="Blank"/>
        <s v="Ali"/>
        <s v="Cameron"/>
        <s v="Perkin"/>
        <s v="Givard"/>
        <s v="Kiernan"/>
        <s v="Newell"/>
        <s v="Honkanen"/>
        <s v="Jacobsohn"/>
        <s v="Bazzani"/>
        <s v="Sunderland"/>
        <s v="Bracken"/>
        <s v="Green"/>
        <s v="Nenkoff"/>
        <s v="Hoyt"/>
        <s v="Berglund"/>
        <s v="Mellors"/>
        <s v="Lovell"/>
        <s v="Fahlstrom"/>
        <s v="Larsson"/>
        <s v="Sjostedt"/>
        <s v="Leyson"/>
        <s v="Harknett"/>
        <s v="Hold"/>
        <s v="Collyer"/>
        <s v="Pengelly"/>
        <s v="Hunt"/>
        <s v="Murphy"/>
        <s v="Coleridge"/>
        <s v="Maenpaa"/>
        <s v="Minahan"/>
        <s v="Lindahl"/>
        <s v="Hamalainen"/>
        <s v="Beckwith"/>
        <s v="Carter"/>
        <s v="Reed"/>
        <s v="Stead"/>
        <s v="Lobb"/>
        <s v="Rosblom"/>
        <s v="Touma"/>
        <s v="Thorne"/>
        <s v="Cherry"/>
        <s v="Ward"/>
        <s v="Parrish"/>
        <s v="Taussig"/>
        <s v="Harrison"/>
        <s v="Henry"/>
        <s v="Reeves"/>
        <s v="Persson"/>
        <s v="Graham"/>
        <s v="Bissette"/>
        <s v="Cairns"/>
        <s v="Tornquist"/>
        <s v="Mellinger"/>
        <s v="Natsch"/>
        <s v="Healy"/>
        <s v="Andrews"/>
        <s v="Lindblom"/>
        <s v="Parkes"/>
        <s v="Abbott"/>
        <s v="Duane"/>
        <s v="Olsson"/>
        <s v="de Pelsmaeker"/>
        <s v="Dorking"/>
        <s v="Stankovic"/>
        <s v="de Mulder"/>
        <s v="Naidenoff"/>
        <s v="Hosono"/>
        <s v="Connolly"/>
        <s v="Barber"/>
        <s v="Bishop"/>
        <s v="Levy"/>
        <s v="Haas"/>
        <s v="Mineff"/>
        <s v="Lewy"/>
        <s v="Hanna"/>
        <s v="Allison"/>
        <s v="Saalfeld"/>
        <s v="Kelly"/>
        <s v="McCoy"/>
        <s v="Keane"/>
        <s v="Fleming"/>
        <s v="Penasco y Castellana"/>
        <s v="Abelson"/>
        <s v="Francatelli"/>
        <s v="Hays"/>
        <s v="Ryerson"/>
        <s v="Lahtinen"/>
        <s v="Hendekovic"/>
        <s v="Hart"/>
        <s v="Nilsson"/>
        <s v="Moraweck"/>
        <s v="Wick"/>
        <s v="Spedden"/>
        <s v="Dennis"/>
        <s v="Danoff"/>
        <s v="Slayter"/>
        <s v="Young"/>
        <s v="Nysveen"/>
        <s v="Ball"/>
        <s v="Hippach"/>
        <s v="Partner"/>
        <s v="Frauenthal"/>
        <s v="Denkoff"/>
        <s v="Burns"/>
        <s v="Dahl"/>
        <s v="Blackwell"/>
        <s v="Collander"/>
        <s v="Sedgwick"/>
        <s v="Fox"/>
        <s v="Davison"/>
        <s v="Coutts"/>
        <s v="Dimic"/>
        <s v="Odahl"/>
        <s v="Williams-Lambert"/>
        <s v="Elias"/>
        <s v="Yousif"/>
        <s v="Vanden Steen"/>
        <s v="Bowerman"/>
        <s v="Funk"/>
        <s v="McGovern"/>
        <s v="Mockler"/>
        <s v="del Carlo"/>
        <s v="Barbara"/>
        <s v="Asim"/>
        <s v="Adahl"/>
        <s v="Warren"/>
        <s v="Moussa"/>
        <s v="Jermyn"/>
        <s v="Aubart"/>
        <s v="Harder"/>
        <s v="Wiklund"/>
        <s v="Beavan"/>
        <s v="Ringhini"/>
        <s v="Landergren"/>
        <s v="Widener"/>
        <s v="Betros"/>
        <s v="Bidois"/>
        <s v="Nakid"/>
        <s v="Tikkanen"/>
        <s v="Plotcharsky"/>
        <s v="Davies"/>
        <s v="Buss"/>
        <s v="Sadlier"/>
        <s v="Lehmann"/>
        <s v="Jansson"/>
        <s v="McKane"/>
        <s v="Pain"/>
        <s v="Trout"/>
        <s v="Niskanen"/>
        <s v="Adams"/>
        <s v="Oreskovic"/>
        <s v="Gale"/>
        <s v="Widegren"/>
        <s v="Richards"/>
        <s v="Birkeland"/>
        <s v="Sdycoff"/>
        <s v="Cunningham"/>
        <s v="Sundman"/>
        <s v="Meek"/>
        <s v="Drew"/>
        <s v="Silven"/>
        <s v="Matthews"/>
        <s v="Van Impe"/>
        <s v="Gheorgheff"/>
        <s v="Charters"/>
        <s v="Zimmerman"/>
        <s v="Danbom"/>
        <s v="Wiseman"/>
        <s v="Clarke"/>
        <s v="Phillips"/>
        <s v="Flynn"/>
        <s v="Pickard"/>
        <s v="Bjornstrom-Steffansson"/>
        <s v="Thorneycroft"/>
        <s v="Louch"/>
        <s v="Kallio"/>
        <s v="Silvey"/>
        <s v="Kvillner"/>
        <s v="Hampe"/>
        <s v="Petterson"/>
        <s v="Reynaldo"/>
        <s v="Johannesen-Bratthammer"/>
        <s v="Dodge"/>
        <s v="Seward"/>
        <s v="Baclini"/>
        <s v="Peuchen"/>
        <s v="Hagland"/>
        <s v="Foreman"/>
        <s v="Goldenberg"/>
        <s v="Peduzzi"/>
        <s v="Jalsevac"/>
        <s v="Millet"/>
        <s v="Kenyon"/>
        <s v="Toomey"/>
        <s v="O'Connor"/>
        <s v="Anderson"/>
        <s v="Morley"/>
        <s v="Gee"/>
        <s v="Milling"/>
        <s v="Maisner"/>
        <s v="Goncalves"/>
        <s v="Campbell"/>
        <s v="Smart"/>
        <s v="Scanlan"/>
        <s v="Keefe"/>
        <s v="Cacic"/>
        <s v="Jerwan"/>
        <s v="Strandberg"/>
        <s v="Clifford"/>
        <s v="Renouf"/>
        <s v="Karlsson"/>
        <s v="Hirvonen"/>
        <s v="Frost"/>
        <s v="Rouse"/>
        <s v="Turkula"/>
        <s v="Kent"/>
        <s v="Somerton"/>
        <s v="Windelov"/>
        <s v="Molson"/>
        <s v="Artagaveytia"/>
        <s v="Stanley"/>
        <s v="Yousseff"/>
        <s v="Eustis"/>
        <s v="Shellard"/>
        <s v="Svensson"/>
        <s v="Canavan"/>
        <s v="O'Sullivan"/>
        <s v="Laitinen"/>
        <s v="Maioni"/>
        <s v="Quick"/>
        <s v="Bradley"/>
        <s v="Lang"/>
        <s v="Daly"/>
        <s v="McGough"/>
        <s v="Rothschild"/>
        <s v="Coleff"/>
        <s v="Walker"/>
        <s v="Lemore"/>
        <s v="Ryan"/>
        <s v="Angle"/>
        <s v="Pavlovic"/>
        <s v="Perreault"/>
        <s v="Vovk"/>
        <s v="Lahoud"/>
        <s v="Kassem"/>
        <s v="Farrell"/>
        <s v="Ridsdale"/>
        <s v="Farthing"/>
        <s v="Salonen"/>
        <s v="Hocking"/>
        <s v="Toufik"/>
        <s v="Butt"/>
        <s v="LeRoy"/>
        <s v="Risien"/>
        <s v="Frolicher"/>
        <s v="Crosby"/>
        <s v="Beane"/>
        <s v="Douglas"/>
        <s v="Nicholson"/>
        <s v="Padro y Manent"/>
        <s v="Thayer"/>
        <s v="Sharp"/>
        <s v="Leeni"/>
        <s v="Ohman"/>
        <s v="Wright"/>
        <s v="Duff Gordon"/>
        <s v="Robbins"/>
        <s v="de Messemaeker"/>
        <s v="Morrow"/>
        <s v="Sivic"/>
        <s v="Norman"/>
        <s v="Simmons"/>
        <s v="Meanwell"/>
        <s v="Stoytcheff"/>
        <s v="Doharr"/>
        <s v="Jonsson"/>
        <s v="Appleton"/>
        <s v="Rush"/>
        <s v="Patchett"/>
        <s v="Garside"/>
        <s v="Caram"/>
        <s v="Christy"/>
        <s v="Downton"/>
        <s v="Ross"/>
        <s v="Paulner"/>
        <s v="Jarvis"/>
        <s v="Frolicher-Stehli"/>
        <s v="Gilinski"/>
        <s v="Murdlin"/>
        <s v="Rintamaki"/>
        <s v="Stephenson"/>
        <s v="Elsbury"/>
        <s v="Chapman"/>
        <s v="Leitch"/>
        <s v="Slabenoff"/>
        <s v="Harrington"/>
        <s v="Torber"/>
        <s v="Homer"/>
        <s v="Lindell"/>
        <s v="Karaic"/>
        <s v="Daniel"/>
        <s v="Shutes"/>
        <s v="Jardin"/>
        <s v="Horgan"/>
        <s v="Brocklebank"/>
        <s v="Herman"/>
        <s v="Gavey"/>
        <s v="Yasbeck"/>
        <s v="Kimball"/>
        <s v="Hansen"/>
        <s v="Bowen"/>
        <s v="Sutton"/>
        <s v="Kirkland"/>
        <s v="Longley"/>
        <s v="Bostandyeff"/>
        <s v="O'Connell"/>
        <s v="Barkworth"/>
        <s v="Lundahl"/>
        <s v="Stahelin-Maeglin"/>
        <s v="Parr"/>
        <s v="Davis"/>
        <s v="Leinonen"/>
        <s v="Jensen"/>
        <s v="Sagesser"/>
        <s v="Foo"/>
        <s v="Cor"/>
        <s v="Simonius-Blumer"/>
        <s v="Willey"/>
        <s v="Mitkoff"/>
        <s v="Kalvik"/>
        <s v="O'Leary"/>
        <s v="Hegarty"/>
        <s v="Radeff"/>
        <s v="Eitemiller"/>
        <s v="Badt"/>
        <s v="Colley"/>
        <s v="Lindqvist"/>
        <s v="Butler"/>
        <s v="Rommetvedt"/>
        <s v="Cook"/>
        <s v="Taylor"/>
        <s v="Davidson"/>
        <s v="Mitchell"/>
        <s v="Wilhelms"/>
        <s v="Watson"/>
        <s v="Edvardsson"/>
        <s v="Sawyer"/>
        <s v="Turja"/>
        <s v="Cardeza"/>
        <s v="Peters"/>
        <s v="Hassab"/>
        <s v="Olsvigen"/>
        <s v="Dakic"/>
        <s v="Fischer"/>
        <s v="Madill"/>
        <s v="Dick"/>
        <s v="Karun"/>
        <s v="Lam"/>
        <s v="Saad"/>
        <s v="Weir"/>
        <s v="Mullens"/>
        <s v="Humblen"/>
        <s v="Astor"/>
        <s v="Silverthorne"/>
        <s v="Gallagher"/>
        <s v="Calderhead"/>
        <s v="Cleaver"/>
        <s v="Mayne"/>
        <s v="Klaber"/>
        <s v="Greenberg"/>
        <s v="Soholt"/>
        <s v="Endres"/>
        <s v="Troutt"/>
        <s v="McEvoy"/>
        <s v="Gillespie"/>
        <s v="Hodges"/>
        <s v="Chambers"/>
        <s v="Mannion"/>
        <s v="Bryhl"/>
        <s v="Ilmakangas"/>
        <s v="Hassan"/>
        <s v="Knight"/>
        <s v="Berriman"/>
        <s v="Troupiansky"/>
        <s v="Lesurer"/>
        <s v="Ivanoff"/>
        <s v="Nankoff"/>
        <s v="Hawksford"/>
        <s v="Cavendish"/>
        <s v="McNamee"/>
        <s v="Stranden"/>
        <s v="Sinkkonen"/>
        <s v="Marvin"/>
        <s v="Connaghton"/>
        <s v="Wells"/>
        <s v="Moor"/>
        <s v="Vande Velde"/>
        <s v="Jonkoff"/>
        <s v="Carlsson"/>
        <s v="Bailey"/>
        <s v="Theobald"/>
        <s v="Rothes"/>
        <s v="Garfirth"/>
        <s v="Nirva"/>
        <s v="Barah"/>
        <s v="Eklund"/>
        <s v="Hogeboom"/>
        <s v="Brewe"/>
        <s v="Mangan"/>
        <s v="Gronnestad"/>
        <s v="Lievens"/>
        <s v="Mack"/>
        <s v="Myhrman"/>
        <s v="Tobin"/>
        <s v="Emanuel"/>
        <s v="Kilgannon"/>
        <s v="Robert"/>
        <s v="Ayoub"/>
        <s v="Long"/>
        <s v="Johnston"/>
        <s v="Harmer"/>
        <s v="Sjoblom"/>
        <s v="Guggenheim"/>
        <s v="Gaskell"/>
        <s v="Dantcheff"/>
        <s v="Otter"/>
        <s v="Leader"/>
        <s v="Osman"/>
        <s v="Ibrahim Shawah"/>
        <s v="Ponesell"/>
        <s v="Thomas"/>
        <s v="Hedman"/>
        <s v="Pettersson"/>
        <s v="Alexander"/>
        <s v="Lester"/>
        <s v="Slemen"/>
        <s v="Tomlin"/>
        <s v="Fry"/>
        <s v="Heininen"/>
        <s v="Mallet"/>
        <s v="Holm"/>
        <s v="Lulic"/>
        <s v="Reuchlin"/>
        <s v="McCormack"/>
        <s v="Stone"/>
        <s v="Augustsson"/>
        <s v="Allum"/>
        <s v="Compton"/>
        <s v="Pasic"/>
        <s v="Sirota"/>
        <s v="Chip"/>
        <s v="Marechal"/>
        <s v="Alhomaki"/>
        <s v="Mudd"/>
        <s v="Serepeca"/>
        <s v="Lemberopolous"/>
        <s v="Culumovic"/>
        <s v="Abbing"/>
        <s v="Markoff"/>
        <s v="Lines"/>
        <s v="Aks"/>
        <s v="Razi"/>
        <s v="Giles"/>
        <s v="Swift"/>
        <s v="Gill"/>
        <s v="Bystrom"/>
        <s v="Duran y More"/>
        <s v="Roebling"/>
        <s v="van Melkebeke"/>
        <s v="Balkic"/>
        <s v="Vander Cruyssen"/>
        <s v="Najib"/>
        <s v="Laleff"/>
        <s v="Potter"/>
        <s v="Shelley"/>
        <s v="Markun"/>
        <s v="Dahlberg"/>
        <s v="Banfield"/>
        <s v="Sutehall"/>
        <s v="Montvila"/>
        <s v="Behr"/>
        <s v="Dooley"/>
      </sharedItems>
    </cacheField>
    <cacheField name="First_Name" numFmtId="0">
      <sharedItems count="799">
        <s v=" Owen Harris"/>
        <s v=" John Bradley (Florence Briggs Thayer)"/>
        <s v=" Laina"/>
        <s v=" Jacques Heath (Lily May Peel)"/>
        <s v=" William Henry"/>
        <s v=" James"/>
        <s v=" Timothy J"/>
        <s v=" Gosta Leonard"/>
        <s v=" Oscar W (Elisabeth Vilhelmina Berg)"/>
        <s v=" Nicholas (Adele Achem)"/>
        <s v=" Marguerite Rut"/>
        <s v=" Elizabeth"/>
        <s v=" Anders Johan"/>
        <s v=" Hulda Amanda Adolfina"/>
        <s v=" (Mary D Kingcome) "/>
        <s v=" Eugene"/>
        <s v=" Charles Eugene"/>
        <s v=" Julius (Emelia Maria Vandemoortele)"/>
        <s v=" Fatima"/>
        <s v=" Joseph J"/>
        <s v=" Lawrence"/>
        <s v=" Anna &quot;Annie&quot;"/>
        <s v=" William Thompson"/>
        <s v=" Torborg Danira"/>
        <s v=" Carl Oscar (Selma Augusta Emilia Johansson)"/>
        <s v=" Farred Chehab"/>
        <s v=" Charles Alexander"/>
        <s v=" Ellen &quot;Nellie&quot;"/>
        <s v=" Lalio"/>
        <s v=" Manuel E"/>
        <s v=" William Augustus (Marie Eugenie)"/>
        <s v=" Mary Agatha"/>
        <s v=" Edward H"/>
        <s v=" Edgar Joseph"/>
        <s v=" Alexander Oskar"/>
        <s v=" Hanna"/>
        <s v=" Ernest Charles"/>
        <s v=" Augusta Maria"/>
        <s v=" Jamila"/>
        <s v=" Johan (Johanna Persdotter Larsson)"/>
        <s v=" William John Robert (Dorothy Ann Wonnacott)"/>
        <s v=" Theodor"/>
        <s v=" Simonne Marie Anne Andree"/>
        <s v=" Margaret Delia"/>
        <s v=" William John"/>
        <s v=" Denis"/>
        <s v=" Bridget"/>
        <s v=" Youssef"/>
        <s v=" Josef (Josefine Franchi)"/>
        <s v=" Juha Niilo"/>
        <s v=" Richard Cater"/>
        <s v=" Henry Sleeper (Myna Haxtun)"/>
        <s v=" Lizzie (Elizabeth Anne Wilkinson)"/>
        <s v=" Engelhart Cornelius"/>
        <s v=" Hugh"/>
        <s v=" Emily"/>
        <s v=" Mansouer"/>
        <s v=" Constance Mirium"/>
        <s v=" William Frederick"/>
        <s v=" Orsen"/>
        <s v=" Amelie"/>
        <s v=" Henry Birkhardt"/>
        <s v=" Harald"/>
        <s v=" Albert A"/>
        <s v=" Gerios"/>
        <s v=" (Elizabeth Ramell)"/>
        <s v=" Ernest James"/>
        <s v=" Erna Alexandra"/>
        <s v=" Vincenz"/>
        <s v=" Stephen Curnow"/>
        <s v=" Lillian Amy"/>
        <s v=" Ambrose Jr"/>
        <s v=" Apostolos"/>
        <s v=" Lee"/>
        <s v=" Sigurd Hansen"/>
        <s v=" Ivan"/>
        <s v=" Rahamin Haim"/>
        <s v=" Alden Gates"/>
        <s v=" Achille"/>
        <s v=" Jan Baptist"/>
        <s v=" Brigdet Delia"/>
        <s v=" Francisco M"/>
        <s v=" Bertha"/>
        <s v=" Karl Alfred (Maria Mathilda Gustafsson)"/>
        <s v=" William Neal"/>
        <s v=" Selman Francis"/>
        <s v=" Mabel Helen"/>
        <s v=" Francesco"/>
        <s v=" Emil"/>
        <s v=" Paul Edvin"/>
        <s v=" Herbert Fuller"/>
        <s v=" Bertram Frank"/>
        <s v=" Daniel"/>
        <s v=" Charles Joseph"/>
        <s v=" George B"/>
        <s v=" William Bertram"/>
        <s v=" John T (Ada Julia Bone)"/>
        <s v=" Sinai"/>
        <s v=" Matilda"/>
        <s v=" Pastcho (&quot;Pentcho&quot;)"/>
        <s v=" Richard Frasar"/>
        <s v=" Gustaf Joel"/>
        <s v=" Anders Vilhelm"/>
        <s v=" Stoytcho"/>
        <s v=" Anna Kristine"/>
        <s v=" Albert Johan"/>
        <s v=" Tido"/>
        <s v=" Walter Chamberlain"/>
        <s v=" Hileni"/>
        <s v=" David John"/>
        <s v=" Katriina"/>
        <s v=" Malake"/>
        <s v=" Edvard"/>
        <s v=" Patrick"/>
        <s v=" William John Robert"/>
        <s v=" Quigg Edmond"/>
        <s v=" Ellis Anna Maria"/>
        <s v=" Stanley George"/>
        <s v=" Leonard Charles"/>
        <s v=" Nicholas"/>
        <s v=" Susan"/>
        <s v=" Percival Wayland"/>
        <s v=" Elias"/>
        <s v=" Martin"/>
        <s v=" Fridtjof Arne"/>
        <s v=" Anna"/>
        <s v=" Johan"/>
        <s v=" Jozef"/>
        <s v=" Domingos Fernandeo"/>
        <s v=" Alexander A (Grace Charity Laury)"/>
        <s v=" Leopold (Mathilde Francoise Pede)"/>
        <s v=" Samuel James Hayden"/>
        <s v=" Emile"/>
        <s v=" Helen Monypeny"/>
        <s v=" Jacques Heath"/>
        <s v=" Olaf Elon"/>
        <s v=" Victor"/>
        <s v=" Joseph (Sultana)"/>
        <s v=" Anna Sofia"/>
        <s v=" Pekka Pietari (Elin Matilda Dolck)"/>
        <s v=" Jeremiah"/>
        <s v=" Edgardo Samuel"/>
        <s v=" Joseph Charles"/>
        <s v=" August Edvard (&quot;Wennerstrom&quot;)"/>
        <s v=" Robina Maggie &quot;Ruby&quot;"/>
        <s v=" Michel (&quot;Louis M Hoffman&quot;)"/>
        <s v=" Thomas Roussel Davids"/>
        <s v=" Robert James"/>
        <s v=" Thomas (Edith Wearne)"/>
        <s v=" Alfonzo"/>
        <s v=" Austin Blyler"/>
        <s v=" Ole Martin"/>
        <s v=" Charles Duane"/>
        <s v=" Katherine &quot;Katie&quot;"/>
        <s v=" Harry"/>
        <s v=" Mile"/>
        <s v=" Thomas Henry"/>
        <s v=" John Hatfield"/>
        <s v=" James (Elizabeth &quot;Bessie&quot; Inglis Milne)"/>
        <s v=" John Viktor"/>
        <s v=" Jovo"/>
        <s v=" Eino Viljami"/>
        <s v=" Frank John William &quot;Frankie&quot;"/>
        <s v=" (Edith Martha Bowerman)"/>
        <s v=" William (Anna Bernhardina Karlsson)"/>
        <s v=" John D"/>
        <s v=" Wyckoff"/>
        <s v=" Arthur"/>
        <s v=" Eleanor Ileen"/>
        <s v=" Antti Wilhelm"/>
        <s v=" James Clinch"/>
        <s v=" Klas Albin"/>
        <s v=" Henry Forbes"/>
        <s v=" Ann Elizabeth"/>
        <s v=" Reginald"/>
        <s v=" Lionel"/>
        <s v=" Constance Gladys"/>
        <s v=" Rene"/>
        <s v=" Clarence Gustaf Hugo"/>
        <s v=" Richard F"/>
        <s v=" Luise Gretchen"/>
        <s v=" Hugh Roscoe"/>
        <s v=" Thomas (Johanna &quot;Hannah&quot; Godfrey)"/>
        <s v=" Charles Hallace (&quot;Mr C Rolmane&quot;)"/>
        <s v=" John"/>
        <s v=" Stjepan"/>
        <s v=" (Rosa)"/>
        <s v=" William"/>
        <s v=" Carla Christine Nielsine"/>
        <s v=" Michel M"/>
        <s v=" James Joseph (Margaret Tobin)"/>
        <s v=" Elise"/>
        <s v=" Robert"/>
        <s v=" Karl Siegwart Andreas"/>
        <s v=" Margaret &quot;Maggie&quot;"/>
        <s v=" Henriette (&quot;Mrs Harbeck&quot;)"/>
        <s v=" Nestor Cyriel"/>
        <s v=" Frederick"/>
        <s v=" Jakob Alfred"/>
        <s v=" Gerious"/>
        <s v=" Gurshon &quot;Gus&quot;"/>
        <s v=" Telma Matilda"/>
        <s v=" Karl Alfred"/>
        <s v=" Nassef Cassem"/>
        <s v=" Helen &quot;Ellen&quot;"/>
        <s v=" Henry"/>
        <s v=" Ahmed"/>
        <s v=" Clear Annie"/>
        <s v=" John Henry"/>
        <s v=" Hans Kristensen"/>
        <s v=" Philip"/>
        <s v=" Madeleine"/>
        <s v=" Eliina"/>
        <s v=" Sidney Samuel"/>
        <s v=" Albina"/>
        <s v=" Walter"/>
        <s v=" Victor Francis"/>
        <s v=" James H"/>
        <s v=" George Henry"/>
        <s v=" Christo"/>
        <s v=" Frederick Maxfield"/>
        <s v=" Karl Ivar Sven"/>
        <s v=" John Hall (&quot;Henry&quot;)"/>
        <s v=" Arne Jonas"/>
        <s v=" Mathilde"/>
        <s v=" Henry Birkhardt (Irene Wallach)"/>
        <s v=" Bengt Edvin"/>
        <s v=" Ernst Adolf"/>
        <s v=" Lillian Gertrud"/>
        <s v=" Robert William Norman"/>
        <s v=" Alice Phoebe"/>
        <s v=" Stephen"/>
        <s v=" Marjorie &quot;Lottie&quot;"/>
        <s v=" Frederick William"/>
        <s v=" Thamine"/>
        <s v=" Katherine &quot;Kate&quot;"/>
        <s v=" Reginald Charles"/>
        <s v=" Matti Alexanteri"/>
        <s v=" Sleiman"/>
        <s v=" William Edward"/>
        <s v=" Agda Thorilda Viktoria"/>
        <s v=" William (Anna)"/>
        <s v=" Richard Leonard"/>
        <s v=" Ernest Courtenay"/>
        <s v=" James George"/>
        <s v=" Wilhelm (Elna Matilda Persson)"/>
        <s v=" William Thomas"/>
        <s v=" William Arthur"/>
        <s v=" Viktor (Helena Wilhelmina)"/>
        <s v=" Darwis (Hanne Youssef Razi)"/>
        <s v=" Gertrude Maybelle"/>
        <s v=" Gladys"/>
        <s v=" (Lutie Davis)"/>
        <s v=" Thomas"/>
        <s v=" Edvin Rojj Felix"/>
        <s v=" Delia"/>
        <s v=" David"/>
        <s v=" Ernesti Arvid"/>
        <s v=" Ernst Ulrik"/>
        <s v=" William Thompson (Edith Junkins)"/>
        <s v=" Amelia"/>
        <s v=" Alexander"/>
        <s v=" (Elizabeth Anne Maidment)"/>
        <s v=" Charles H"/>
        <s v=" Hanora &quot;Nora&quot;"/>
        <s v=" Kornelia Theodosia"/>
        <s v=" Augusta Charlotta"/>
        <s v=" Francis &quot;Frank&quot;"/>
        <s v=" Eric"/>
        <s v=" Stanton (Rosa Hunt)"/>
        <s v=" Frank"/>
        <s v=" Nils Johan Goransson"/>
        <s v=" Alfons"/>
        <s v=" Edward Arthur"/>
        <s v=" Richard William"/>
        <s v=" Theodore"/>
        <s v=" Penko"/>
        <s v=" Masabumi"/>
        <s v=" Kate"/>
        <s v=" Dickinson H (Helen Walton)"/>
        <s v=" Rene Jacques"/>
        <s v=" Aloisia"/>
        <s v=" Ervin G"/>
        <s v=" Mansour"/>
        <s v=" Helen Loraine"/>
        <s v=" Adolphe"/>
        <s v=" James (Helene DeLaudeniere Chaput)"/>
        <s v=" Anna Katherine &quot;Annie Kate&quot;"/>
        <s v=" Bernard"/>
        <s v=" William Cahoone Jr"/>
        <s v=" Nora A"/>
        <s v=" Howard Hugh &quot;Harry&quot;"/>
        <s v=" Hudson Trevor"/>
        <s v=" Margaret"/>
        <s v=" Victor de Satode (Maria Josefa Perez de Soto y Vallejo)"/>
        <s v=" Samuel"/>
        <s v=" Laura Mabel"/>
        <s v=" Margaret Bechstein"/>
        <s v=" Emily Borie"/>
        <s v=" William (Anna Sylfven)"/>
        <s v=" Ignjac"/>
        <s v=" Benjamin"/>
        <s v=" Helmina Josefina"/>
        <s v=" Sinai (Miriam Sternin)"/>
        <s v=" Ernest"/>
        <s v=" Mary Natalie"/>
        <s v=" Frederic Oakley (Margaretta Corning Stone)"/>
        <s v=" Yoto"/>
        <s v=" Hilda Mary"/>
        <s v=" Albert Francis (Sylvia Mae Harbaugh)"/>
        <s v=" George John Jr"/>
        <s v=" Marie Grice"/>
        <s v=" Johan Hansen"/>
        <s v=" (Ada E Hall)"/>
        <s v=" Frank John (Emily Alice Brown)"/>
        <s v=" Jean Gertrude"/>
        <s v=" Agnes"/>
        <s v=" Austen"/>
        <s v=" George Edward"/>
        <s v=" Leo Edmondus"/>
        <s v=" Henry William (Clara Heinsheimer)"/>
        <s v=" Mitto"/>
        <s v=" Thomas Clinton"/>
        <s v=" Elizabeth Margaret"/>
        <s v=" Karl Edwart"/>
        <s v=" Stephen Weart"/>
        <s v=" Edmond Roger"/>
        <s v=" Alice Elizabeth"/>
        <s v=" Erik Gustaf"/>
        <s v=" Charles Frederick Waddington"/>
        <s v=" Stanley Hubert"/>
        <s v=" Amelia &quot;Mildred&quot;"/>
        <s v=" Marion Elsie"/>
        <s v=" Thomas Henry (Mary E Finck)"/>
        <s v=" William Loch &quot;William&quot;"/>
        <s v=" Jovan"/>
        <s v=" Nils Martin"/>
        <s v=" Fletcher Fellows"/>
        <s v=" Tannous"/>
        <s v=" Josef"/>
        <s v=" Wazli"/>
        <s v=" Leo Peter"/>
        <s v=" Elsie Edith"/>
        <s v=" Annie Clemmer"/>
        <s v=" Mary"/>
        <s v=" Helen Mary &quot;Ellie&quot;"/>
        <s v=" Wilhelm"/>
        <s v=" Sebastiano"/>
        <s v=" (Catherine David)"/>
        <s v=" Adola"/>
        <s v=" Mauritz Nils Martin"/>
        <s v=" Frank Manley (Anna Sophia Atkinson)"/>
        <s v=" (Mantoura Boulos)"/>
        <s v=" Annie"/>
        <s v=" Leontine Pauline"/>
        <s v=" George Achilles"/>
        <s v=" Sante"/>
        <s v=" Stina Viola"/>
        <s v=" Edgar Joseph (Leila Saks)"/>
        <s v=" Aurora Adelia"/>
        <s v=" Harry Elkins"/>
        <s v=" Karl Gideon"/>
        <s v=" Rosalie"/>
        <s v=" Maria (&quot;Mary&quot;)"/>
        <s v=" Juho"/>
        <s v=" Alexander Oskar (Mary Aline Towner)"/>
        <s v=" Vasil"/>
        <s v=" Charles Henry"/>
        <s v=" Sidney Leonard"/>
        <s v=" Matthew"/>
        <s v=" William Ernest"/>
        <s v=" Carl Olof"/>
        <s v=" Johan Birger"/>
        <s v=" Marjorie"/>
        <s v=" Hjalmar (Agnes Charlotta Bengtsson)"/>
        <s v=" Erik"/>
        <s v=" Elina"/>
        <s v=" Peter David"/>
        <s v=" Alfred"/>
        <s v=" William H (Jessie L)"/>
        <s v=" Juha"/>
        <s v=" Mari Aina"/>
        <s v=" Pekka Pietari"/>
        <s v=" Marija"/>
        <s v=" Shadrach"/>
        <s v=" Carl/Charles Peter"/>
        <s v=" William Rowe"/>
        <s v=" Hans Martin Monsen"/>
        <s v=" Ida"/>
        <s v=" Todor"/>
        <s v=" Daisy E"/>
        <s v=" Alfred Fleming"/>
        <s v=" Johan Julian"/>
        <s v=" Thomas (Annie Louise Rowley)"/>
        <s v=" James Vivian (Lulu Thorne Christian)"/>
        <s v=" Lyyli Karoliina"/>
        <s v=" Catharina"/>
        <s v=" Stanio"/>
        <s v=" Leo"/>
        <s v=" Ernst Gilbert (Anna Sigrid Maria Brogren)"/>
        <s v=" Viktor Richard"/>
        <s v=" Phillippe"/>
        <s v=" Charles V (Ada Maria Winfield)"/>
        <s v=" Kate Florence (&quot;Mrs Kate Louise Phillips Marshall&quot;)"/>
        <s v=" Berk (Berk Trembisky)"/>
        <s v=" Mauritz Hakan"/>
        <s v=" Percival (Florence Kate White)"/>
        <s v=" Charles Alexander (Alice Adelaide Slow)"/>
        <s v=" Nikolai Erland"/>
        <s v=" William Baird"/>
        <s v=" Lucile Polk"/>
        <s v=" Doolina Margaret &quot;Daisy&quot;"/>
        <s v=" Sidney (Emily Hocking)"/>
        <s v=" Mark"/>
        <s v=" Johan Henrik Johannesson"/>
        <s v=" Benjamin (Esther Ada Bloomfield)"/>
        <s v=" Leon"/>
        <s v=" Johan Emil"/>
        <s v=" Encarnacion"/>
        <s v=" Bernt"/>
        <s v=" Washington"/>
        <s v=" Madeleine Violet"/>
        <s v=" Frederic Kimber"/>
        <s v=" Marie Catherine"/>
        <s v=" Arthur Godfrey"/>
        <s v=" Edwy Arthur"/>
        <s v=" Ingvald Olai Olsen"/>
        <s v=" Benjamin Laventall"/>
        <s v=" Samuel L"/>
        <s v=" Joseph"/>
        <s v=" Francis Davis"/>
        <s v=" Frederick R (Marion)"/>
        <s v=" Ellen"/>
        <s v=" Maurice"/>
        <s v=" Arthur H"/>
        <s v=" Jacob Christian"/>
        <s v=" Simon"/>
        <s v=" Manuel Estanslas"/>
        <s v=" John Montgomery"/>
        <s v=" Helene Barbara"/>
        <s v=" Luka"/>
        <s v=" Edwy Arthur (Ada Mary Worth)"/>
        <s v=" Amin S (Marie Marthe Thuillard)"/>
        <s v=" Ida Sofia"/>
        <s v=" George Quincy"/>
        <s v=" Peter Henry"/>
        <s v=" Lewis Richard"/>
        <s v=" Nils August"/>
        <s v=" Hildur E"/>
        <s v=" Harold Victor"/>
        <s v=" Anthony Wood &quot;Archie&quot;"/>
        <s v=" Richard Henry"/>
        <s v=" (Hedwig)"/>
        <s v=" Dickinson H"/>
        <s v=" Jeannie"/>
        <s v=" Frederick Maxfield (Jane Anne Forby)"/>
        <s v=" Edward Austin"/>
        <s v=" Francis William"/>
        <s v=" Eden Leslie &quot;Neville&quot;"/>
        <s v=" Konrad Mathias Reiersen"/>
        <s v=" Einar"/>
        <s v=" Harry Markland"/>
        <s v=" Ramon"/>
        <s v=" Edward Roland"/>
        <s v=" Elizabeth Mussey"/>
        <s v=" Hudson J C (Bessie Waldo Daniels)"/>
        <s v=" Olof"/>
        <s v=" Petar"/>
        <s v=" Bridget Mary"/>
        <s v=" Kristina Sofia"/>
        <s v=" Roberta"/>
        <s v=" Victor de Satode"/>
        <s v=" Frederick Charles (Jane Richards)"/>
        <s v=" George (&quot;George Arthur Brayton&quot;)"/>
        <s v=" Henry Margido"/>
        <s v=" Fang"/>
        <s v=" Eugene Patrick"/>
        <s v=" James Robert"/>
        <s v=" Martin (Elizabeth L"/>
        <s v=" Satio"/>
        <s v=" William Anderson"/>
        <s v=" (Amelia Milley)"/>
        <s v=" William A (Florence &quot;Mary&quot; Agnes Hughes)"/>
        <s v=" Stefo"/>
        <s v=" Anne"/>
        <s v=" Janko"/>
        <s v=" Sarkis"/>
        <s v=" Louis Albert (Ida Sophia Fischer)"/>
        <s v=" Fared"/>
        <s v=" Lucy"/>
        <s v=" Johan Werner"/>
        <s v=" Richard George"/>
        <s v=" Phyllis May"/>
        <s v=" Nakli"/>
        <s v=" Joseph Jr"/>
        <s v=" Catherine (Catherine Rizk)"/>
        <s v=" Eva Miriam"/>
        <s v=" Archibald Willingham"/>
        <s v=" Samuel Beard"/>
        <s v=" Hedwig Margaritha"/>
        <s v=" Harriet R"/>
        <s v=" Ingeborg Constanzia"/>
        <s v=" Sigrid Elisabeth"/>
        <s v=" Edward"/>
        <s v=" Walter Donald"/>
        <s v=" Arthur Ernest"/>
        <s v=" Edward (Ethel Clarke)"/>
        <s v=" Julian"/>
        <s v=" Frank John"/>
        <s v=" John Morgan Jr"/>
        <s v=" John Borland Jr"/>
        <s v=" Percival James R"/>
        <s v=" Timothy"/>
        <s v=" Fahim (&quot;Philip Zenni&quot;)"/>
        <s v=" Velin"/>
        <s v=" George"/>
        <s v=" (Lucille Christiana Sutherland) (&quot;Mrs Morgan&quot;)"/>
        <s v=" Emil (Tillie Mandelbaum)"/>
        <s v=" Guillaume Joseph (Emma)"/>
        <s v=" Thomas Rowan"/>
        <s v=" Husein"/>
        <s v=" Robert Douglas"/>
        <s v=" (Marion Ogden)"/>
        <s v=" Alfred J"/>
        <s v=" Ilia"/>
        <s v=" Nils (Alma Cornelia Berglund)"/>
        <s v=" Carl"/>
        <s v=" Edward Dale (Charlotte Lamson)"/>
        <s v=" John Irwin (&quot;Irving&quot;)"/>
        <s v=" Alfred George John"/>
        <s v=" Ethel"/>
        <s v=" William Baird (Alice Munger)"/>
        <s v=" Joseph (Maria Elias)"/>
        <s v=" Eiriik"/>
        <s v=" Julie Rachel"/>
        <s v=" John Borland (Marian Longstreth Morris)"/>
        <s v=" William James"/>
        <s v=" John Hugo"/>
        <s v=" Uscher"/>
        <s v=" Ruth"/>
        <s v=" John Denzil"/>
        <s v=" Maxmillian"/>
        <s v=" Eliezer"/>
        <s v=" Matti"/>
        <s v=" Walter Bertram (Martha Eustis)"/>
        <s v=" Jean Baptiste"/>
        <s v=" Jessie Wills"/>
        <s v=" Cosmo Edmund (&quot;Mr Morgan&quot;)"/>
        <s v=" Sidney Samuel (Amy Frances Christy)"/>
        <s v=" Petco"/>
        <s v=" Ernst William"/>
        <s v=" Harry (&quot;Mr E Haven&quot;)"/>
        <s v=" Edvard Bengtsson"/>
        <s v=" Milan"/>
        <s v=" Robert Williams"/>
        <s v=" Joseph (Juliette Marie Louise Lafargue)"/>
        <s v=" Elizabeth W"/>
        <s v=" Anders Johan (Alfrida Konstantia Brogren)"/>
        <s v=" Jose Neto"/>
        <s v=" Margaret Jane"/>
        <s v=" William Alfred"/>
        <s v=" Alice"/>
        <s v=" Ernst Gilbert"/>
        <s v=" William Arthur (Cordelia K Stanlick)"/>
        <s v=" Marion Louise"/>
        <s v=" Antoni"/>
        <s v=" Edwin Nelson Jr"/>
        <s v=" Sahid"/>
        <s v=" Henry Damsgaard"/>
        <s v=" David John &quot;Dai&quot;"/>
        <s v=" Charles Leonard"/>
        <s v=" Gretchen Fiske"/>
        <s v=" Guentcho"/>
        <s v=" Patrick D"/>
        <s v=" Algernon Henry Wilson"/>
        <s v=" Johan Svensson"/>
        <s v=" Max"/>
        <s v=" William Henry Marsh"/>
        <s v=" Mabel"/>
        <s v=" Antti Gustaf"/>
        <s v=" Harvey"/>
        <s v=" Juha (Maria Emilia Ojala)"/>
        <s v=" Percival"/>
        <s v=" Hans Peder"/>
        <s v=" Emma"/>
        <s v=" Margit Elizabeth"/>
        <s v=" Choong"/>
        <s v=" Eugenie"/>
        <s v=" Henry Sleeper"/>
        <s v=" Liudevit"/>
        <s v=" Oberst Alfons"/>
        <s v=" Amy Zillah Elsie"/>
        <s v=" Mito"/>
        <s v=" Elsie"/>
        <s v=" Johannes Halvorsen"/>
        <s v=" Hanora &quot;Norah&quot;"/>
        <s v=" Leonard Mark"/>
        <s v=" John (Catherine)"/>
        <s v=" George Floyd"/>
        <s v=" Arthur Webster"/>
        <s v=" Henry William"/>
        <s v=" Mohamed"/>
        <s v=" Edward Pomeroy"/>
        <s v=" Peju"/>
        <s v=" Eino William"/>
        <s v=" Lewis"/>
        <s v=" Reginald Fenton"/>
        <s v=" Knud Paust"/>
        <s v=" Jacob"/>
        <s v=" Elmer Zebley (Juliet Cummins Wright)"/>
        <s v=" Thomas William Solomon (Elizabeth Catherine Ford)"/>
        <s v=" Thornton"/>
        <s v=" Henry Michael"/>
        <s v=" Charles"/>
        <s v=" Ennis Hastings"/>
        <s v=" Gustaf Hjalmar"/>
        <s v=" Frederick Charles"/>
        <s v=" Frederick (Augusta Tyler)"/>
        <s v=" Thomas Drake Martinez"/>
        <s v=" Katie"/>
        <s v=" Hammad"/>
        <s v=" Thor Anderson"/>
        <s v=" Charles Edward"/>
        <s v=" Thomas William Solomon"/>
        <s v=" Joseph Philippe Lemercier"/>
        <s v=" Jaako Arnold"/>
        <s v=" Branko"/>
        <s v=" Eberhard Thelander"/>
        <s v=" Georgette Alexandra"/>
        <s v=" Albert Adrian"/>
        <s v=" Manca"/>
        <s v=" Ali"/>
        <s v=" Khalil"/>
        <s v=" John Borland"/>
        <s v=" Adolf Mathias Nicolai Olsen"/>
        <s v=" John Jacob (Madeleine Talmadge Force)"/>
        <s v=" Spencer Victor"/>
        <s v=" Saiide"/>
        <s v=" Henrik Juul"/>
        <s v=" Henry Samuel (&quot;Mr Henry Marshall&quot;)"/>
        <s v=" Florence &quot;Fannie&quot;"/>
        <s v=" Edward Pennington"/>
        <s v=" Halim Gonios (&quot;William George&quot;)"/>
        <s v=" Berthe Antonine (&quot;Mrs de Villiers&quot;)"/>
        <s v=" Herman"/>
        <s v=" Elmer Zebley"/>
        <s v=" August Viktor"/>
        <s v=" Peter Andreas Lauritz Andersen"/>
        <s v=" Caroline Louise"/>
        <s v=" Edwina Celia &quot;Winnie&quot;"/>
        <s v=" Michael"/>
        <s v=" Malkolm Joackim"/>
        <s v=" Annie Jessie &quot;Nina&quot;"/>
        <s v=" Svend Lauritz"/>
        <s v=" Henry Price"/>
        <s v=" Norman Campbell"/>
        <s v=" Peter Henry (Lillian Jefferys)"/>
        <s v=" Margareth"/>
        <s v=" Kurt Arnold Gottfrid"/>
        <s v=" Pieta Sofia"/>
        <s v=" Elisabeth Walton"/>
        <s v=" Houssein G N"/>
        <s v=" Robert J"/>
        <s v=" Moses Aaron"/>
        <s v=" Leslie"/>
        <s v=" Edward (Margaret Ann Watson)"/>
        <s v=" Gustave J"/>
        <s v=" Kanio"/>
        <s v=" Minko"/>
        <s v=" Walter James"/>
        <s v=" Tyrell William"/>
        <s v=" Susan Parker &quot;Suzette&quot;"/>
        <s v=" Neal"/>
        <s v=" Edward Gifford"/>
        <s v=" Rossmore Edward"/>
        <s v=" Daniel Warner"/>
        <s v=" Joan"/>
        <s v=" Meier"/>
        <s v=" Johannes Joseph"/>
        <s v=" Samuel (Jane Laver)"/>
        <s v=" Viljo"/>
        <s v=" August Sigfrid"/>
        <s v=" Percy Andrew"/>
        <s v=" Thomas Leonard"/>
        <s v=" of (Lucy Noel Martha Dyer-Edwards)"/>
        <s v=" Iisakki Antino Aijo"/>
        <s v=" Hanna Assi"/>
        <s v=" William Ernest (Lucile Polk)"/>
        <s v=" Hans Linus"/>
        <s v=" John C (Anna Andrews)"/>
        <s v=" Arthur Jackson"/>
        <s v=" Daniel J"/>
        <s v=" Daniel Danielsen"/>
        <s v=" Rene Aime"/>
        <s v=" Niels Peder"/>
        <s v=" (Mary)"/>
        <s v=" Dibo"/>
        <s v=" Elizabeth (Eliza Needs)"/>
        <s v=" Pehr Fabian Oliver Malkolm"/>
        <s v=" Roger"/>
        <s v=" Virginia Ethel"/>
        <s v=" Thomas J"/>
        <s v=" Edward Scott (Elisabeth Walton McMillan)"/>
        <s v=" Banoura"/>
        <s v=" Albert Adrian (Vera Gillespie)"/>
        <s v=" Milton Clyde"/>
        <s v=" Andrew G"/>
        <s v=" Abraham (David Lishin)"/>
        <s v=" George Hugh"/>
        <s v=" Bertram Vere"/>
        <s v=" Andrew &quot;Andy&quot;"/>
        <s v=" Stella Anna"/>
        <s v=" William Fisher"/>
        <s v=" Ristiu"/>
        <s v=" Richard"/>
        <s v=" Alice (Farnham)"/>
        <s v=" Mara"/>
        <s v=" Yousseff"/>
        <s v=" Jean Baptiste (Rosalie Paula Govaert)"/>
        <s v=" Harvey (Charlotte Annie Tate)"/>
        <s v=" William Thornton II"/>
        <s v=" Assad Alexander"/>
        <s v=" Oskar Arvid"/>
        <s v=" Karl Johan"/>
        <s v=" Thomas Jr"/>
        <s v=" Ellen Natalia"/>
        <s v=" August"/>
        <s v=" Norman Campbell (Bertha Griggs)"/>
        <s v=" Richard James"/>
        <s v=" Ebba Iris Alfrida"/>
        <s v=" Ernest Portage"/>
        <s v=" Wendla Maria"/>
        <s v=" Albert"/>
        <s v=" John Fredrik Alexander"/>
        <s v=" Karl Thorsten"/>
        <s v=" Charles Melville (Clara Jennings Gregg)"/>
        <s v=" Nikola"/>
        <s v=" John George"/>
        <s v=" (Beila)"/>
        <s v=" Urho Abraham"/>
        <s v=" Len"/>
        <s v=" Andre"/>
        <s v=" Thomas Joseph"/>
        <s v=" George Nelson (Martha Evelyn)"/>
        <s v=" Antoni (Selini Alexander)"/>
        <s v=" George Sibley"/>
        <s v=" Amin"/>
        <s v=" Owen George"/>
        <s v=" Sara Rebecca"/>
        <s v=" Jakob"/>
        <s v=" Chang"/>
        <s v=" Pierre"/>
        <s v=" Ilmari Rudolf"/>
        <s v=" Thomas Charles"/>
        <s v=" Augusta"/>
        <s v=" Peter L"/>
        <s v=" Jeso"/>
        <s v=" Anthony"/>
        <s v=" Douglas Bullen"/>
        <s v=" Marin"/>
        <s v=" Samuel L (Edwiga Grabowska)"/>
        <s v=" Sigvard Harald Elias"/>
        <s v=" Nourelain"/>
        <s v=" Mary Conover"/>
        <s v=" Ernest Courtenay (Lilian Hughes)"/>
        <s v=" Sam (Leah Rosen)"/>
        <s v=" George Dennick (Mary Hitchcock)"/>
        <s v=" Peter Denis "/>
        <s v=" Solomon (Latifa Qurban)"/>
        <s v=" Raihed"/>
        <s v=" Claus Peter"/>
        <s v=" Frederick Edward"/>
        <s v=" Frederick Joel (Margaret Welles Barron)"/>
        <s v=" Dorothy Edith &quot;Dolly&quot;"/>
        <s v=" John William"/>
        <s v=" (Karolina)"/>
        <s v=" Asuncion"/>
        <s v=" Washington Augustus II"/>
        <s v=" Philemon"/>
        <s v=" Harold Theodor"/>
        <s v=" Cerin"/>
        <s v=" Richard Leonard (Sallie Monypeny)"/>
        <s v=" Frans Olof"/>
        <s v=" Samuel (Hannah Wizosky)"/>
        <s v=" Adele Kiamie &quot;Jane&quot;"/>
        <s v=" Alfred Ossian"/>
        <s v=" Nedelio"/>
        <s v=" Kristo"/>
        <s v=" Thomas Jr (Lily Alexenia Wilson)"/>
        <s v=" William (Imanita Parrish Hall)"/>
        <s v=" Johann"/>
        <s v=" Gerda Ulrika"/>
        <s v=" Frederick James"/>
        <s v=" Henry Jr"/>
        <s v=" William (Margaret Norton)"/>
        <s v=" Juozas"/>
        <s v=" Margaret Edith"/>
        <s v=" Catherine Helen &quot;Carrie&quot;"/>
        <s v=" Karl Howell"/>
      </sharedItems>
    </cacheField>
    <cacheField name="Title" numFmtId="0">
      <sharedItems count="17">
        <s v="Mr"/>
        <s v="Mrs"/>
        <s v="Miss"/>
        <s v="Master"/>
        <s v="Don"/>
        <s v="Rev"/>
        <s v="Dr"/>
        <s v="Mme"/>
        <s v="Ms"/>
        <s v="Major"/>
        <s v="Lady"/>
        <s v="Sir"/>
        <s v="Mlle"/>
        <s v="Col"/>
        <s v="Capt"/>
        <s v="the Countess"/>
        <s v="Jonkheer"/>
      </sharedItems>
    </cacheField>
    <cacheField name="Gender" numFmtId="0">
      <sharedItems count="3">
        <s v="Male"/>
        <s v="Female"/>
        <s v="Unknown"/>
      </sharedItems>
    </cacheField>
    <cacheField name="Age" numFmtId="0">
      <sharedItems containsNumber="1" containsMixedTypes="1" count="89">
        <n v="22"/>
        <n v="38"/>
        <n v="26"/>
        <n v="35"/>
        <s v="\N"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0.83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1"/>
        <n v="61"/>
        <n v="56"/>
        <n v="50"/>
        <n v="36"/>
        <n v="45.5"/>
        <n v="20.5"/>
        <n v="62"/>
        <n v="41"/>
        <n v="52"/>
        <n v="63"/>
        <n v="23.5"/>
        <n v="0.92"/>
        <n v="43"/>
        <n v="60"/>
        <n v="10"/>
        <n v="64"/>
        <n v="13"/>
        <n v="48"/>
        <n v="0.75"/>
        <n v="53"/>
        <n v="57"/>
        <n v="80"/>
        <n v="70"/>
        <n v="24.5"/>
        <n v="6"/>
        <n v="0.67"/>
        <n v="30.5"/>
        <n v="0.42"/>
        <n v="34.5"/>
        <n v="74"/>
      </sharedItems>
    </cacheField>
    <cacheField name="SibSp" numFmtId="0">
      <sharedItems containsSemiMixedTypes="0" containsString="0" containsNumber="1" containsInteger="1" minValue="0" maxValue="8" count="7">
        <n v="1"/>
        <n v="0"/>
        <n v="3"/>
        <n v="4"/>
        <n v="2"/>
        <n v="5"/>
        <n v="8"/>
      </sharedItems>
    </cacheField>
    <cacheField name="Parch" numFmtId="0">
      <sharedItems containsSemiMixedTypes="0" containsString="0" containsNumber="1" containsInteger="1" minValue="0" maxValue="6" count="7">
        <n v="0"/>
        <n v="1"/>
        <n v="2"/>
        <n v="5"/>
        <n v="3"/>
        <n v="4"/>
        <n v="6"/>
      </sharedItems>
    </cacheField>
    <cacheField name="Family_Size" numFmtId="0">
      <sharedItems containsSemiMixedTypes="0" containsString="0" containsNumber="1" containsInteger="1" minValue="0" maxValue="11" count="9">
        <n v="2"/>
        <n v="1"/>
        <n v="5"/>
        <n v="3"/>
        <n v="7"/>
        <n v="6"/>
        <n v="4"/>
        <n v="8"/>
        <n v="11"/>
      </sharedItems>
    </cacheField>
    <cacheField name="Survival_Status" numFmtId="0">
      <sharedItems count="2">
        <s v="Not Survived"/>
        <s v="Survived"/>
      </sharedItems>
    </cacheField>
    <cacheField name="Family_Category" numFmtId="0">
      <sharedItems count="3">
        <s v="Small Family"/>
        <s v="Alone"/>
        <s v="Large Family"/>
      </sharedItems>
    </cacheField>
    <cacheField name="Ticket" numFmtId="0">
      <sharedItems containsNumber="1" containsInteger="1" containsMixedTypes="1" count="681">
        <s v="A/5 21171"/>
        <s v="PC 17599"/>
        <s v="STON/O2. 3101282"/>
        <n v="113803"/>
        <n v="373450"/>
        <n v="330877"/>
        <n v="17463"/>
        <n v="349909"/>
        <n v="347742"/>
        <n v="237736"/>
        <s v="PP 9549"/>
        <n v="113783"/>
        <s v="A/5. 2151"/>
        <n v="347082"/>
        <n v="350406"/>
        <n v="248706"/>
        <n v="382652"/>
        <n v="244373"/>
        <n v="345763"/>
        <n v="2649"/>
        <n v="239865"/>
        <n v="248698"/>
        <n v="330923"/>
        <n v="113788"/>
        <n v="347077"/>
        <n v="2631"/>
        <n v="19950"/>
        <n v="330959"/>
        <n v="349216"/>
        <s v="PC 17601"/>
        <s v="PC 17569"/>
        <n v="335677"/>
        <s v="C.A. 24579"/>
        <s v="PC 17604"/>
        <n v="113789"/>
        <n v="2677"/>
        <s v="A./5. 2152"/>
        <n v="345764"/>
        <n v="2651"/>
        <n v="7546"/>
        <n v="11668"/>
        <n v="349253"/>
        <s v="SC/Paris 2123"/>
        <n v="330958"/>
        <s v="S.C./A.4. 23567"/>
        <n v="370371"/>
        <n v="14311"/>
        <n v="2662"/>
        <n v="349237"/>
        <n v="3101295"/>
        <s v="A/4. 39886"/>
        <s v="PC 17572"/>
        <n v="2926"/>
        <n v="113509"/>
        <n v="19947"/>
        <s v="C.A. 31026"/>
        <n v="2697"/>
        <s v="C.A. 34651"/>
        <s v="CA 2144"/>
        <n v="2669"/>
        <n v="113572"/>
        <n v="36973"/>
        <n v="347088"/>
        <s v="PC 17605"/>
        <n v="2661"/>
        <s v="C.A. 29395"/>
        <s v="S.P. 3464"/>
        <n v="3101281"/>
        <n v="315151"/>
        <s v="C.A. 33111"/>
        <s v="S.O.C. 14879"/>
        <n v="2680"/>
        <n v="1601"/>
        <n v="348123"/>
        <n v="349208"/>
        <n v="374746"/>
        <n v="248738"/>
        <n v="364516"/>
        <n v="345767"/>
        <n v="345779"/>
        <n v="330932"/>
        <n v="113059"/>
        <s v="SO/C 14885"/>
        <n v="3101278"/>
        <s v="W./C. 6608"/>
        <s v="SOTON/OQ 392086"/>
        <n v="343275"/>
        <n v="343276"/>
        <n v="347466"/>
        <s v="W.E.P. 5734"/>
        <s v="C.A. 2315"/>
        <n v="364500"/>
        <n v="374910"/>
        <s v="PC 17754"/>
        <s v="PC 17759"/>
        <n v="231919"/>
        <n v="244367"/>
        <n v="349245"/>
        <n v="349215"/>
        <n v="35281"/>
        <n v="7540"/>
        <n v="3101276"/>
        <n v="349207"/>
        <n v="343120"/>
        <n v="312991"/>
        <n v="349249"/>
        <n v="371110"/>
        <n v="110465"/>
        <n v="2665"/>
        <n v="324669"/>
        <n v="4136"/>
        <n v="2627"/>
        <s v="STON/O 2. 3101294"/>
        <n v="370369"/>
        <s v="PC 17558"/>
        <s v="A4. 54510"/>
        <n v="27267"/>
        <n v="370372"/>
        <s v="C 17369"/>
        <n v="2668"/>
        <n v="347061"/>
        <n v="349241"/>
        <s v="SOTON/O.Q. 3101307"/>
        <s v="A/5. 3337"/>
        <n v="228414"/>
        <s v="C.A. 29178"/>
        <s v="SC/PARIS 2133"/>
        <n v="11752"/>
        <n v="7534"/>
        <s v="PC 17593"/>
        <n v="2678"/>
        <n v="347081"/>
        <s v="STON/O2. 3101279"/>
        <n v="365222"/>
        <n v="231945"/>
        <s v="C.A. 33112"/>
        <n v="350043"/>
        <n v="230080"/>
        <n v="244310"/>
        <s v="S.O.P. 1166"/>
        <n v="113776"/>
        <s v="A.5. 11206"/>
        <s v="A/5. 851"/>
        <s v="Fa 265302"/>
        <s v="PC 17597"/>
        <n v="35851"/>
        <s v="SOTON/OQ 392090"/>
        <n v="315037"/>
        <s v="CA. 2343"/>
        <n v="371362"/>
        <s v="C.A. 33595"/>
        <n v="347068"/>
        <n v="315093"/>
        <n v="363291"/>
        <n v="113505"/>
        <s v="PC 17318"/>
        <n v="111240"/>
        <s v="STON/O 2. 3101280"/>
        <n v="17764"/>
        <n v="350404"/>
        <n v="4133"/>
        <s v="PC 17595"/>
        <n v="250653"/>
        <s v="LINE"/>
        <s v="SC/PARIS 2131"/>
        <n v="230136"/>
        <n v="315153"/>
        <n v="113767"/>
        <n v="370365"/>
        <n v="111428"/>
        <n v="364849"/>
        <n v="349247"/>
        <n v="234604"/>
        <n v="28424"/>
        <n v="350046"/>
        <s v="PC 17610"/>
        <n v="368703"/>
        <n v="4579"/>
        <n v="370370"/>
        <n v="248747"/>
        <n v="345770"/>
        <n v="3101264"/>
        <n v="2628"/>
        <s v="A/5 3540"/>
        <n v="347054"/>
        <n v="2699"/>
        <n v="367231"/>
        <n v="112277"/>
        <s v="SOTON/O.Q. 3101311"/>
        <s v="F.C.C. 13528"/>
        <s v="A/5 21174"/>
        <n v="250646"/>
        <n v="367229"/>
        <n v="35273"/>
        <s v="STON/O2. 3101283"/>
        <n v="243847"/>
        <n v="11813"/>
        <s v="W/C 14208"/>
        <s v="SOTON/OQ 392089"/>
        <n v="220367"/>
        <n v="21440"/>
        <n v="349234"/>
        <n v="19943"/>
        <s v="PP 4348"/>
        <s v="SW/PP 751"/>
        <s v="A/5 21173"/>
        <n v="236171"/>
        <n v="347067"/>
        <n v="237442"/>
        <s v="C.A. 29566"/>
        <s v="W./C. 6609"/>
        <n v="26707"/>
        <s v="C.A. 31921"/>
        <n v="28665"/>
        <s v="SCO/W 1585"/>
        <n v="367230"/>
        <s v="W./C. 14263"/>
        <s v="STON/O 2. 3101275"/>
        <n v="2694"/>
        <n v="19928"/>
        <n v="347071"/>
        <n v="250649"/>
        <n v="11751"/>
        <n v="244252"/>
        <n v="362316"/>
        <n v="113514"/>
        <s v="A/5. 3336"/>
        <n v="370129"/>
        <n v="2650"/>
        <s v="PC 17585"/>
        <n v="110152"/>
        <s v="PC 17755"/>
        <n v="230433"/>
        <n v="384461"/>
        <n v="110413"/>
        <n v="112059"/>
        <n v="382649"/>
        <s v="C.A. 17248"/>
        <n v="347083"/>
        <s v="PC 17582"/>
        <s v="PC 17760"/>
        <n v="113798"/>
        <n v="250644"/>
        <s v="PC 17596"/>
        <n v="370375"/>
        <n v="13502"/>
        <n v="347073"/>
        <n v="239853"/>
        <s v="C.A. 2673"/>
        <n v="336439"/>
        <n v="347464"/>
        <n v="345778"/>
        <s v="A/5. 10482"/>
        <n v="113056"/>
        <n v="349239"/>
        <n v="345774"/>
        <n v="349206"/>
        <n v="237798"/>
        <n v="370373"/>
        <n v="19877"/>
        <n v="11967"/>
        <s v="SC/Paris 2163"/>
        <n v="349236"/>
        <n v="349233"/>
        <s v="PC 17612"/>
        <n v="2693"/>
        <n v="113781"/>
        <n v="19988"/>
        <n v="9234"/>
        <n v="367226"/>
        <n v="226593"/>
        <s v="A/5 2466"/>
        <n v="17421"/>
        <s v="PC 17758"/>
        <s v="P/PP 3381"/>
        <s v="PC 17485"/>
        <n v="11767"/>
        <s v="PC 17608"/>
        <n v="250651"/>
        <n v="349243"/>
        <s v="F.C.C. 13529"/>
        <n v="347470"/>
        <n v="29011"/>
        <n v="36928"/>
        <n v="16966"/>
        <s v="A/5 21172"/>
        <n v="349219"/>
        <n v="234818"/>
        <n v="345364"/>
        <n v="28551"/>
        <n v="111361"/>
        <n v="113043"/>
        <s v="PC 17611"/>
        <n v="349225"/>
        <n v="7598"/>
        <n v="113784"/>
        <n v="248740"/>
        <n v="244361"/>
        <n v="229236"/>
        <n v="248733"/>
        <n v="31418"/>
        <n v="386525"/>
        <s v="C.A. 37671"/>
        <n v="315088"/>
        <n v="7267"/>
        <n v="113510"/>
        <n v="2695"/>
        <n v="2647"/>
        <n v="345783"/>
        <n v="237671"/>
        <n v="330931"/>
        <n v="330980"/>
        <s v="SC/PARIS 2167"/>
        <n v="2691"/>
        <s v="SOTON/O.Q. 3101310"/>
        <s v="C 7076"/>
        <n v="110813"/>
        <n v="2626"/>
        <n v="14313"/>
        <s v="PC 17477"/>
        <n v="11765"/>
        <n v="3101267"/>
        <n v="323951"/>
        <s v="C 7077"/>
        <n v="113503"/>
        <n v="2648"/>
        <n v="347069"/>
        <s v="PC 17757"/>
        <n v="2653"/>
        <s v="STON/O 2. 3101293"/>
        <n v="349227"/>
        <n v="27849"/>
        <n v="367655"/>
        <s v="SC 1748"/>
        <n v="113760"/>
        <n v="350034"/>
        <n v="3101277"/>
        <n v="350052"/>
        <n v="350407"/>
        <n v="28403"/>
        <n v="244278"/>
        <n v="240929"/>
        <s v="STON/O 2. 3101289"/>
        <n v="341826"/>
        <n v="4137"/>
        <n v="315096"/>
        <n v="28664"/>
        <n v="347064"/>
        <n v="29106"/>
        <n v="312992"/>
        <n v="349222"/>
        <n v="394140"/>
        <s v="STON/O 2. 3101269"/>
        <n v="343095"/>
        <n v="28220"/>
        <n v="250652"/>
        <n v="28228"/>
        <n v="345773"/>
        <n v="349254"/>
        <s v="A/5. 13032"/>
        <n v="315082"/>
        <n v="347080"/>
        <s v="A/4. 34244"/>
        <n v="2003"/>
        <n v="250655"/>
        <n v="364851"/>
        <s v="SOTON/O.Q. 392078"/>
        <n v="110564"/>
        <n v="376564"/>
        <s v="SC/AH 3085"/>
        <s v="STON/O 2. 3101274"/>
        <n v="13507"/>
        <s v="C.A. 18723"/>
        <n v="345769"/>
        <n v="347076"/>
        <n v="230434"/>
        <n v="65306"/>
        <n v="33638"/>
        <n v="113794"/>
        <n v="2666"/>
        <n v="113786"/>
        <n v="65303"/>
        <n v="113051"/>
        <n v="17453"/>
        <s v="A/5 2817"/>
        <n v="349240"/>
        <n v="13509"/>
        <n v="17464"/>
        <s v="F.C.C. 13531"/>
        <n v="371060"/>
        <n v="19952"/>
        <n v="364506"/>
        <n v="111320"/>
        <n v="234360"/>
        <s v="A/S 2816"/>
        <s v="SOTON/O.Q. 3101306"/>
        <n v="113792"/>
        <n v="36209"/>
        <n v="323592"/>
        <n v="315089"/>
        <s v="SC/AH Basle 541"/>
        <n v="7553"/>
        <n v="31027"/>
        <n v="3460"/>
        <n v="350060"/>
        <n v="3101298"/>
        <n v="239854"/>
        <s v="A/5 3594"/>
        <n v="4134"/>
        <n v="11771"/>
        <s v="A.5. 18509"/>
        <n v="65304"/>
        <s v="SOTON/OQ 3101317"/>
        <n v="113787"/>
        <s v="PC 17609"/>
        <s v="A/4 45380"/>
        <n v="36947"/>
        <s v="C.A. 6212"/>
        <n v="350035"/>
        <n v="315086"/>
        <n v="364846"/>
        <n v="330909"/>
        <n v="4135"/>
        <n v="26360"/>
        <n v="111427"/>
        <s v="C 4001"/>
        <n v="382651"/>
        <s v="SOTON/OQ 3101316"/>
        <s v="PC 17473"/>
        <s v="PC 17603"/>
        <n v="349209"/>
        <n v="36967"/>
        <s v="C.A. 34260"/>
        <n v="226875"/>
        <n v="349242"/>
        <n v="12749"/>
        <n v="349252"/>
        <n v="2624"/>
        <n v="2700"/>
        <n v="367232"/>
        <s v="W./C. 14258"/>
        <s v="PC 17483"/>
        <n v="3101296"/>
        <n v="29104"/>
        <n v="2641"/>
        <n v="2690"/>
        <n v="315084"/>
        <n v="113050"/>
        <s v="PC 17761"/>
        <n v="364498"/>
        <n v="13568"/>
        <s v="WE/P 5735"/>
        <n v="2908"/>
        <n v="693"/>
        <s v="SC/PARIS 2146"/>
        <n v="244358"/>
        <n v="330979"/>
        <n v="2620"/>
        <n v="347085"/>
        <n v="113807"/>
        <n v="11755"/>
        <n v="345572"/>
        <n v="372622"/>
        <n v="349251"/>
        <n v="218629"/>
        <s v="SOTON/OQ 392082"/>
        <s v="SOTON/O.Q. 392087"/>
        <s v="A/4 48871"/>
        <n v="349205"/>
        <n v="2686"/>
        <n v="350417"/>
        <s v="S.W./PP 752"/>
        <n v="11769"/>
        <s v="PC 17474"/>
        <n v="14312"/>
        <s v="A/4. 20589"/>
        <n v="358585"/>
        <n v="243880"/>
        <n v="2689"/>
        <s v="STON/O 2. 3101286"/>
        <n v="237789"/>
        <n v="13049"/>
        <n v="3411"/>
        <n v="237565"/>
        <n v="13567"/>
        <n v="14973"/>
        <s v="A./5. 3235"/>
        <s v="STON/O 2. 3101273"/>
        <s v="A/5 3902"/>
        <n v="364848"/>
        <s v="SC/AH 29037"/>
        <n v="248727"/>
        <n v="2664"/>
        <n v="349214"/>
        <n v="113796"/>
        <n v="364511"/>
        <n v="111426"/>
        <n v="349910"/>
        <n v="349246"/>
        <n v="113804"/>
        <s v="SOTON/O.Q. 3101305"/>
        <n v="370377"/>
        <n v="364512"/>
        <n v="220845"/>
        <n v="31028"/>
        <n v="2659"/>
        <n v="11753"/>
        <n v="350029"/>
        <n v="54636"/>
        <n v="36963"/>
        <n v="219533"/>
        <n v="349224"/>
        <n v="334912"/>
        <n v="27042"/>
        <n v="347743"/>
        <n v="13214"/>
        <n v="112052"/>
        <n v="237668"/>
        <s v="STON/O 2. 3101292"/>
        <n v="350050"/>
        <n v="349231"/>
        <n v="13213"/>
        <s v="S.O./P.P. 751"/>
        <s v="CA. 2314"/>
        <n v="349221"/>
        <n v="8475"/>
        <n v="330919"/>
        <n v="365226"/>
        <n v="349223"/>
        <n v="29751"/>
        <n v="2623"/>
        <n v="5727"/>
        <n v="349210"/>
        <s v="STON/O 2. 3101285"/>
        <n v="234686"/>
        <n v="312993"/>
        <s v="A/5 3536"/>
        <n v="19996"/>
        <n v="29750"/>
        <s v="F.C. 12750"/>
        <s v="C.A. 24580"/>
        <n v="244270"/>
        <n v="239856"/>
        <n v="349912"/>
        <n v="342826"/>
        <n v="4138"/>
        <n v="330935"/>
        <n v="6563"/>
        <n v="349228"/>
        <n v="350036"/>
        <n v="24160"/>
        <n v="17474"/>
        <n v="349256"/>
        <n v="2672"/>
        <n v="113800"/>
        <n v="248731"/>
        <n v="363592"/>
        <n v="35852"/>
        <n v="348121"/>
        <s v="PC 17475"/>
        <n v="36864"/>
        <n v="350025"/>
        <n v="223596"/>
        <s v="PC 17476"/>
        <s v="PC 17482"/>
        <n v="113028"/>
        <n v="7545"/>
        <n v="250647"/>
        <n v="348124"/>
        <n v="34218"/>
        <n v="36568"/>
        <n v="347062"/>
        <n v="350048"/>
        <n v="12233"/>
        <n v="250643"/>
        <n v="113806"/>
        <n v="315094"/>
        <n v="36866"/>
        <n v="236853"/>
        <s v="STON/O2. 3101271"/>
        <n v="239855"/>
        <n v="28425"/>
        <n v="233639"/>
        <n v="349201"/>
        <n v="349218"/>
        <n v="16988"/>
        <n v="376566"/>
        <s v="STON/O 2. 3101288"/>
        <n v="250648"/>
        <n v="113773"/>
        <n v="335097"/>
        <n v="29103"/>
        <n v="392096"/>
        <n v="345780"/>
        <n v="349204"/>
        <n v="350042"/>
        <n v="29108"/>
        <n v="363294"/>
        <s v="SOTON/O2 3101272"/>
        <n v="2663"/>
        <n v="347074"/>
        <n v="112379"/>
        <n v="364850"/>
        <n v="8471"/>
        <n v="345781"/>
        <n v="350047"/>
        <s v="S.O./P.P. 3"/>
        <n v="2674"/>
        <n v="29105"/>
        <n v="347078"/>
        <n v="383121"/>
        <n v="36865"/>
        <n v="2687"/>
        <n v="113501"/>
        <s v="W./C. 6607"/>
        <s v="SOTON/O.Q. 3101312"/>
        <n v="374887"/>
        <n v="3101265"/>
        <n v="12460"/>
        <s v="PC 17600"/>
        <n v="349203"/>
        <n v="28213"/>
        <n v="17465"/>
        <n v="349244"/>
        <n v="2685"/>
        <n v="2625"/>
        <n v="347089"/>
        <n v="347063"/>
        <n v="112050"/>
        <n v="347087"/>
        <n v="248723"/>
        <n v="3474"/>
        <n v="28206"/>
        <n v="364499"/>
        <n v="112058"/>
        <s v="STON/O2. 3101290"/>
        <s v="S.C./PARIS 2079"/>
        <s v="C 7075"/>
        <n v="315098"/>
        <n v="19972"/>
        <n v="368323"/>
        <n v="367228"/>
        <n v="2671"/>
        <n v="347468"/>
        <n v="2223"/>
        <s v="PC 17756"/>
        <n v="315097"/>
        <n v="392092"/>
        <n v="11774"/>
        <s v="SOTON/O2 3101287"/>
        <n v="2683"/>
        <n v="315090"/>
        <s v="C.A. 5547"/>
        <n v="349213"/>
        <n v="347060"/>
        <s v="PC 17592"/>
        <n v="392091"/>
        <n v="113055"/>
        <n v="2629"/>
        <n v="350026"/>
        <n v="28134"/>
        <n v="17466"/>
        <n v="233866"/>
        <n v="236852"/>
        <s v="SC/PARIS 2149"/>
        <s v="PC 17590"/>
        <n v="345777"/>
        <n v="349248"/>
        <n v="695"/>
        <n v="345765"/>
        <n v="2667"/>
        <n v="349212"/>
        <n v="349217"/>
        <n v="349257"/>
        <n v="7552"/>
        <s v="C.A./SOTON 34068"/>
        <s v="SOTON/OQ 392076"/>
        <n v="211536"/>
        <n v="112053"/>
        <n v="111369"/>
        <n v="370376"/>
      </sharedItems>
    </cacheField>
    <cacheField name="Fare" numFmtId="0">
      <sharedItems containsSemiMixedTypes="0" containsString="0" containsNumber="1" minValue="0" maxValue="512.3292" count="248">
        <n v="7.25"/>
        <n v="71.2833"/>
        <n v="7.925"/>
        <n v="53.1"/>
        <n v="8.05"/>
        <n v="8.4583"/>
        <n v="51.8625"/>
        <n v="21.075"/>
        <n v="11.1333"/>
        <n v="30.0708"/>
        <n v="16.7"/>
        <n v="26.55"/>
        <n v="31.275"/>
        <n v="7.8542"/>
        <n v="16"/>
        <n v="29.125"/>
        <n v="13"/>
        <n v="18"/>
        <n v="7.225"/>
        <n v="26"/>
        <n v="8.0292"/>
        <n v="35.5"/>
        <n v="31.3875"/>
        <n v="263"/>
        <n v="7.8792"/>
        <n v="7.8958"/>
        <n v="27.7208"/>
        <n v="146.5208"/>
        <n v="7.75"/>
        <n v="10.5"/>
        <n v="82.1708"/>
        <n v="52"/>
        <n v="7.2292"/>
        <n v="11.2417"/>
        <n v="9.475"/>
        <n v="21"/>
        <n v="41.5792"/>
        <n v="15.5"/>
        <n v="21.6792"/>
        <n v="17.8"/>
        <n v="39.6875"/>
        <n v="7.8"/>
        <n v="76.7292"/>
        <n v="61.9792"/>
        <n v="27.75"/>
        <n v="46.9"/>
        <n v="80"/>
        <n v="83.475"/>
        <n v="27.9"/>
        <n v="15.2458"/>
        <n v="8.1583"/>
        <n v="8.6625"/>
        <n v="73.5"/>
        <n v="14.4542"/>
        <n v="56.4958"/>
        <n v="7.65"/>
        <n v="29"/>
        <n v="12.475"/>
        <n v="9"/>
        <n v="9.5"/>
        <n v="7.7875"/>
        <n v="47.1"/>
        <n v="15.85"/>
        <n v="34.375"/>
        <n v="61.175"/>
        <n v="20.575"/>
        <n v="34.6542"/>
        <n v="63.3583"/>
        <n v="23"/>
        <n v="77.2875"/>
        <n v="8.6542"/>
        <n v="7.775"/>
        <n v="24.15"/>
        <n v="9.825"/>
        <n v="14.4583"/>
        <n v="247.5208"/>
        <n v="7.1417"/>
        <n v="22.3583"/>
        <n v="6.975"/>
        <n v="7.05"/>
        <n v="14.5"/>
        <n v="15.0458"/>
        <n v="26.2833"/>
        <n v="9.2167"/>
        <n v="79.2"/>
        <n v="6.75"/>
        <n v="11.5"/>
        <n v="36.75"/>
        <n v="7.7958"/>
        <n v="12.525"/>
        <n v="66.6"/>
        <n v="7.3125"/>
        <n v="61.3792"/>
        <n v="7.7333"/>
        <n v="69.55"/>
        <n v="16.1"/>
        <n v="15.75"/>
        <n v="20.525"/>
        <n v="55"/>
        <n v="25.925"/>
        <n v="33.5"/>
        <n v="30.6958"/>
        <n v="25.4667"/>
        <n v="28.7125"/>
        <n v="0"/>
        <n v="15.05"/>
        <n v="39"/>
        <n v="22.025"/>
        <n v="50"/>
        <n v="8.4042"/>
        <n v="6.4958"/>
        <n v="10.4625"/>
        <n v="18.7875"/>
        <n v="31"/>
        <n v="113.275"/>
        <n v="27"/>
        <n v="76.2917"/>
        <n v="90"/>
        <n v="9.35"/>
        <n v="13.5"/>
        <n v="7.55"/>
        <n v="26.25"/>
        <n v="12.275"/>
        <n v="7.125"/>
        <n v="52.5542"/>
        <n v="20.2125"/>
        <n v="86.5"/>
        <n v="512.3292"/>
        <n v="79.65"/>
        <n v="153.4625"/>
        <n v="135.6333"/>
        <n v="19.5"/>
        <n v="29.7"/>
        <n v="77.9583"/>
        <n v="20.25"/>
        <n v="78.85"/>
        <n v="91.0792"/>
        <n v="12.875"/>
        <n v="8.85"/>
        <n v="151.55"/>
        <n v="30.5"/>
        <n v="23.25"/>
        <n v="12.35"/>
        <n v="110.8833"/>
        <n v="108.9"/>
        <n v="24"/>
        <n v="56.9292"/>
        <n v="83.1583"/>
        <n v="262.375"/>
        <n v="14"/>
        <n v="164.8667"/>
        <n v="134.5"/>
        <n v="6.2375"/>
        <n v="57.9792"/>
        <n v="28.5"/>
        <n v="133.65"/>
        <n v="15.9"/>
        <n v="9.225"/>
        <n v="35"/>
        <n v="75.25"/>
        <n v="69.3"/>
        <n v="55.4417"/>
        <n v="211.5"/>
        <n v="4.0125"/>
        <n v="227.525"/>
        <n v="15.7417"/>
        <n v="7.7292"/>
        <n v="12"/>
        <n v="120"/>
        <n v="12.65"/>
        <n v="18.75"/>
        <n v="6.8583"/>
        <n v="32.5"/>
        <n v="7.875"/>
        <n v="14.4"/>
        <n v="55.9"/>
        <n v="8.1125"/>
        <n v="81.8583"/>
        <n v="19.2583"/>
        <n v="19.9667"/>
        <n v="89.1042"/>
        <n v="38.5"/>
        <n v="7.725"/>
        <n v="13.7917"/>
        <n v="9.8375"/>
        <n v="7.0458"/>
        <n v="7.5208"/>
        <n v="12.2875"/>
        <n v="9.5875"/>
        <n v="49.5042"/>
        <n v="78.2667"/>
        <n v="15.1"/>
        <n v="7.6292"/>
        <n v="22.525"/>
        <n v="26.2875"/>
        <n v="59.4"/>
        <n v="7.4958"/>
        <n v="34.0208"/>
        <n v="93.5"/>
        <n v="221.7792"/>
        <n v="106.425"/>
        <n v="49.5"/>
        <n v="71"/>
        <n v="13.8625"/>
        <n v="7.8292"/>
        <n v="39.6"/>
        <n v="17.4"/>
        <n v="51.4792"/>
        <n v="26.3875"/>
        <n v="30"/>
        <n v="40.125"/>
        <n v="8.7125"/>
        <n v="15"/>
        <n v="33"/>
        <n v="42.4"/>
        <n v="15.55"/>
        <n v="65"/>
        <n v="32.3208"/>
        <n v="7.0542"/>
        <n v="8.4333"/>
        <n v="25.5875"/>
        <n v="9.8417"/>
        <n v="8.1375"/>
        <n v="10.1708"/>
        <n v="211.3375"/>
        <n v="57"/>
        <n v="13.4167"/>
        <n v="7.7417"/>
        <n v="9.4833"/>
        <n v="7.7375"/>
        <n v="8.3625"/>
        <n v="23.45"/>
        <n v="25.9292"/>
        <n v="8.6833"/>
        <n v="8.5167"/>
        <n v="7.8875"/>
        <n v="37.0042"/>
        <n v="6.45"/>
        <n v="6.95"/>
        <n v="8.3"/>
        <n v="6.4375"/>
        <n v="39.4"/>
        <n v="14.1083"/>
        <n v="13.8583"/>
        <n v="50.4958"/>
        <n v="5"/>
        <n v="9.8458"/>
        <n v="10.5167"/>
      </sharedItems>
    </cacheField>
    <cacheField name="Fare Fraction" numFmtId="0">
      <sharedItems count="3">
        <s v="Low"/>
        <s v="High"/>
        <s v="Mid"/>
      </sharedItems>
    </cacheField>
    <cacheField name="Cabin" numFmtId="0">
      <sharedItems count="148">
        <s v="Unknown"/>
        <s v="C85"/>
        <s v="C123"/>
        <s v="E46"/>
        <s v="G6"/>
        <s v="C103"/>
        <s v="D56"/>
        <s v="A6"/>
        <s v="C23 C25 C27"/>
        <s v="B78"/>
        <s v="D33"/>
        <s v="B30"/>
        <s v="C52"/>
        <s v="B28"/>
        <s v="C83"/>
        <s v="F33"/>
        <s v="F G73"/>
        <s v="E31"/>
        <s v="A5"/>
        <s v="D10 D12"/>
        <s v="D26"/>
        <s v="C110"/>
        <s v="B58 B60"/>
        <s v="E101"/>
        <s v="F E69"/>
        <s v="D47"/>
        <s v="B86"/>
        <s v="F2"/>
        <s v="C2"/>
        <s v="E33"/>
        <s v="B19"/>
        <s v="A7"/>
        <s v="C49"/>
        <s v="F4"/>
        <s v="A32"/>
        <s v="B4"/>
        <s v="B80"/>
        <s v="A31"/>
        <s v="D36"/>
        <s v="D15"/>
        <s v="C93"/>
        <s v="C78"/>
        <s v="D35"/>
        <s v="C87"/>
        <s v="B77"/>
        <s v="E67"/>
        <s v="B94"/>
        <s v="C125"/>
        <s v="C99"/>
        <s v="C118"/>
        <s v="D7"/>
        <s v="A19"/>
        <s v="B49"/>
        <s v="D"/>
        <s v="C22 C26"/>
        <s v="C106"/>
        <s v="C65"/>
        <s v="E36"/>
        <s v="C54"/>
        <s v="B57 B59 B63 B66"/>
        <s v="C7"/>
        <s v="E34"/>
        <s v="C32"/>
        <s v="B18"/>
        <s v="C124"/>
        <s v="C91"/>
        <s v="E40"/>
        <s v="T"/>
        <s v="C128"/>
        <s v="D37"/>
        <s v="B35"/>
        <s v="E50"/>
        <s v="C82"/>
        <s v="B96 B98"/>
        <s v="E10"/>
        <s v="E44"/>
        <s v="A34"/>
        <s v="C104"/>
        <s v="C111"/>
        <s v="C92"/>
        <s v="E38"/>
        <s v="D21"/>
        <s v="E12"/>
        <s v="E63"/>
        <s v="A14"/>
        <s v="B37"/>
        <s v="C30"/>
        <s v="D20"/>
        <s v="B79"/>
        <s v="E25"/>
        <s v="D46"/>
        <s v="B73"/>
        <s v="C95"/>
        <s v="B38"/>
        <s v="B39"/>
        <s v="B22"/>
        <s v="C86"/>
        <s v="C70"/>
        <s v="A16"/>
        <s v="C101"/>
        <s v="C68"/>
        <s v="A10"/>
        <s v="E68"/>
        <s v="B41"/>
        <s v="A20"/>
        <s v="D19"/>
        <s v="D50"/>
        <s v="D9"/>
        <s v="A23"/>
        <s v="B50"/>
        <s v="A26"/>
        <s v="D48"/>
        <s v="E58"/>
        <s v="C126"/>
        <s v="B71"/>
        <s v="B51 B53 B55"/>
        <s v="D49"/>
        <s v="B5"/>
        <s v="B20"/>
        <s v="F G63"/>
        <s v="C62 C64"/>
        <s v="E24"/>
        <s v="C90"/>
        <s v="C45"/>
        <s v="E8"/>
        <s v="B101"/>
        <s v="D45"/>
        <s v="C46"/>
        <s v="D30"/>
        <s v="E121"/>
        <s v="D11"/>
        <s v="E77"/>
        <s v="F38"/>
        <s v="B3"/>
        <s v="D6"/>
        <s v="B82 B84"/>
        <s v="D17"/>
        <s v="A36"/>
        <s v="B102"/>
        <s v="B69"/>
        <s v="E49"/>
        <s v="C47"/>
        <s v="D28"/>
        <s v="E17"/>
        <s v="A24"/>
        <s v="C50"/>
        <s v="B42"/>
        <s v="C148"/>
      </sharedItems>
    </cacheField>
    <cacheField name="Embarked" numFmtId="0">
      <sharedItems count="4">
        <s v="S"/>
        <s v="C"/>
        <s v="Q"/>
        <s v="Unknown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0.5807523148" refreshedBy="Chahat" recordCount="891">
  <cacheSource type="worksheet">
    <worksheetSource ref="A1:P892" sheet="Worksheet"/>
  </cacheSource>
  <cacheFields count="16">
    <cacheField name="PassengerId" numFmtId="0">
      <sharedItems containsSemiMixedTypes="0" containsString="0" containsNumber="1" containsInteger="1" minValue="0" maxValue="891" count="89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</sharedItems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0" maxValue="3" count="3">
        <n v="3"/>
        <n v="1"/>
        <n v="2"/>
      </sharedItems>
    </cacheField>
    <cacheField name="Last_Name" numFmtId="0">
      <sharedItems count="667">
        <s v="Braund"/>
        <s v="Cumings"/>
        <s v="Heikkinen"/>
        <s v="Futrelle"/>
        <s v="Allen"/>
        <s v="Moran"/>
        <s v="McCarthy"/>
        <s v="Palsson"/>
        <s v="Johnson"/>
        <s v="Nasser"/>
        <s v="Sandstrom"/>
        <s v="Bonnell"/>
        <s v="Saundercock"/>
        <s v="Andersson"/>
        <s v="Vestrom"/>
        <s v="Hewlett"/>
        <s v="Rice"/>
        <s v="Williams"/>
        <s v="Vander Planke"/>
        <s v="Masselmani"/>
        <s v="Fynney"/>
        <s v="Beesley"/>
        <s v="McGowan"/>
        <s v="Sloper"/>
        <s v="Asplund"/>
        <s v="Emir"/>
        <s v="Fortune"/>
        <s v="O'Dwyer"/>
        <s v="Todoroff"/>
        <s v="Uruchurtu"/>
        <s v="Spencer"/>
        <s v="Glynn"/>
        <s v="Wheadon"/>
        <s v="Meyer"/>
        <s v="Holverson"/>
        <s v="Mamee"/>
        <s v="Cann"/>
        <s v="Nicola-Yarred"/>
        <s v="Ahlin"/>
        <s v="Turpin"/>
        <s v="Kraeff"/>
        <s v="Laroche"/>
        <s v="Devaney"/>
        <s v="Rogers"/>
        <s v="Lennon"/>
        <s v="O'Driscoll"/>
        <s v="Samaan"/>
        <s v="Arnold-Franchi"/>
        <s v="Panula"/>
        <s v="Nosworthy"/>
        <s v="Harper"/>
        <s v="Faunthorpe"/>
        <s v="Ostby"/>
        <s v="Woolner"/>
        <s v="Rugg"/>
        <s v="Novel"/>
        <s v="West"/>
        <s v="Goodwin"/>
        <s v="Sirayanian"/>
        <s v="Icard"/>
        <s v="Harris"/>
        <s v="Skoog"/>
        <s v="Stewart"/>
        <s v="Moubarek"/>
        <s v="Nye"/>
        <s v="Crease"/>
        <s v="Kink"/>
        <s v="Jenkin"/>
        <s v="Hood"/>
        <s v="Chronopoulos"/>
        <s v="Bing"/>
        <s v="Moen"/>
        <s v="Staneff"/>
        <s v="Moutal"/>
        <s v="Caldwell"/>
        <s v="Dowdell"/>
        <s v="Waelens"/>
        <s v="Sheerlinck"/>
        <s v="McDermott"/>
        <s v="Carrau"/>
        <s v="Ilett"/>
        <s v="Backstrom"/>
        <s v="Ford"/>
        <s v="Slocovski"/>
        <s v="Celotti"/>
        <s v="Christmann"/>
        <s v="Andreasson"/>
        <s v="Chaffee"/>
        <s v="Dean"/>
        <s v="Coxon"/>
        <s v="Shorney"/>
        <s v="Goldschmidt"/>
        <s v="Greenfield"/>
        <s v="Doling"/>
        <s v="Kantor"/>
        <s v="Petranec"/>
        <s v="Petroff"/>
        <s v="White"/>
        <s v="Johansson"/>
        <s v="Gustafsson"/>
        <s v="Mionoff"/>
        <s v="Salkjelsvik"/>
        <s v="Moss"/>
        <s v="Rekic"/>
        <s v="Porter"/>
        <s v="Zabour"/>
        <s v="Barton"/>
        <s v="Jussila"/>
        <s v="Attalah"/>
        <s v="Pekoniemi"/>
        <s v="Connors"/>
        <s v="Baxter"/>
        <s v="Hickman"/>
        <s v="Moore"/>
        <s v="Webber"/>
        <s v="McMahon"/>
        <s v="Madsen"/>
        <s v="Peter"/>
        <s v="Ekstrom"/>
        <s v="Drazenoic"/>
        <s v="Coelho"/>
        <s v="Robins"/>
        <s v="Weisz"/>
        <s v="Sobey"/>
        <s v="Richard"/>
        <s v="Newsom"/>
        <s v="Osen"/>
        <s v="Giglio"/>
        <s v="Boulos"/>
        <s v="Nysten"/>
        <s v="Hakkarainen"/>
        <s v="Burke"/>
        <s v="Andrew"/>
        <s v="Nicholls"/>
        <s v="Navratil"/>
        <s v="Byles"/>
        <s v="Bateman"/>
        <s v="Pears"/>
        <s v="Meo"/>
        <s v="van Billiard"/>
        <s v="Olsen"/>
        <s v="Gilnagh"/>
        <s v="Corn"/>
        <s v="Smiljanic"/>
        <s v="Sage"/>
        <s v="Cribb"/>
        <s v="Watt"/>
        <s v="Bengtsson"/>
        <s v="Calic"/>
        <s v="Goldsmith"/>
        <s v="Chibnall"/>
        <s v="Baumann"/>
        <s v="Ling"/>
        <s v="Van der hoef"/>
        <s v="Sivola"/>
        <s v="Smith"/>
        <s v="Klasen"/>
        <s v="Lefebre"/>
        <s v="Isham"/>
        <s v="Hale"/>
        <s v="Leonard"/>
        <s v="Pernot"/>
        <s v="Becker"/>
        <s v="Kink-Heilmann"/>
        <s v="Rood"/>
        <s v="O'Brien"/>
        <s v="Romaine"/>
        <s v="Bourke"/>
        <s v="Turcin"/>
        <s v="Pinsky"/>
        <s v="Carbines"/>
        <s v="Andersen-Jensen"/>
        <s v="Brown"/>
        <s v="Lurette"/>
        <s v="Mernagh"/>
        <s v="Madigan"/>
        <s v="Yrois"/>
        <s v="Vande Walle"/>
        <s v="Johanson"/>
        <s v="Youseff"/>
        <s v="Cohen"/>
        <s v="Strom"/>
        <s v="Albimona"/>
        <s v="Carr"/>
        <s v="Blank"/>
        <s v="Ali"/>
        <s v="Cameron"/>
        <s v="Perkin"/>
        <s v="Givard"/>
        <s v="Kiernan"/>
        <s v="Newell"/>
        <s v="Honkanen"/>
        <s v="Jacobsohn"/>
        <s v="Bazzani"/>
        <s v="Sunderland"/>
        <s v="Bracken"/>
        <s v="Green"/>
        <s v="Nenkoff"/>
        <s v="Hoyt"/>
        <s v="Berglund"/>
        <s v="Mellors"/>
        <s v="Lovell"/>
        <s v="Fahlstrom"/>
        <s v="Larsson"/>
        <s v="Sjostedt"/>
        <s v="Leyson"/>
        <s v="Harknett"/>
        <s v="Hold"/>
        <s v="Collyer"/>
        <s v="Pengelly"/>
        <s v="Hunt"/>
        <s v="Murphy"/>
        <s v="Coleridge"/>
        <s v="Maenpaa"/>
        <s v="Minahan"/>
        <s v="Lindahl"/>
        <s v="Hamalainen"/>
        <s v="Beckwith"/>
        <s v="Carter"/>
        <s v="Reed"/>
        <s v="Stead"/>
        <s v="Lobb"/>
        <s v="Rosblom"/>
        <s v="Touma"/>
        <s v="Thorne"/>
        <s v="Cherry"/>
        <s v="Ward"/>
        <s v="Parrish"/>
        <s v="Taussig"/>
        <s v="Harrison"/>
        <s v="Henry"/>
        <s v="Reeves"/>
        <s v="Persson"/>
        <s v="Graham"/>
        <s v="Bissette"/>
        <s v="Cairns"/>
        <s v="Tornquist"/>
        <s v="Mellinger"/>
        <s v="Natsch"/>
        <s v="Healy"/>
        <s v="Andrews"/>
        <s v="Lindblom"/>
        <s v="Parkes"/>
        <s v="Abbott"/>
        <s v="Duane"/>
        <s v="Olsson"/>
        <s v="de Pelsmaeker"/>
        <s v="Dorking"/>
        <s v="Stankovic"/>
        <s v="de Mulder"/>
        <s v="Naidenoff"/>
        <s v="Hosono"/>
        <s v="Connolly"/>
        <s v="Barber"/>
        <s v="Bishop"/>
        <s v="Levy"/>
        <s v="Haas"/>
        <s v="Mineff"/>
        <s v="Lewy"/>
        <s v="Hanna"/>
        <s v="Allison"/>
        <s v="Saalfeld"/>
        <s v="Kelly"/>
        <s v="McCoy"/>
        <s v="Keane"/>
        <s v="Fleming"/>
        <s v="Penasco y Castellana"/>
        <s v="Abelson"/>
        <s v="Francatelli"/>
        <s v="Hays"/>
        <s v="Ryerson"/>
        <s v="Lahtinen"/>
        <s v="Hendekovic"/>
        <s v="Hart"/>
        <s v="Nilsson"/>
        <s v="Moraweck"/>
        <s v="Wick"/>
        <s v="Spedden"/>
        <s v="Dennis"/>
        <s v="Danoff"/>
        <s v="Slayter"/>
        <s v="Young"/>
        <s v="Nysveen"/>
        <s v="Ball"/>
        <s v="Hippach"/>
        <s v="Partner"/>
        <s v="Frauenthal"/>
        <s v="Denkoff"/>
        <s v="Burns"/>
        <s v="Dahl"/>
        <s v="Blackwell"/>
        <s v="Collander"/>
        <s v="Sedgwick"/>
        <s v="Fox"/>
        <s v="Davison"/>
        <s v="Coutts"/>
        <s v="Dimic"/>
        <s v="Odahl"/>
        <s v="Williams-Lambert"/>
        <s v="Elias"/>
        <s v="Yousif"/>
        <s v="Vanden Steen"/>
        <s v="Bowerman"/>
        <s v="Funk"/>
        <s v="McGovern"/>
        <s v="Mockler"/>
        <s v="del Carlo"/>
        <s v="Barbara"/>
        <s v="Asim"/>
        <s v="Adahl"/>
        <s v="Warren"/>
        <s v="Moussa"/>
        <s v="Jermyn"/>
        <s v="Aubart"/>
        <s v="Harder"/>
        <s v="Wiklund"/>
        <s v="Beavan"/>
        <s v="Ringhini"/>
        <s v="Landergren"/>
        <s v="Widener"/>
        <s v="Betros"/>
        <s v="Bidois"/>
        <s v="Nakid"/>
        <s v="Tikkanen"/>
        <s v="Plotcharsky"/>
        <s v="Davies"/>
        <s v="Buss"/>
        <s v="Sadlier"/>
        <s v="Lehmann"/>
        <s v="Jansson"/>
        <s v="McKane"/>
        <s v="Pain"/>
        <s v="Trout"/>
        <s v="Niskanen"/>
        <s v="Adams"/>
        <s v="Oreskovic"/>
        <s v="Gale"/>
        <s v="Widegren"/>
        <s v="Richards"/>
        <s v="Birkeland"/>
        <s v="Sdycoff"/>
        <s v="Cunningham"/>
        <s v="Sundman"/>
        <s v="Meek"/>
        <s v="Drew"/>
        <s v="Silven"/>
        <s v="Matthews"/>
        <s v="Van Impe"/>
        <s v="Gheorgheff"/>
        <s v="Charters"/>
        <s v="Zimmerman"/>
        <s v="Danbom"/>
        <s v="Wiseman"/>
        <s v="Clarke"/>
        <s v="Phillips"/>
        <s v="Flynn"/>
        <s v="Pickard"/>
        <s v="Bjornstrom-Steffansson"/>
        <s v="Thorneycroft"/>
        <s v="Louch"/>
        <s v="Kallio"/>
        <s v="Silvey"/>
        <s v="Kvillner"/>
        <s v="Hampe"/>
        <s v="Petterson"/>
        <s v="Reynaldo"/>
        <s v="Johannesen-Bratthammer"/>
        <s v="Dodge"/>
        <s v="Seward"/>
        <s v="Baclini"/>
        <s v="Peuchen"/>
        <s v="Hagland"/>
        <s v="Foreman"/>
        <s v="Goldenberg"/>
        <s v="Peduzzi"/>
        <s v="Jalsevac"/>
        <s v="Millet"/>
        <s v="Kenyon"/>
        <s v="Toomey"/>
        <s v="O'Connor"/>
        <s v="Anderson"/>
        <s v="Morley"/>
        <s v="Gee"/>
        <s v="Milling"/>
        <s v="Maisner"/>
        <s v="Goncalves"/>
        <s v="Campbell"/>
        <s v="Smart"/>
        <s v="Scanlan"/>
        <s v="Keefe"/>
        <s v="Cacic"/>
        <s v="Jerwan"/>
        <s v="Strandberg"/>
        <s v="Clifford"/>
        <s v="Renouf"/>
        <s v="Karlsson"/>
        <s v="Hirvonen"/>
        <s v="Frost"/>
        <s v="Rouse"/>
        <s v="Turkula"/>
        <s v="Kent"/>
        <s v="Somerton"/>
        <s v="Windelov"/>
        <s v="Molson"/>
        <s v="Artagaveytia"/>
        <s v="Stanley"/>
        <s v="Yousseff"/>
        <s v="Eustis"/>
        <s v="Shellard"/>
        <s v="Svensson"/>
        <s v="Canavan"/>
        <s v="O'Sullivan"/>
        <s v="Laitinen"/>
        <s v="Maioni"/>
        <s v="Quick"/>
        <s v="Bradley"/>
        <s v="Lang"/>
        <s v="Daly"/>
        <s v="McGough"/>
        <s v="Rothschild"/>
        <s v="Coleff"/>
        <s v="Walker"/>
        <s v="Lemore"/>
        <s v="Ryan"/>
        <s v="Angle"/>
        <s v="Pavlovic"/>
        <s v="Perreault"/>
        <s v="Vovk"/>
        <s v="Lahoud"/>
        <s v="Kassem"/>
        <s v="Farrell"/>
        <s v="Ridsdale"/>
        <s v="Farthing"/>
        <s v="Salonen"/>
        <s v="Hocking"/>
        <s v="Toufik"/>
        <s v="Butt"/>
        <s v="LeRoy"/>
        <s v="Risien"/>
        <s v="Frolicher"/>
        <s v="Crosby"/>
        <s v="Beane"/>
        <s v="Douglas"/>
        <s v="Nicholson"/>
        <s v="Padro y Manent"/>
        <s v="Thayer"/>
        <s v="Sharp"/>
        <s v="Leeni"/>
        <s v="Ohman"/>
        <s v="Wright"/>
        <s v="Duff Gordon"/>
        <s v="Robbins"/>
        <s v="de Messemaeker"/>
        <s v="Morrow"/>
        <s v="Sivic"/>
        <s v="Norman"/>
        <s v="Simmons"/>
        <s v="Meanwell"/>
        <s v="Stoytcheff"/>
        <s v="Doharr"/>
        <s v="Jonsson"/>
        <s v="Appleton"/>
        <s v="Rush"/>
        <s v="Patchett"/>
        <s v="Garside"/>
        <s v="Caram"/>
        <s v="Christy"/>
        <s v="Downton"/>
        <s v="Ross"/>
        <s v="Paulner"/>
        <s v="Jarvis"/>
        <s v="Frolicher-Stehli"/>
        <s v="Gilinski"/>
        <s v="Murdlin"/>
        <s v="Rintamaki"/>
        <s v="Stephenson"/>
        <s v="Elsbury"/>
        <s v="Chapman"/>
        <s v="Leitch"/>
        <s v="Slabenoff"/>
        <s v="Harrington"/>
        <s v="Torber"/>
        <s v="Homer"/>
        <s v="Lindell"/>
        <s v="Karaic"/>
        <s v="Daniel"/>
        <s v="Shutes"/>
        <s v="Jardin"/>
        <s v="Horgan"/>
        <s v="Brocklebank"/>
        <s v="Herman"/>
        <s v="Gavey"/>
        <s v="Yasbeck"/>
        <s v="Kimball"/>
        <s v="Hansen"/>
        <s v="Bowen"/>
        <s v="Sutton"/>
        <s v="Kirkland"/>
        <s v="Longley"/>
        <s v="Bostandyeff"/>
        <s v="O'Connell"/>
        <s v="Barkworth"/>
        <s v="Lundahl"/>
        <s v="Stahelin-Maeglin"/>
        <s v="Parr"/>
        <s v="Davis"/>
        <s v="Leinonen"/>
        <s v="Jensen"/>
        <s v="Sagesser"/>
        <s v="Foo"/>
        <s v="Cor"/>
        <s v="Simonius-Blumer"/>
        <s v="Willey"/>
        <s v="Mitkoff"/>
        <s v="Kalvik"/>
        <s v="O'Leary"/>
        <s v="Hegarty"/>
        <s v="Radeff"/>
        <s v="Eitemiller"/>
        <s v="Badt"/>
        <s v="Colley"/>
        <s v="Lindqvist"/>
        <s v="Butler"/>
        <s v="Rommetvedt"/>
        <s v="Cook"/>
        <s v="Taylor"/>
        <s v="Davidson"/>
        <s v="Mitchell"/>
        <s v="Wilhelms"/>
        <s v="Watson"/>
        <s v="Edvardsson"/>
        <s v="Sawyer"/>
        <s v="Turja"/>
        <s v="Cardeza"/>
        <s v="Peters"/>
        <s v="Hassab"/>
        <s v="Olsvigen"/>
        <s v="Dakic"/>
        <s v="Fischer"/>
        <s v="Madill"/>
        <s v="Dick"/>
        <s v="Karun"/>
        <s v="Lam"/>
        <s v="Saad"/>
        <s v="Weir"/>
        <s v="Mullens"/>
        <s v="Humblen"/>
        <s v="Astor"/>
        <s v="Silverthorne"/>
        <s v="Gallagher"/>
        <s v="Calderhead"/>
        <s v="Cleaver"/>
        <s v="Mayne"/>
        <s v="Klaber"/>
        <s v="Greenberg"/>
        <s v="Soholt"/>
        <s v="Endres"/>
        <s v="Troutt"/>
        <s v="McEvoy"/>
        <s v="Gillespie"/>
        <s v="Hodges"/>
        <s v="Chambers"/>
        <s v="Mannion"/>
        <s v="Bryhl"/>
        <s v="Ilmakangas"/>
        <s v="Hassan"/>
        <s v="Knight"/>
        <s v="Berriman"/>
        <s v="Troupiansky"/>
        <s v="Lesurer"/>
        <s v="Ivanoff"/>
        <s v="Nankoff"/>
        <s v="Hawksford"/>
        <s v="Cavendish"/>
        <s v="McNamee"/>
        <s v="Stranden"/>
        <s v="Sinkkonen"/>
        <s v="Marvin"/>
        <s v="Connaghton"/>
        <s v="Wells"/>
        <s v="Moor"/>
        <s v="Vande Velde"/>
        <s v="Jonkoff"/>
        <s v="Carlsson"/>
        <s v="Bailey"/>
        <s v="Theobald"/>
        <s v="Rothes"/>
        <s v="Garfirth"/>
        <s v="Nirva"/>
        <s v="Barah"/>
        <s v="Eklund"/>
        <s v="Hogeboom"/>
        <s v="Brewe"/>
        <s v="Mangan"/>
        <s v="Gronnestad"/>
        <s v="Lievens"/>
        <s v="Mack"/>
        <s v="Myhrman"/>
        <s v="Tobin"/>
        <s v="Emanuel"/>
        <s v="Kilgannon"/>
        <s v="Robert"/>
        <s v="Ayoub"/>
        <s v="Long"/>
        <s v="Johnston"/>
        <s v="Harmer"/>
        <s v="Sjoblom"/>
        <s v="Guggenheim"/>
        <s v="Gaskell"/>
        <s v="Dantcheff"/>
        <s v="Otter"/>
        <s v="Leader"/>
        <s v="Osman"/>
        <s v="Ibrahim Shawah"/>
        <s v="Ponesell"/>
        <s v="Thomas"/>
        <s v="Hedman"/>
        <s v="Pettersson"/>
        <s v="Alexander"/>
        <s v="Lester"/>
        <s v="Slemen"/>
        <s v="Tomlin"/>
        <s v="Fry"/>
        <s v="Heininen"/>
        <s v="Mallet"/>
        <s v="Holm"/>
        <s v="Lulic"/>
        <s v="Reuchlin"/>
        <s v="McCormack"/>
        <s v="Stone"/>
        <s v="Augustsson"/>
        <s v="Allum"/>
        <s v="Compton"/>
        <s v="Pasic"/>
        <s v="Sirota"/>
        <s v="Chip"/>
        <s v="Marechal"/>
        <s v="Alhomaki"/>
        <s v="Mudd"/>
        <s v="Serepeca"/>
        <s v="Lemberopolous"/>
        <s v="Culumovic"/>
        <s v="Abbing"/>
        <s v="Markoff"/>
        <s v="Lines"/>
        <s v="Aks"/>
        <s v="Razi"/>
        <s v="Giles"/>
        <s v="Swift"/>
        <s v="Gill"/>
        <s v="Bystrom"/>
        <s v="Duran y More"/>
        <s v="Roebling"/>
        <s v="van Melkebeke"/>
        <s v="Balkic"/>
        <s v="Vander Cruyssen"/>
        <s v="Najib"/>
        <s v="Laleff"/>
        <s v="Potter"/>
        <s v="Shelley"/>
        <s v="Markun"/>
        <s v="Dahlberg"/>
        <s v="Banfield"/>
        <s v="Sutehall"/>
        <s v="Montvila"/>
        <s v="Behr"/>
        <s v="Dooley"/>
      </sharedItems>
    </cacheField>
    <cacheField name="First_Name" numFmtId="0">
      <sharedItems count="799">
        <s v=" Owen Harris"/>
        <s v=" John Bradley (Florence Briggs Thayer)"/>
        <s v=" Laina"/>
        <s v=" Jacques Heath (Lily May Peel)"/>
        <s v=" William Henry"/>
        <s v=" James"/>
        <s v=" Timothy J"/>
        <s v=" Gosta Leonard"/>
        <s v=" Oscar W (Elisabeth Vilhelmina Berg)"/>
        <s v=" Nicholas (Adele Achem)"/>
        <s v=" Marguerite Rut"/>
        <s v=" Elizabeth"/>
        <s v=" Anders Johan"/>
        <s v=" Hulda Amanda Adolfina"/>
        <s v=" (Mary D Kingcome) "/>
        <s v=" Eugene"/>
        <s v=" Charles Eugene"/>
        <s v=" Julius (Emelia Maria Vandemoortele)"/>
        <s v=" Fatima"/>
        <s v=" Joseph J"/>
        <s v=" Lawrence"/>
        <s v=" Anna &quot;Annie&quot;"/>
        <s v=" William Thompson"/>
        <s v=" Torborg Danira"/>
        <s v=" Carl Oscar (Selma Augusta Emilia Johansson)"/>
        <s v=" Farred Chehab"/>
        <s v=" Charles Alexander"/>
        <s v=" Ellen &quot;Nellie&quot;"/>
        <s v=" Lalio"/>
        <s v=" Manuel E"/>
        <s v=" William Augustus (Marie Eugenie)"/>
        <s v=" Mary Agatha"/>
        <s v=" Edward H"/>
        <s v=" Edgar Joseph"/>
        <s v=" Alexander Oskar"/>
        <s v=" Hanna"/>
        <s v=" Ernest Charles"/>
        <s v=" Augusta Maria"/>
        <s v=" Jamila"/>
        <s v=" Johan (Johanna Persdotter Larsson)"/>
        <s v=" William John Robert (Dorothy Ann Wonnacott)"/>
        <s v=" Theodor"/>
        <s v=" Simonne Marie Anne Andree"/>
        <s v=" Margaret Delia"/>
        <s v=" William John"/>
        <s v=" Denis"/>
        <s v=" Bridget"/>
        <s v=" Youssef"/>
        <s v=" Josef (Josefine Franchi)"/>
        <s v=" Juha Niilo"/>
        <s v=" Richard Cater"/>
        <s v=" Henry Sleeper (Myna Haxtun)"/>
        <s v=" Lizzie (Elizabeth Anne Wilkinson)"/>
        <s v=" Engelhart Cornelius"/>
        <s v=" Hugh"/>
        <s v=" Emily"/>
        <s v=" Mansouer"/>
        <s v=" Constance Mirium"/>
        <s v=" William Frederick"/>
        <s v=" Orsen"/>
        <s v=" Amelie"/>
        <s v=" Henry Birkhardt"/>
        <s v=" Harald"/>
        <s v=" Albert A"/>
        <s v=" Gerios"/>
        <s v=" (Elizabeth Ramell)"/>
        <s v=" Ernest James"/>
        <s v=" Erna Alexandra"/>
        <s v=" Vincenz"/>
        <s v=" Stephen Curnow"/>
        <s v=" Lillian Amy"/>
        <s v=" Ambrose Jr"/>
        <s v=" Apostolos"/>
        <s v=" Lee"/>
        <s v=" Sigurd Hansen"/>
        <s v=" Ivan"/>
        <s v=" Rahamin Haim"/>
        <s v=" Alden Gates"/>
        <s v=" Achille"/>
        <s v=" Jan Baptist"/>
        <s v=" Brigdet Delia"/>
        <s v=" Francisco M"/>
        <s v=" Bertha"/>
        <s v=" Karl Alfred (Maria Mathilda Gustafsson)"/>
        <s v=" William Neal"/>
        <s v=" Selman Francis"/>
        <s v=" Mabel Helen"/>
        <s v=" Francesco"/>
        <s v=" Emil"/>
        <s v=" Paul Edvin"/>
        <s v=" Herbert Fuller"/>
        <s v=" Bertram Frank"/>
        <s v=" Daniel"/>
        <s v=" Charles Joseph"/>
        <s v=" George B"/>
        <s v=" William Bertram"/>
        <s v=" John T (Ada Julia Bone)"/>
        <s v=" Sinai"/>
        <s v=" Matilda"/>
        <s v=" Pastcho (&quot;Pentcho&quot;)"/>
        <s v=" Richard Frasar"/>
        <s v=" Gustaf Joel"/>
        <s v=" Anders Vilhelm"/>
        <s v=" Stoytcho"/>
        <s v=" Anna Kristine"/>
        <s v=" Albert Johan"/>
        <s v=" Tido"/>
        <s v=" Walter Chamberlain"/>
        <s v=" Hileni"/>
        <s v=" David John"/>
        <s v=" Katriina"/>
        <s v=" Malake"/>
        <s v=" Edvard"/>
        <s v=" Patrick"/>
        <s v=" William John Robert"/>
        <s v=" Quigg Edmond"/>
        <s v=" Ellis Anna Maria"/>
        <s v=" Stanley George"/>
        <s v=" Leonard Charles"/>
        <s v=" Nicholas"/>
        <s v=" Susan"/>
        <s v=" Percival Wayland"/>
        <s v=" Elias"/>
        <s v=" Martin"/>
        <s v=" Fridtjof Arne"/>
        <s v=" Anna"/>
        <s v=" Johan"/>
        <s v=" Jozef"/>
        <s v=" Domingos Fernandeo"/>
        <s v=" Alexander A (Grace Charity Laury)"/>
        <s v=" Leopold (Mathilde Francoise Pede)"/>
        <s v=" Samuel James Hayden"/>
        <s v=" Emile"/>
        <s v=" Helen Monypeny"/>
        <s v=" Jacques Heath"/>
        <s v=" Olaf Elon"/>
        <s v=" Victor"/>
        <s v=" Joseph (Sultana)"/>
        <s v=" Anna Sofia"/>
        <s v=" Pekka Pietari (Elin Matilda Dolck)"/>
        <s v=" Jeremiah"/>
        <s v=" Edgardo Samuel"/>
        <s v=" Joseph Charles"/>
        <s v=" August Edvard (&quot;Wennerstrom&quot;)"/>
        <s v=" Robina Maggie &quot;Ruby&quot;"/>
        <s v=" Michel (&quot;Louis M Hoffman&quot;)"/>
        <s v=" Thomas Roussel Davids"/>
        <s v=" Robert James"/>
        <s v=" Thomas (Edith Wearne)"/>
        <s v=" Alfonzo"/>
        <s v=" Austin Blyler"/>
        <s v=" Ole Martin"/>
        <s v=" Charles Duane"/>
        <s v=" Katherine &quot;Katie&quot;"/>
        <s v=" Harry"/>
        <s v=" Mile"/>
        <s v=" Thomas Henry"/>
        <s v=" John Hatfield"/>
        <s v=" James (Elizabeth &quot;Bessie&quot; Inglis Milne)"/>
        <s v=" John Viktor"/>
        <s v=" Jovo"/>
        <s v=" Eino Viljami"/>
        <s v=" Frank John William &quot;Frankie&quot;"/>
        <s v=" (Edith Martha Bowerman)"/>
        <s v=" William (Anna Bernhardina Karlsson)"/>
        <s v=" John D"/>
        <s v=" Wyckoff"/>
        <s v=" Arthur"/>
        <s v=" Eleanor Ileen"/>
        <s v=" Antti Wilhelm"/>
        <s v=" James Clinch"/>
        <s v=" Klas Albin"/>
        <s v=" Henry Forbes"/>
        <s v=" Ann Elizabeth"/>
        <s v=" Reginald"/>
        <s v=" Lionel"/>
        <s v=" Constance Gladys"/>
        <s v=" Rene"/>
        <s v=" Clarence Gustaf Hugo"/>
        <s v=" Richard F"/>
        <s v=" Luise Gretchen"/>
        <s v=" Hugh Roscoe"/>
        <s v=" Thomas (Johanna &quot;Hannah&quot; Godfrey)"/>
        <s v=" Charles Hallace (&quot;Mr C Rolmane&quot;)"/>
        <s v=" John"/>
        <s v=" Stjepan"/>
        <s v=" (Rosa)"/>
        <s v=" William"/>
        <s v=" Carla Christine Nielsine"/>
        <s v=" Michel M"/>
        <s v=" James Joseph (Margaret Tobin)"/>
        <s v=" Elise"/>
        <s v=" Robert"/>
        <s v=" Karl Siegwart Andreas"/>
        <s v=" Margaret &quot;Maggie&quot;"/>
        <s v=" Henriette (&quot;Mrs Harbeck&quot;)"/>
        <s v=" Nestor Cyriel"/>
        <s v=" Frederick"/>
        <s v=" Jakob Alfred"/>
        <s v=" Gerious"/>
        <s v=" Gurshon &quot;Gus&quot;"/>
        <s v=" Telma Matilda"/>
        <s v=" Karl Alfred"/>
        <s v=" Nassef Cassem"/>
        <s v=" Helen &quot;Ellen&quot;"/>
        <s v=" Henry"/>
        <s v=" Ahmed"/>
        <s v=" Clear Annie"/>
        <s v=" John Henry"/>
        <s v=" Hans Kristensen"/>
        <s v=" Philip"/>
        <s v=" Madeleine"/>
        <s v=" Eliina"/>
        <s v=" Sidney Samuel"/>
        <s v=" Albina"/>
        <s v=" Walter"/>
        <s v=" Victor Francis"/>
        <s v=" James H"/>
        <s v=" George Henry"/>
        <s v=" Christo"/>
        <s v=" Frederick Maxfield"/>
        <s v=" Karl Ivar Sven"/>
        <s v=" John Hall (&quot;Henry&quot;)"/>
        <s v=" Arne Jonas"/>
        <s v=" Mathilde"/>
        <s v=" Henry Birkhardt (Irene Wallach)"/>
        <s v=" Bengt Edvin"/>
        <s v=" Ernst Adolf"/>
        <s v=" Lillian Gertrud"/>
        <s v=" Robert William Norman"/>
        <s v=" Alice Phoebe"/>
        <s v=" Stephen"/>
        <s v=" Marjorie &quot;Lottie&quot;"/>
        <s v=" Frederick William"/>
        <s v=" Thamine"/>
        <s v=" Katherine &quot;Kate&quot;"/>
        <s v=" Reginald Charles"/>
        <s v=" Matti Alexanteri"/>
        <s v=" Sleiman"/>
        <s v=" William Edward"/>
        <s v=" Agda Thorilda Viktoria"/>
        <s v=" William (Anna)"/>
        <s v=" Richard Leonard"/>
        <s v=" Ernest Courtenay"/>
        <s v=" James George"/>
        <s v=" Wilhelm (Elna Matilda Persson)"/>
        <s v=" William Thomas"/>
        <s v=" William Arthur"/>
        <s v=" Viktor (Helena Wilhelmina)"/>
        <s v=" Darwis (Hanne Youssef Razi)"/>
        <s v=" Gertrude Maybelle"/>
        <s v=" Gladys"/>
        <s v=" (Lutie Davis)"/>
        <s v=" Thomas"/>
        <s v=" Edvin Rojj Felix"/>
        <s v=" Delia"/>
        <s v=" David"/>
        <s v=" Ernesti Arvid"/>
        <s v=" Ernst Ulrik"/>
        <s v=" William Thompson (Edith Junkins)"/>
        <s v=" Amelia"/>
        <s v=" Alexander"/>
        <s v=" (Elizabeth Anne Maidment)"/>
        <s v=" Charles H"/>
        <s v=" Hanora &quot;Nora&quot;"/>
        <s v=" Kornelia Theodosia"/>
        <s v=" Augusta Charlotta"/>
        <s v=" Francis &quot;Frank&quot;"/>
        <s v=" Eric"/>
        <s v=" Stanton (Rosa Hunt)"/>
        <s v=" Frank"/>
        <s v=" Nils Johan Goransson"/>
        <s v=" Alfons"/>
        <s v=" Edward Arthur"/>
        <s v=" Richard William"/>
        <s v=" Theodore"/>
        <s v=" Penko"/>
        <s v=" Masabumi"/>
        <s v=" Kate"/>
        <s v=" Dickinson H (Helen Walton)"/>
        <s v=" Rene Jacques"/>
        <s v=" Aloisia"/>
        <s v=" Ervin G"/>
        <s v=" Mansour"/>
        <s v=" Helen Loraine"/>
        <s v=" Adolphe"/>
        <s v=" James (Helene DeLaudeniere Chaput)"/>
        <s v=" Anna Katherine &quot;Annie Kate&quot;"/>
        <s v=" Bernard"/>
        <s v=" William Cahoone Jr"/>
        <s v=" Nora A"/>
        <s v=" Howard Hugh &quot;Harry&quot;"/>
        <s v=" Hudson Trevor"/>
        <s v=" Margaret"/>
        <s v=" Victor de Satode (Maria Josefa Perez de Soto y Vallejo)"/>
        <s v=" Samuel"/>
        <s v=" Laura Mabel"/>
        <s v=" Margaret Bechstein"/>
        <s v=" Emily Borie"/>
        <s v=" William (Anna Sylfven)"/>
        <s v=" Ignjac"/>
        <s v=" Benjamin"/>
        <s v=" Helmina Josefina"/>
        <s v=" Sinai (Miriam Sternin)"/>
        <s v=" Ernest"/>
        <s v=" Mary Natalie"/>
        <s v=" Frederic Oakley (Margaretta Corning Stone)"/>
        <s v=" Yoto"/>
        <s v=" Hilda Mary"/>
        <s v=" Albert Francis (Sylvia Mae Harbaugh)"/>
        <s v=" George John Jr"/>
        <s v=" Marie Grice"/>
        <s v=" Johan Hansen"/>
        <s v=" (Ada E Hall)"/>
        <s v=" Frank John (Emily Alice Brown)"/>
        <s v=" Jean Gertrude"/>
        <s v=" Agnes"/>
        <s v=" Austen"/>
        <s v=" George Edward"/>
        <s v=" Leo Edmondus"/>
        <s v=" Henry William (Clara Heinsheimer)"/>
        <s v=" Mitto"/>
        <s v=" Thomas Clinton"/>
        <s v=" Elizabeth Margaret"/>
        <s v=" Karl Edwart"/>
        <s v=" Stephen Weart"/>
        <s v=" Edmond Roger"/>
        <s v=" Alice Elizabeth"/>
        <s v=" Erik Gustaf"/>
        <s v=" Charles Frederick Waddington"/>
        <s v=" Stanley Hubert"/>
        <s v=" Amelia &quot;Mildred&quot;"/>
        <s v=" Marion Elsie"/>
        <s v=" Thomas Henry (Mary E Finck)"/>
        <s v=" William Loch &quot;William&quot;"/>
        <s v=" Jovan"/>
        <s v=" Nils Martin"/>
        <s v=" Fletcher Fellows"/>
        <s v=" Tannous"/>
        <s v=" Josef"/>
        <s v=" Wazli"/>
        <s v=" Leo Peter"/>
        <s v=" Elsie Edith"/>
        <s v=" Annie Clemmer"/>
        <s v=" Mary"/>
        <s v=" Helen Mary &quot;Ellie&quot;"/>
        <s v=" Wilhelm"/>
        <s v=" Sebastiano"/>
        <s v=" (Catherine David)"/>
        <s v=" Adola"/>
        <s v=" Mauritz Nils Martin"/>
        <s v=" Frank Manley (Anna Sophia Atkinson)"/>
        <s v=" (Mantoura Boulos)"/>
        <s v=" Annie"/>
        <s v=" Leontine Pauline"/>
        <s v=" George Achilles"/>
        <s v=" Sante"/>
        <s v=" Stina Viola"/>
        <s v=" Edgar Joseph (Leila Saks)"/>
        <s v=" Aurora Adelia"/>
        <s v=" Harry Elkins"/>
        <s v=" Karl Gideon"/>
        <s v=" Rosalie"/>
        <s v=" Maria (&quot;Mary&quot;)"/>
        <s v=" Juho"/>
        <s v=" Alexander Oskar (Mary Aline Towner)"/>
        <s v=" Vasil"/>
        <s v=" Charles Henry"/>
        <s v=" Sidney Leonard"/>
        <s v=" Matthew"/>
        <s v=" William Ernest"/>
        <s v=" Carl Olof"/>
        <s v=" Johan Birger"/>
        <s v=" Marjorie"/>
        <s v=" Hjalmar (Agnes Charlotta Bengtsson)"/>
        <s v=" Erik"/>
        <s v=" Elina"/>
        <s v=" Peter David"/>
        <s v=" Alfred"/>
        <s v=" William H (Jessie L)"/>
        <s v=" Juha"/>
        <s v=" Mari Aina"/>
        <s v=" Pekka Pietari"/>
        <s v=" Marija"/>
        <s v=" Shadrach"/>
        <s v=" Carl/Charles Peter"/>
        <s v=" William Rowe"/>
        <s v=" Hans Martin Monsen"/>
        <s v=" Ida"/>
        <s v=" Todor"/>
        <s v=" Daisy E"/>
        <s v=" Alfred Fleming"/>
        <s v=" Johan Julian"/>
        <s v=" Thomas (Annie Louise Rowley)"/>
        <s v=" James Vivian (Lulu Thorne Christian)"/>
        <s v=" Lyyli Karoliina"/>
        <s v=" Catharina"/>
        <s v=" Stanio"/>
        <s v=" Leo"/>
        <s v=" Ernst Gilbert (Anna Sigrid Maria Brogren)"/>
        <s v=" Viktor Richard"/>
        <s v=" Phillippe"/>
        <s v=" Charles V (Ada Maria Winfield)"/>
        <s v=" Kate Florence (&quot;Mrs Kate Louise Phillips Marshall&quot;)"/>
        <s v=" Berk (Berk Trembisky)"/>
        <s v=" Mauritz Hakan"/>
        <s v=" Percival (Florence Kate White)"/>
        <s v=" Charles Alexander (Alice Adelaide Slow)"/>
        <s v=" Nikolai Erland"/>
        <s v=" William Baird"/>
        <s v=" Lucile Polk"/>
        <s v=" Doolina Margaret &quot;Daisy&quot;"/>
        <s v=" Sidney (Emily Hocking)"/>
        <s v=" Mark"/>
        <s v=" Johan Henrik Johannesson"/>
        <s v=" Benjamin (Esther Ada Bloomfield)"/>
        <s v=" Leon"/>
        <s v=" Johan Emil"/>
        <s v=" Encarnacion"/>
        <s v=" Bernt"/>
        <s v=" Washington"/>
        <s v=" Madeleine Violet"/>
        <s v=" Frederic Kimber"/>
        <s v=" Marie Catherine"/>
        <s v=" Arthur Godfrey"/>
        <s v=" Edwy Arthur"/>
        <s v=" Ingvald Olai Olsen"/>
        <s v=" Benjamin Laventall"/>
        <s v=" Samuel L"/>
        <s v=" Joseph"/>
        <s v=" Francis Davis"/>
        <s v=" Frederick R (Marion)"/>
        <s v=" Ellen"/>
        <s v=" Maurice"/>
        <s v=" Arthur H"/>
        <s v=" Jacob Christian"/>
        <s v=" Simon"/>
        <s v=" Manuel Estanslas"/>
        <s v=" John Montgomery"/>
        <s v=" Helene Barbara"/>
        <s v=" Luka"/>
        <s v=" Edwy Arthur (Ada Mary Worth)"/>
        <s v=" Amin S (Marie Marthe Thuillard)"/>
        <s v=" Ida Sofia"/>
        <s v=" George Quincy"/>
        <s v=" Peter Henry"/>
        <s v=" Lewis Richard"/>
        <s v=" Nils August"/>
        <s v=" Hildur E"/>
        <s v=" Harold Victor"/>
        <s v=" Anthony Wood &quot;Archie&quot;"/>
        <s v=" Richard Henry"/>
        <s v=" (Hedwig)"/>
        <s v=" Dickinson H"/>
        <s v=" Jeannie"/>
        <s v=" Frederick Maxfield (Jane Anne Forby)"/>
        <s v=" Edward Austin"/>
        <s v=" Francis William"/>
        <s v=" Eden Leslie &quot;Neville&quot;"/>
        <s v=" Konrad Mathias Reiersen"/>
        <s v=" Einar"/>
        <s v=" Harry Markland"/>
        <s v=" Ramon"/>
        <s v=" Edward Roland"/>
        <s v=" Elizabeth Mussey"/>
        <s v=" Hudson J C (Bessie Waldo Daniels)"/>
        <s v=" Olof"/>
        <s v=" Petar"/>
        <s v=" Bridget Mary"/>
        <s v=" Kristina Sofia"/>
        <s v=" Roberta"/>
        <s v=" Victor de Satode"/>
        <s v=" Frederick Charles (Jane Richards)"/>
        <s v=" George (&quot;George Arthur Brayton&quot;)"/>
        <s v=" Henry Margido"/>
        <s v=" Fang"/>
        <s v=" Eugene Patrick"/>
        <s v=" James Robert"/>
        <s v=" Martin (Elizabeth L"/>
        <s v=" Satio"/>
        <s v=" William Anderson"/>
        <s v=" (Amelia Milley)"/>
        <s v=" William A (Florence &quot;Mary&quot; Agnes Hughes)"/>
        <s v=" Stefo"/>
        <s v=" Anne"/>
        <s v=" Janko"/>
        <s v=" Sarkis"/>
        <s v=" Louis Albert (Ida Sophia Fischer)"/>
        <s v=" Fared"/>
        <s v=" Lucy"/>
        <s v=" Johan Werner"/>
        <s v=" Richard George"/>
        <s v=" Phyllis May"/>
        <s v=" Nakli"/>
        <s v=" Joseph Jr"/>
        <s v=" Catherine (Catherine Rizk)"/>
        <s v=" Eva Miriam"/>
        <s v=" Archibald Willingham"/>
        <s v=" Samuel Beard"/>
        <s v=" Hedwig Margaritha"/>
        <s v=" Harriet R"/>
        <s v=" Ingeborg Constanzia"/>
        <s v=" Sigrid Elisabeth"/>
        <s v=" Edward"/>
        <s v=" Walter Donald"/>
        <s v=" Arthur Ernest"/>
        <s v=" Edward (Ethel Clarke)"/>
        <s v=" Julian"/>
        <s v=" Frank John"/>
        <s v=" John Morgan Jr"/>
        <s v=" John Borland Jr"/>
        <s v=" Percival James R"/>
        <s v=" Timothy"/>
        <s v=" Fahim (&quot;Philip Zenni&quot;)"/>
        <s v=" Velin"/>
        <s v=" George"/>
        <s v=" (Lucille Christiana Sutherland) (&quot;Mrs Morgan&quot;)"/>
        <s v=" Emil (Tillie Mandelbaum)"/>
        <s v=" Guillaume Joseph (Emma)"/>
        <s v=" Thomas Rowan"/>
        <s v=" Husein"/>
        <s v=" Robert Douglas"/>
        <s v=" (Marion Ogden)"/>
        <s v=" Alfred J"/>
        <s v=" Ilia"/>
        <s v=" Nils (Alma Cornelia Berglund)"/>
        <s v=" Carl"/>
        <s v=" Edward Dale (Charlotte Lamson)"/>
        <s v=" John Irwin (&quot;Irving&quot;)"/>
        <s v=" Alfred George John"/>
        <s v=" Ethel"/>
        <s v=" William Baird (Alice Munger)"/>
        <s v=" Joseph (Maria Elias)"/>
        <s v=" Eiriik"/>
        <s v=" Julie Rachel"/>
        <s v=" John Borland (Marian Longstreth Morris)"/>
        <s v=" William James"/>
        <s v=" John Hugo"/>
        <s v=" Uscher"/>
        <s v=" Ruth"/>
        <s v=" John Denzil"/>
        <s v=" Maxmillian"/>
        <s v=" Eliezer"/>
        <s v=" Matti"/>
        <s v=" Walter Bertram (Martha Eustis)"/>
        <s v=" Jean Baptiste"/>
        <s v=" Jessie Wills"/>
        <s v=" Cosmo Edmund (&quot;Mr Morgan&quot;)"/>
        <s v=" Sidney Samuel (Amy Frances Christy)"/>
        <s v=" Petco"/>
        <s v=" Ernst William"/>
        <s v=" Harry (&quot;Mr E Haven&quot;)"/>
        <s v=" Edvard Bengtsson"/>
        <s v=" Milan"/>
        <s v=" Robert Williams"/>
        <s v=" Joseph (Juliette Marie Louise Lafargue)"/>
        <s v=" Elizabeth W"/>
        <s v=" Anders Johan (Alfrida Konstantia Brogren)"/>
        <s v=" Jose Neto"/>
        <s v=" Margaret Jane"/>
        <s v=" William Alfred"/>
        <s v=" Alice"/>
        <s v=" Ernst Gilbert"/>
        <s v=" William Arthur (Cordelia K Stanlick)"/>
        <s v=" Marion Louise"/>
        <s v=" Antoni"/>
        <s v=" Edwin Nelson Jr"/>
        <s v=" Sahid"/>
        <s v=" Henry Damsgaard"/>
        <s v=" David John &quot;Dai&quot;"/>
        <s v=" Charles Leonard"/>
        <s v=" Gretchen Fiske"/>
        <s v=" Guentcho"/>
        <s v=" Patrick D"/>
        <s v=" Algernon Henry Wilson"/>
        <s v=" Johan Svensson"/>
        <s v=" Max"/>
        <s v=" William Henry Marsh"/>
        <s v=" Mabel"/>
        <s v=" Antti Gustaf"/>
        <s v=" Harvey"/>
        <s v=" Juha (Maria Emilia Ojala)"/>
        <s v=" Percival"/>
        <s v=" Hans Peder"/>
        <s v=" Emma"/>
        <s v=" Margit Elizabeth"/>
        <s v=" Choong"/>
        <s v=" Eugenie"/>
        <s v=" Henry Sleeper"/>
        <s v=" Liudevit"/>
        <s v=" Oberst Alfons"/>
        <s v=" Amy Zillah Elsie"/>
        <s v=" Mito"/>
        <s v=" Elsie"/>
        <s v=" Johannes Halvorsen"/>
        <s v=" Hanora &quot;Norah&quot;"/>
        <s v=" Leonard Mark"/>
        <s v=" John (Catherine)"/>
        <s v=" George Floyd"/>
        <s v=" Arthur Webster"/>
        <s v=" Henry William"/>
        <s v=" Mohamed"/>
        <s v=" Edward Pomeroy"/>
        <s v=" Peju"/>
        <s v=" Eino William"/>
        <s v=" Lewis"/>
        <s v=" Reginald Fenton"/>
        <s v=" Knud Paust"/>
        <s v=" Jacob"/>
        <s v=" Elmer Zebley (Juliet Cummins Wright)"/>
        <s v=" Thomas William Solomon (Elizabeth Catherine Ford)"/>
        <s v=" Thornton"/>
        <s v=" Henry Michael"/>
        <s v=" Charles"/>
        <s v=" Ennis Hastings"/>
        <s v=" Gustaf Hjalmar"/>
        <s v=" Frederick Charles"/>
        <s v=" Frederick (Augusta Tyler)"/>
        <s v=" Thomas Drake Martinez"/>
        <s v=" Katie"/>
        <s v=" Hammad"/>
        <s v=" Thor Anderson"/>
        <s v=" Charles Edward"/>
        <s v=" Thomas William Solomon"/>
        <s v=" Joseph Philippe Lemercier"/>
        <s v=" Jaako Arnold"/>
        <s v=" Branko"/>
        <s v=" Eberhard Thelander"/>
        <s v=" Georgette Alexandra"/>
        <s v=" Albert Adrian"/>
        <s v=" Manca"/>
        <s v=" Ali"/>
        <s v=" Khalil"/>
        <s v=" John Borland"/>
        <s v=" Adolf Mathias Nicolai Olsen"/>
        <s v=" John Jacob (Madeleine Talmadge Force)"/>
        <s v=" Spencer Victor"/>
        <s v=" Saiide"/>
        <s v=" Henrik Juul"/>
        <s v=" Henry Samuel (&quot;Mr Henry Marshall&quot;)"/>
        <s v=" Florence &quot;Fannie&quot;"/>
        <s v=" Edward Pennington"/>
        <s v=" Halim Gonios (&quot;William George&quot;)"/>
        <s v=" Berthe Antonine (&quot;Mrs de Villiers&quot;)"/>
        <s v=" Herman"/>
        <s v=" Elmer Zebley"/>
        <s v=" August Viktor"/>
        <s v=" Peter Andreas Lauritz Andersen"/>
        <s v=" Caroline Louise"/>
        <s v=" Edwina Celia &quot;Winnie&quot;"/>
        <s v=" Michael"/>
        <s v=" Malkolm Joackim"/>
        <s v=" Annie Jessie &quot;Nina&quot;"/>
        <s v=" Svend Lauritz"/>
        <s v=" Henry Price"/>
        <s v=" Norman Campbell"/>
        <s v=" Peter Henry (Lillian Jefferys)"/>
        <s v=" Margareth"/>
        <s v=" Kurt Arnold Gottfrid"/>
        <s v=" Pieta Sofia"/>
        <s v=" Elisabeth Walton"/>
        <s v=" Houssein G N"/>
        <s v=" Robert J"/>
        <s v=" Moses Aaron"/>
        <s v=" Leslie"/>
        <s v=" Edward (Margaret Ann Watson)"/>
        <s v=" Gustave J"/>
        <s v=" Kanio"/>
        <s v=" Minko"/>
        <s v=" Walter James"/>
        <s v=" Tyrell William"/>
        <s v=" Susan Parker &quot;Suzette&quot;"/>
        <s v=" Neal"/>
        <s v=" Edward Gifford"/>
        <s v=" Rossmore Edward"/>
        <s v=" Daniel Warner"/>
        <s v=" Joan"/>
        <s v=" Meier"/>
        <s v=" Johannes Joseph"/>
        <s v=" Samuel (Jane Laver)"/>
        <s v=" Viljo"/>
        <s v=" August Sigfrid"/>
        <s v=" Percy Andrew"/>
        <s v=" Thomas Leonard"/>
        <s v=" of (Lucy Noel Martha Dyer-Edwards)"/>
        <s v=" Iisakki Antino Aijo"/>
        <s v=" Hanna Assi"/>
        <s v=" William Ernest (Lucile Polk)"/>
        <s v=" Hans Linus"/>
        <s v=" John C (Anna Andrews)"/>
        <s v=" Arthur Jackson"/>
        <s v=" Daniel J"/>
        <s v=" Daniel Danielsen"/>
        <s v=" Rene Aime"/>
        <s v=" Niels Peder"/>
        <s v=" (Mary)"/>
        <s v=" Dibo"/>
        <s v=" Elizabeth (Eliza Needs)"/>
        <s v=" Pehr Fabian Oliver Malkolm"/>
        <s v=" Roger"/>
        <s v=" Virginia Ethel"/>
        <s v=" Thomas J"/>
        <s v=" Edward Scott (Elisabeth Walton McMillan)"/>
        <s v=" Banoura"/>
        <s v=" Albert Adrian (Vera Gillespie)"/>
        <s v=" Milton Clyde"/>
        <s v=" Andrew G"/>
        <s v=" Abraham (David Lishin)"/>
        <s v=" George Hugh"/>
        <s v=" Bertram Vere"/>
        <s v=" Andrew &quot;Andy&quot;"/>
        <s v=" Stella Anna"/>
        <s v=" William Fisher"/>
        <s v=" Ristiu"/>
        <s v=" Richard"/>
        <s v=" Alice (Farnham)"/>
        <s v=" Mara"/>
        <s v=" Yousseff"/>
        <s v=" Jean Baptiste (Rosalie Paula Govaert)"/>
        <s v=" Harvey (Charlotte Annie Tate)"/>
        <s v=" William Thornton II"/>
        <s v=" Assad Alexander"/>
        <s v=" Oskar Arvid"/>
        <s v=" Karl Johan"/>
        <s v=" Thomas Jr"/>
        <s v=" Ellen Natalia"/>
        <s v=" August"/>
        <s v=" Norman Campbell (Bertha Griggs)"/>
        <s v=" Richard James"/>
        <s v=" Ebba Iris Alfrida"/>
        <s v=" Ernest Portage"/>
        <s v=" Wendla Maria"/>
        <s v=" Albert"/>
        <s v=" John Fredrik Alexander"/>
        <s v=" Karl Thorsten"/>
        <s v=" Charles Melville (Clara Jennings Gregg)"/>
        <s v=" Nikola"/>
        <s v=" John George"/>
        <s v=" (Beila)"/>
        <s v=" Urho Abraham"/>
        <s v=" Len"/>
        <s v=" Andre"/>
        <s v=" Thomas Joseph"/>
        <s v=" George Nelson (Martha Evelyn)"/>
        <s v=" Antoni (Selini Alexander)"/>
        <s v=" George Sibley"/>
        <s v=" Amin"/>
        <s v=" Owen George"/>
        <s v=" Sara Rebecca"/>
        <s v=" Jakob"/>
        <s v=" Chang"/>
        <s v=" Pierre"/>
        <s v=" Ilmari Rudolf"/>
        <s v=" Thomas Charles"/>
        <s v=" Augusta"/>
        <s v=" Peter L"/>
        <s v=" Jeso"/>
        <s v=" Anthony"/>
        <s v=" Douglas Bullen"/>
        <s v=" Marin"/>
        <s v=" Samuel L (Edwiga Grabowska)"/>
        <s v=" Sigvard Harald Elias"/>
        <s v=" Nourelain"/>
        <s v=" Mary Conover"/>
        <s v=" Ernest Courtenay (Lilian Hughes)"/>
        <s v=" Sam (Leah Rosen)"/>
        <s v=" George Dennick (Mary Hitchcock)"/>
        <s v=" Peter Denis "/>
        <s v=" Solomon (Latifa Qurban)"/>
        <s v=" Raihed"/>
        <s v=" Claus Peter"/>
        <s v=" Frederick Edward"/>
        <s v=" Frederick Joel (Margaret Welles Barron)"/>
        <s v=" Dorothy Edith &quot;Dolly&quot;"/>
        <s v=" John William"/>
        <s v=" (Karolina)"/>
        <s v=" Asuncion"/>
        <s v=" Washington Augustus II"/>
        <s v=" Philemon"/>
        <s v=" Harold Theodor"/>
        <s v=" Cerin"/>
        <s v=" Richard Leonard (Sallie Monypeny)"/>
        <s v=" Frans Olof"/>
        <s v=" Samuel (Hannah Wizosky)"/>
        <s v=" Adele Kiamie &quot;Jane&quot;"/>
        <s v=" Alfred Ossian"/>
        <s v=" Nedelio"/>
        <s v=" Kristo"/>
        <s v=" Thomas Jr (Lily Alexenia Wilson)"/>
        <s v=" William (Imanita Parrish Hall)"/>
        <s v=" Johann"/>
        <s v=" Gerda Ulrika"/>
        <s v=" Frederick James"/>
        <s v=" Henry Jr"/>
        <s v=" William (Margaret Norton)"/>
        <s v=" Juozas"/>
        <s v=" Margaret Edith"/>
        <s v=" Catherine Helen &quot;Carrie&quot;"/>
        <s v=" Karl Howell"/>
      </sharedItems>
    </cacheField>
    <cacheField name="Title" numFmtId="0">
      <sharedItems count="17">
        <s v="Mr"/>
        <s v="Mrs"/>
        <s v="Miss"/>
        <s v="Master"/>
        <s v="Don"/>
        <s v="Rev"/>
        <s v="Dr"/>
        <s v="Mme"/>
        <s v="Ms"/>
        <s v="Major"/>
        <s v="Lady"/>
        <s v="Sir"/>
        <s v="Mlle"/>
        <s v="Col"/>
        <s v="Capt"/>
        <s v="the Countess"/>
        <s v="Jonkheer"/>
      </sharedItems>
    </cacheField>
    <cacheField name="Gender" numFmtId="0">
      <sharedItems count="3">
        <s v="Male"/>
        <s v="Female"/>
        <s v="Unknown"/>
      </sharedItems>
    </cacheField>
    <cacheField name="Age" numFmtId="0">
      <sharedItems containsNumber="1" containsMixedTypes="1" count="89">
        <n v="22"/>
        <n v="38"/>
        <n v="26"/>
        <n v="35"/>
        <s v="Unknown"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0.83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1"/>
        <n v="61"/>
        <n v="56"/>
        <n v="50"/>
        <n v="36"/>
        <n v="45.5"/>
        <n v="20.5"/>
        <n v="62"/>
        <n v="41"/>
        <n v="52"/>
        <n v="63"/>
        <n v="23.5"/>
        <n v="0.92"/>
        <n v="43"/>
        <n v="60"/>
        <n v="10"/>
        <n v="64"/>
        <n v="13"/>
        <n v="48"/>
        <n v="0.75"/>
        <n v="53"/>
        <n v="57"/>
        <n v="80"/>
        <n v="70"/>
        <n v="24.5"/>
        <n v="6"/>
        <n v="0.67"/>
        <n v="30.5"/>
        <n v="0.42"/>
        <n v="34.5"/>
        <n v="74"/>
      </sharedItems>
    </cacheField>
    <cacheField name="Age_Group" numFmtId="0">
      <sharedItems count="5">
        <s v="Adult"/>
        <s v="Unknown"/>
        <s v="Kid"/>
        <s v="Teenager"/>
        <s v="Elderly"/>
      </sharedItems>
    </cacheField>
    <cacheField name="SibSp" numFmtId="0">
      <sharedItems containsSemiMixedTypes="0" containsString="0" containsNumber="1" containsInteger="1" minValue="0" maxValue="8" count="7">
        <n v="1"/>
        <n v="0"/>
        <n v="3"/>
        <n v="4"/>
        <n v="2"/>
        <n v="5"/>
        <n v="8"/>
      </sharedItems>
    </cacheField>
    <cacheField name="Parch" numFmtId="0">
      <sharedItems containsSemiMixedTypes="0" containsString="0" containsNumber="1" containsInteger="1" minValue="0" maxValue="6" count="7">
        <n v="0"/>
        <n v="1"/>
        <n v="2"/>
        <n v="5"/>
        <n v="3"/>
        <n v="4"/>
        <n v="6"/>
      </sharedItems>
    </cacheField>
    <cacheField name="Family_Size" numFmtId="0">
      <sharedItems containsSemiMixedTypes="0" containsString="0" containsNumber="1" containsInteger="1" minValue="0" maxValue="11" count="9">
        <n v="2"/>
        <n v="1"/>
        <n v="5"/>
        <n v="3"/>
        <n v="7"/>
        <n v="6"/>
        <n v="4"/>
        <n v="8"/>
        <n v="11"/>
      </sharedItems>
    </cacheField>
    <cacheField name="Survival_Status" numFmtId="0">
      <sharedItems count="2">
        <s v="Not Survived"/>
        <s v="Survived"/>
      </sharedItems>
    </cacheField>
    <cacheField name="Family_Category" numFmtId="0">
      <sharedItems count="3">
        <s v="Small Family"/>
        <s v="Alone"/>
        <s v="Large Family"/>
      </sharedItems>
    </cacheField>
    <cacheField name="Ticket" numFmtId="0">
      <sharedItems containsNumber="1" containsInteger="1" containsMixedTypes="1" count="681">
        <s v="A/5 21171"/>
        <s v="PC 17599"/>
        <s v="STON/O2. 3101282"/>
        <n v="113803"/>
        <n v="373450"/>
        <n v="330877"/>
        <n v="17463"/>
        <n v="349909"/>
        <n v="347742"/>
        <n v="237736"/>
        <s v="PP 9549"/>
        <n v="113783"/>
        <s v="A/5. 2151"/>
        <n v="347082"/>
        <n v="350406"/>
        <n v="248706"/>
        <n v="382652"/>
        <n v="244373"/>
        <n v="345763"/>
        <n v="2649"/>
        <n v="239865"/>
        <n v="248698"/>
        <n v="330923"/>
        <n v="113788"/>
        <n v="347077"/>
        <n v="2631"/>
        <n v="19950"/>
        <n v="330959"/>
        <n v="349216"/>
        <s v="PC 17601"/>
        <s v="PC 17569"/>
        <n v="335677"/>
        <s v="C.A. 24579"/>
        <s v="PC 17604"/>
        <n v="113789"/>
        <n v="2677"/>
        <s v="A./5. 2152"/>
        <n v="345764"/>
        <n v="2651"/>
        <n v="7546"/>
        <n v="11668"/>
        <n v="349253"/>
        <s v="SC/Paris 2123"/>
        <n v="330958"/>
        <s v="S.C./A.4. 23567"/>
        <n v="370371"/>
        <n v="14311"/>
        <n v="2662"/>
        <n v="349237"/>
        <n v="3101295"/>
        <s v="A/4. 39886"/>
        <s v="PC 17572"/>
        <n v="2926"/>
        <n v="113509"/>
        <n v="19947"/>
        <s v="C.A. 31026"/>
        <n v="2697"/>
        <s v="C.A. 34651"/>
        <s v="CA 2144"/>
        <n v="2669"/>
        <n v="113572"/>
        <n v="36973"/>
        <n v="347088"/>
        <s v="PC 17605"/>
        <n v="2661"/>
        <s v="C.A. 29395"/>
        <s v="S.P. 3464"/>
        <n v="3101281"/>
        <n v="315151"/>
        <s v="C.A. 33111"/>
        <s v="S.O.C. 14879"/>
        <n v="2680"/>
        <n v="1601"/>
        <n v="348123"/>
        <n v="349208"/>
        <n v="374746"/>
        <n v="248738"/>
        <n v="364516"/>
        <n v="345767"/>
        <n v="345779"/>
        <n v="330932"/>
        <n v="113059"/>
        <s v="SO/C 14885"/>
        <n v="3101278"/>
        <s v="W./C. 6608"/>
        <s v="SOTON/OQ 392086"/>
        <n v="343275"/>
        <n v="343276"/>
        <n v="347466"/>
        <s v="W.E.P. 5734"/>
        <s v="C.A. 2315"/>
        <n v="364500"/>
        <n v="374910"/>
        <s v="PC 17754"/>
        <s v="PC 17759"/>
        <n v="231919"/>
        <n v="244367"/>
        <n v="349245"/>
        <n v="349215"/>
        <n v="35281"/>
        <n v="7540"/>
        <n v="3101276"/>
        <n v="349207"/>
        <n v="343120"/>
        <n v="312991"/>
        <n v="349249"/>
        <n v="371110"/>
        <n v="110465"/>
        <n v="2665"/>
        <n v="324669"/>
        <n v="4136"/>
        <n v="2627"/>
        <s v="STON/O 2. 3101294"/>
        <n v="370369"/>
        <s v="PC 17558"/>
        <s v="A4. 54510"/>
        <n v="27267"/>
        <n v="370372"/>
        <s v="C 17369"/>
        <n v="2668"/>
        <n v="347061"/>
        <n v="349241"/>
        <s v="SOTON/O.Q. 3101307"/>
        <s v="A/5. 3337"/>
        <n v="228414"/>
        <s v="C.A. 29178"/>
        <s v="SC/PARIS 2133"/>
        <n v="11752"/>
        <n v="7534"/>
        <s v="PC 17593"/>
        <n v="2678"/>
        <n v="347081"/>
        <s v="STON/O2. 3101279"/>
        <n v="365222"/>
        <n v="231945"/>
        <s v="C.A. 33112"/>
        <n v="350043"/>
        <n v="230080"/>
        <n v="244310"/>
        <s v="S.O.P. 1166"/>
        <n v="113776"/>
        <s v="A.5. 11206"/>
        <s v="A/5. 851"/>
        <s v="Fa 265302"/>
        <s v="PC 17597"/>
        <n v="35851"/>
        <s v="SOTON/OQ 392090"/>
        <n v="315037"/>
        <s v="CA. 2343"/>
        <n v="371362"/>
        <s v="C.A. 33595"/>
        <n v="347068"/>
        <n v="315093"/>
        <n v="363291"/>
        <n v="113505"/>
        <s v="PC 17318"/>
        <n v="111240"/>
        <s v="STON/O 2. 3101280"/>
        <n v="17764"/>
        <n v="350404"/>
        <n v="4133"/>
        <s v="PC 17595"/>
        <n v="250653"/>
        <s v="LINE"/>
        <s v="SC/PARIS 2131"/>
        <n v="230136"/>
        <n v="315153"/>
        <n v="113767"/>
        <n v="370365"/>
        <n v="111428"/>
        <n v="364849"/>
        <n v="349247"/>
        <n v="234604"/>
        <n v="28424"/>
        <n v="350046"/>
        <s v="PC 17610"/>
        <n v="368703"/>
        <n v="4579"/>
        <n v="370370"/>
        <n v="248747"/>
        <n v="345770"/>
        <n v="3101264"/>
        <n v="2628"/>
        <s v="A/5 3540"/>
        <n v="347054"/>
        <n v="2699"/>
        <n v="367231"/>
        <n v="112277"/>
        <s v="SOTON/O.Q. 3101311"/>
        <s v="F.C.C. 13528"/>
        <s v="A/5 21174"/>
        <n v="250646"/>
        <n v="367229"/>
        <n v="35273"/>
        <s v="STON/O2. 3101283"/>
        <n v="243847"/>
        <n v="11813"/>
        <s v="W/C 14208"/>
        <s v="SOTON/OQ 392089"/>
        <n v="220367"/>
        <n v="21440"/>
        <n v="349234"/>
        <n v="19943"/>
        <s v="PP 4348"/>
        <s v="SW/PP 751"/>
        <s v="A/5 21173"/>
        <n v="236171"/>
        <n v="347067"/>
        <n v="237442"/>
        <s v="C.A. 29566"/>
        <s v="W./C. 6609"/>
        <n v="26707"/>
        <s v="C.A. 31921"/>
        <n v="28665"/>
        <s v="SCO/W 1585"/>
        <n v="367230"/>
        <s v="W./C. 14263"/>
        <s v="STON/O 2. 3101275"/>
        <n v="2694"/>
        <n v="19928"/>
        <n v="347071"/>
        <n v="250649"/>
        <n v="11751"/>
        <n v="244252"/>
        <n v="362316"/>
        <n v="113514"/>
        <s v="A/5. 3336"/>
        <n v="370129"/>
        <n v="2650"/>
        <s v="PC 17585"/>
        <n v="110152"/>
        <s v="PC 17755"/>
        <n v="230433"/>
        <n v="384461"/>
        <n v="110413"/>
        <n v="112059"/>
        <n v="382649"/>
        <s v="C.A. 17248"/>
        <n v="347083"/>
        <s v="PC 17582"/>
        <s v="PC 17760"/>
        <n v="113798"/>
        <n v="250644"/>
        <s v="PC 17596"/>
        <n v="370375"/>
        <n v="13502"/>
        <n v="347073"/>
        <n v="239853"/>
        <s v="C.A. 2673"/>
        <n v="336439"/>
        <n v="347464"/>
        <n v="345778"/>
        <s v="A/5. 10482"/>
        <n v="113056"/>
        <n v="349239"/>
        <n v="345774"/>
        <n v="349206"/>
        <n v="237798"/>
        <n v="370373"/>
        <n v="19877"/>
        <n v="11967"/>
        <s v="SC/Paris 2163"/>
        <n v="349236"/>
        <n v="349233"/>
        <s v="PC 17612"/>
        <n v="2693"/>
        <n v="113781"/>
        <n v="19988"/>
        <n v="9234"/>
        <n v="367226"/>
        <n v="226593"/>
        <s v="A/5 2466"/>
        <n v="17421"/>
        <s v="PC 17758"/>
        <s v="P/PP 3381"/>
        <s v="PC 17485"/>
        <n v="11767"/>
        <s v="PC 17608"/>
        <n v="250651"/>
        <n v="349243"/>
        <s v="F.C.C. 13529"/>
        <n v="347470"/>
        <n v="29011"/>
        <n v="36928"/>
        <n v="16966"/>
        <s v="A/5 21172"/>
        <n v="349219"/>
        <n v="234818"/>
        <n v="345364"/>
        <n v="28551"/>
        <n v="111361"/>
        <n v="113043"/>
        <s v="PC 17611"/>
        <n v="349225"/>
        <n v="7598"/>
        <n v="113784"/>
        <n v="248740"/>
        <n v="244361"/>
        <n v="229236"/>
        <n v="248733"/>
        <n v="31418"/>
        <n v="386525"/>
        <s v="C.A. 37671"/>
        <n v="315088"/>
        <n v="7267"/>
        <n v="113510"/>
        <n v="2695"/>
        <n v="2647"/>
        <n v="345783"/>
        <n v="237671"/>
        <n v="330931"/>
        <n v="330980"/>
        <s v="SC/PARIS 2167"/>
        <n v="2691"/>
        <s v="SOTON/O.Q. 3101310"/>
        <s v="C 7076"/>
        <n v="110813"/>
        <n v="2626"/>
        <n v="14313"/>
        <s v="PC 17477"/>
        <n v="11765"/>
        <n v="3101267"/>
        <n v="323951"/>
        <s v="C 7077"/>
        <n v="113503"/>
        <n v="2648"/>
        <n v="347069"/>
        <s v="PC 17757"/>
        <n v="2653"/>
        <s v="STON/O 2. 3101293"/>
        <n v="349227"/>
        <n v="27849"/>
        <n v="367655"/>
        <s v="SC 1748"/>
        <n v="113760"/>
        <n v="350034"/>
        <n v="3101277"/>
        <n v="350052"/>
        <n v="350407"/>
        <n v="28403"/>
        <n v="244278"/>
        <n v="240929"/>
        <s v="STON/O 2. 3101289"/>
        <n v="341826"/>
        <n v="4137"/>
        <n v="315096"/>
        <n v="28664"/>
        <n v="347064"/>
        <n v="29106"/>
        <n v="312992"/>
        <n v="349222"/>
        <n v="394140"/>
        <s v="STON/O 2. 3101269"/>
        <n v="343095"/>
        <n v="28220"/>
        <n v="250652"/>
        <n v="28228"/>
        <n v="345773"/>
        <n v="349254"/>
        <s v="A/5. 13032"/>
        <n v="315082"/>
        <n v="347080"/>
        <s v="A/4. 34244"/>
        <n v="2003"/>
        <n v="250655"/>
        <n v="364851"/>
        <s v="SOTON/O.Q. 392078"/>
        <n v="110564"/>
        <n v="376564"/>
        <s v="SC/AH 3085"/>
        <s v="STON/O 2. 3101274"/>
        <n v="13507"/>
        <s v="C.A. 18723"/>
        <n v="345769"/>
        <n v="347076"/>
        <n v="230434"/>
        <n v="65306"/>
        <n v="33638"/>
        <n v="113794"/>
        <n v="2666"/>
        <n v="113786"/>
        <n v="65303"/>
        <n v="113051"/>
        <n v="17453"/>
        <s v="A/5 2817"/>
        <n v="349240"/>
        <n v="13509"/>
        <n v="17464"/>
        <s v="F.C.C. 13531"/>
        <n v="371060"/>
        <n v="19952"/>
        <n v="364506"/>
        <n v="111320"/>
        <n v="234360"/>
        <s v="A/S 2816"/>
        <s v="SOTON/O.Q. 3101306"/>
        <n v="113792"/>
        <n v="36209"/>
        <n v="323592"/>
        <n v="315089"/>
        <s v="SC/AH Basle 541"/>
        <n v="7553"/>
        <n v="31027"/>
        <n v="3460"/>
        <n v="350060"/>
        <n v="3101298"/>
        <n v="239854"/>
        <s v="A/5 3594"/>
        <n v="4134"/>
        <n v="11771"/>
        <s v="A.5. 18509"/>
        <n v="65304"/>
        <s v="SOTON/OQ 3101317"/>
        <n v="113787"/>
        <s v="PC 17609"/>
        <s v="A/4 45380"/>
        <n v="36947"/>
        <s v="C.A. 6212"/>
        <n v="350035"/>
        <n v="315086"/>
        <n v="364846"/>
        <n v="330909"/>
        <n v="4135"/>
        <n v="26360"/>
        <n v="111427"/>
        <s v="C 4001"/>
        <n v="382651"/>
        <s v="SOTON/OQ 3101316"/>
        <s v="PC 17473"/>
        <s v="PC 17603"/>
        <n v="349209"/>
        <n v="36967"/>
        <s v="C.A. 34260"/>
        <n v="226875"/>
        <n v="349242"/>
        <n v="12749"/>
        <n v="349252"/>
        <n v="2624"/>
        <n v="2700"/>
        <n v="367232"/>
        <s v="W./C. 14258"/>
        <s v="PC 17483"/>
        <n v="3101296"/>
        <n v="29104"/>
        <n v="2641"/>
        <n v="2690"/>
        <n v="315084"/>
        <n v="113050"/>
        <s v="PC 17761"/>
        <n v="364498"/>
        <n v="13568"/>
        <s v="WE/P 5735"/>
        <n v="2908"/>
        <n v="693"/>
        <s v="SC/PARIS 2146"/>
        <n v="244358"/>
        <n v="330979"/>
        <n v="2620"/>
        <n v="347085"/>
        <n v="113807"/>
        <n v="11755"/>
        <n v="345572"/>
        <n v="372622"/>
        <n v="349251"/>
        <n v="218629"/>
        <s v="SOTON/OQ 392082"/>
        <s v="SOTON/O.Q. 392087"/>
        <s v="A/4 48871"/>
        <n v="349205"/>
        <n v="2686"/>
        <n v="350417"/>
        <s v="S.W./PP 752"/>
        <n v="11769"/>
        <s v="PC 17474"/>
        <n v="14312"/>
        <s v="A/4. 20589"/>
        <n v="358585"/>
        <n v="243880"/>
        <n v="2689"/>
        <s v="STON/O 2. 3101286"/>
        <n v="237789"/>
        <n v="13049"/>
        <n v="3411"/>
        <n v="237565"/>
        <n v="13567"/>
        <n v="14973"/>
        <s v="A./5. 3235"/>
        <s v="STON/O 2. 3101273"/>
        <s v="A/5 3902"/>
        <n v="364848"/>
        <s v="SC/AH 29037"/>
        <n v="248727"/>
        <n v="2664"/>
        <n v="349214"/>
        <n v="113796"/>
        <n v="364511"/>
        <n v="111426"/>
        <n v="349910"/>
        <n v="349246"/>
        <n v="113804"/>
        <s v="SOTON/O.Q. 3101305"/>
        <n v="370377"/>
        <n v="364512"/>
        <n v="220845"/>
        <n v="31028"/>
        <n v="2659"/>
        <n v="11753"/>
        <n v="350029"/>
        <n v="54636"/>
        <n v="36963"/>
        <n v="219533"/>
        <n v="349224"/>
        <n v="334912"/>
        <n v="27042"/>
        <n v="347743"/>
        <n v="13214"/>
        <n v="112052"/>
        <n v="237668"/>
        <s v="STON/O 2. 3101292"/>
        <n v="350050"/>
        <n v="349231"/>
        <n v="13213"/>
        <s v="S.O./P.P. 751"/>
        <s v="CA. 2314"/>
        <n v="349221"/>
        <n v="8475"/>
        <n v="330919"/>
        <n v="365226"/>
        <n v="349223"/>
        <n v="29751"/>
        <n v="2623"/>
        <n v="5727"/>
        <n v="349210"/>
        <s v="STON/O 2. 3101285"/>
        <n v="234686"/>
        <n v="312993"/>
        <s v="A/5 3536"/>
        <n v="19996"/>
        <n v="29750"/>
        <s v="F.C. 12750"/>
        <s v="C.A. 24580"/>
        <n v="244270"/>
        <n v="239856"/>
        <n v="349912"/>
        <n v="342826"/>
        <n v="4138"/>
        <n v="330935"/>
        <n v="6563"/>
        <n v="349228"/>
        <n v="350036"/>
        <n v="24160"/>
        <n v="17474"/>
        <n v="349256"/>
        <n v="2672"/>
        <n v="113800"/>
        <n v="248731"/>
        <n v="363592"/>
        <n v="35852"/>
        <n v="348121"/>
        <s v="PC 17475"/>
        <n v="36864"/>
        <n v="350025"/>
        <n v="223596"/>
        <s v="PC 17476"/>
        <s v="PC 17482"/>
        <n v="113028"/>
        <n v="7545"/>
        <n v="250647"/>
        <n v="348124"/>
        <n v="34218"/>
        <n v="36568"/>
        <n v="347062"/>
        <n v="350048"/>
        <n v="12233"/>
        <n v="250643"/>
        <n v="113806"/>
        <n v="315094"/>
        <n v="36866"/>
        <n v="236853"/>
        <s v="STON/O2. 3101271"/>
        <n v="239855"/>
        <n v="28425"/>
        <n v="233639"/>
        <n v="349201"/>
        <n v="349218"/>
        <n v="16988"/>
        <n v="376566"/>
        <s v="STON/O 2. 3101288"/>
        <n v="250648"/>
        <n v="113773"/>
        <n v="335097"/>
        <n v="29103"/>
        <n v="392096"/>
        <n v="345780"/>
        <n v="349204"/>
        <n v="350042"/>
        <n v="29108"/>
        <n v="363294"/>
        <s v="SOTON/O2 3101272"/>
        <n v="2663"/>
        <n v="347074"/>
        <n v="112379"/>
        <n v="364850"/>
        <n v="8471"/>
        <n v="345781"/>
        <n v="350047"/>
        <s v="S.O./P.P. 3"/>
        <n v="2674"/>
        <n v="29105"/>
        <n v="347078"/>
        <n v="383121"/>
        <n v="36865"/>
        <n v="2687"/>
        <n v="113501"/>
        <s v="W./C. 6607"/>
        <s v="SOTON/O.Q. 3101312"/>
        <n v="374887"/>
        <n v="3101265"/>
        <n v="12460"/>
        <s v="PC 17600"/>
        <n v="349203"/>
        <n v="28213"/>
        <n v="17465"/>
        <n v="349244"/>
        <n v="2685"/>
        <n v="2625"/>
        <n v="347089"/>
        <n v="347063"/>
        <n v="112050"/>
        <n v="347087"/>
        <n v="248723"/>
        <n v="3474"/>
        <n v="28206"/>
        <n v="364499"/>
        <n v="112058"/>
        <s v="STON/O2. 3101290"/>
        <s v="S.C./PARIS 2079"/>
        <s v="C 7075"/>
        <n v="315098"/>
        <n v="19972"/>
        <n v="368323"/>
        <n v="367228"/>
        <n v="2671"/>
        <n v="347468"/>
        <n v="2223"/>
        <s v="PC 17756"/>
        <n v="315097"/>
        <n v="392092"/>
        <n v="11774"/>
        <s v="SOTON/O2 3101287"/>
        <n v="2683"/>
        <n v="315090"/>
        <s v="C.A. 5547"/>
        <n v="349213"/>
        <n v="347060"/>
        <s v="PC 17592"/>
        <n v="392091"/>
        <n v="113055"/>
        <n v="2629"/>
        <n v="350026"/>
        <n v="28134"/>
        <n v="17466"/>
        <n v="233866"/>
        <n v="236852"/>
        <s v="SC/PARIS 2149"/>
        <s v="PC 17590"/>
        <n v="345777"/>
        <n v="349248"/>
        <n v="695"/>
        <n v="345765"/>
        <n v="2667"/>
        <n v="349212"/>
        <n v="349217"/>
        <n v="349257"/>
        <n v="7552"/>
        <s v="C.A./SOTON 34068"/>
        <s v="SOTON/OQ 392076"/>
        <n v="211536"/>
        <n v="112053"/>
        <n v="111369"/>
        <n v="370376"/>
      </sharedItems>
    </cacheField>
    <cacheField name="Fare" numFmtId="0">
      <sharedItems containsSemiMixedTypes="0" containsString="0" containsNumber="1" minValue="0" maxValue="512.3292" count="248">
        <n v="7.25"/>
        <n v="71.2833"/>
        <n v="7.925"/>
        <n v="53.1"/>
        <n v="8.05"/>
        <n v="8.4583"/>
        <n v="51.8625"/>
        <n v="21.075"/>
        <n v="11.1333"/>
        <n v="30.0708"/>
        <n v="16.7"/>
        <n v="26.55"/>
        <n v="31.275"/>
        <n v="7.8542"/>
        <n v="16"/>
        <n v="29.125"/>
        <n v="13"/>
        <n v="18"/>
        <n v="7.225"/>
        <n v="26"/>
        <n v="8.0292"/>
        <n v="35.5"/>
        <n v="31.3875"/>
        <n v="263"/>
        <n v="7.8792"/>
        <n v="7.8958"/>
        <n v="27.7208"/>
        <n v="146.5208"/>
        <n v="7.75"/>
        <n v="10.5"/>
        <n v="82.1708"/>
        <n v="52"/>
        <n v="7.2292"/>
        <n v="11.2417"/>
        <n v="9.475"/>
        <n v="21"/>
        <n v="41.5792"/>
        <n v="15.5"/>
        <n v="21.6792"/>
        <n v="17.8"/>
        <n v="39.6875"/>
        <n v="7.8"/>
        <n v="76.7292"/>
        <n v="61.9792"/>
        <n v="27.75"/>
        <n v="46.9"/>
        <n v="80"/>
        <n v="83.475"/>
        <n v="27.9"/>
        <n v="15.2458"/>
        <n v="8.1583"/>
        <n v="8.6625"/>
        <n v="73.5"/>
        <n v="14.4542"/>
        <n v="56.4958"/>
        <n v="7.65"/>
        <n v="29"/>
        <n v="12.475"/>
        <n v="9"/>
        <n v="9.5"/>
        <n v="7.7875"/>
        <n v="47.1"/>
        <n v="15.85"/>
        <n v="34.375"/>
        <n v="61.175"/>
        <n v="20.575"/>
        <n v="34.6542"/>
        <n v="63.3583"/>
        <n v="23"/>
        <n v="77.2875"/>
        <n v="8.6542"/>
        <n v="7.775"/>
        <n v="24.15"/>
        <n v="9.825"/>
        <n v="14.4583"/>
        <n v="247.5208"/>
        <n v="7.1417"/>
        <n v="22.3583"/>
        <n v="6.975"/>
        <n v="7.05"/>
        <n v="14.5"/>
        <n v="15.0458"/>
        <n v="26.2833"/>
        <n v="9.2167"/>
        <n v="79.2"/>
        <n v="6.75"/>
        <n v="11.5"/>
        <n v="36.75"/>
        <n v="7.7958"/>
        <n v="12.525"/>
        <n v="66.6"/>
        <n v="7.3125"/>
        <n v="61.3792"/>
        <n v="7.7333"/>
        <n v="69.55"/>
        <n v="16.1"/>
        <n v="15.75"/>
        <n v="20.525"/>
        <n v="55"/>
        <n v="25.925"/>
        <n v="33.5"/>
        <n v="30.6958"/>
        <n v="25.4667"/>
        <n v="28.7125"/>
        <n v="0"/>
        <n v="15.05"/>
        <n v="39"/>
        <n v="22.025"/>
        <n v="50"/>
        <n v="8.4042"/>
        <n v="6.4958"/>
        <n v="10.4625"/>
        <n v="18.7875"/>
        <n v="31"/>
        <n v="113.275"/>
        <n v="27"/>
        <n v="76.2917"/>
        <n v="90"/>
        <n v="9.35"/>
        <n v="13.5"/>
        <n v="7.55"/>
        <n v="26.25"/>
        <n v="12.275"/>
        <n v="7.125"/>
        <n v="52.5542"/>
        <n v="20.2125"/>
        <n v="86.5"/>
        <n v="512.3292"/>
        <n v="79.65"/>
        <n v="153.4625"/>
        <n v="135.6333"/>
        <n v="19.5"/>
        <n v="29.7"/>
        <n v="77.9583"/>
        <n v="20.25"/>
        <n v="78.85"/>
        <n v="91.0792"/>
        <n v="12.875"/>
        <n v="8.85"/>
        <n v="151.55"/>
        <n v="30.5"/>
        <n v="23.25"/>
        <n v="12.35"/>
        <n v="110.8833"/>
        <n v="108.9"/>
        <n v="24"/>
        <n v="56.9292"/>
        <n v="83.1583"/>
        <n v="262.375"/>
        <n v="14"/>
        <n v="164.8667"/>
        <n v="134.5"/>
        <n v="6.2375"/>
        <n v="57.9792"/>
        <n v="28.5"/>
        <n v="133.65"/>
        <n v="15.9"/>
        <n v="9.225"/>
        <n v="35"/>
        <n v="75.25"/>
        <n v="69.3"/>
        <n v="55.4417"/>
        <n v="211.5"/>
        <n v="4.0125"/>
        <n v="227.525"/>
        <n v="15.7417"/>
        <n v="7.7292"/>
        <n v="12"/>
        <n v="120"/>
        <n v="12.65"/>
        <n v="18.75"/>
        <n v="6.8583"/>
        <n v="32.5"/>
        <n v="7.875"/>
        <n v="14.4"/>
        <n v="55.9"/>
        <n v="8.1125"/>
        <n v="81.8583"/>
        <n v="19.2583"/>
        <n v="19.9667"/>
        <n v="89.1042"/>
        <n v="38.5"/>
        <n v="7.725"/>
        <n v="13.7917"/>
        <n v="9.8375"/>
        <n v="7.0458"/>
        <n v="7.5208"/>
        <n v="12.2875"/>
        <n v="9.5875"/>
        <n v="49.5042"/>
        <n v="78.2667"/>
        <n v="15.1"/>
        <n v="7.6292"/>
        <n v="22.525"/>
        <n v="26.2875"/>
        <n v="59.4"/>
        <n v="7.4958"/>
        <n v="34.0208"/>
        <n v="93.5"/>
        <n v="221.7792"/>
        <n v="106.425"/>
        <n v="49.5"/>
        <n v="71"/>
        <n v="13.8625"/>
        <n v="7.8292"/>
        <n v="39.6"/>
        <n v="17.4"/>
        <n v="51.4792"/>
        <n v="26.3875"/>
        <n v="30"/>
        <n v="40.125"/>
        <n v="8.7125"/>
        <n v="15"/>
        <n v="33"/>
        <n v="42.4"/>
        <n v="15.55"/>
        <n v="65"/>
        <n v="32.3208"/>
        <n v="7.0542"/>
        <n v="8.4333"/>
        <n v="25.5875"/>
        <n v="9.8417"/>
        <n v="8.1375"/>
        <n v="10.1708"/>
        <n v="211.3375"/>
        <n v="57"/>
        <n v="13.4167"/>
        <n v="7.7417"/>
        <n v="9.4833"/>
        <n v="7.7375"/>
        <n v="8.3625"/>
        <n v="23.45"/>
        <n v="25.9292"/>
        <n v="8.6833"/>
        <n v="8.5167"/>
        <n v="7.8875"/>
        <n v="37.0042"/>
        <n v="6.45"/>
        <n v="6.95"/>
        <n v="8.3"/>
        <n v="6.4375"/>
        <n v="39.4"/>
        <n v="14.1083"/>
        <n v="13.8583"/>
        <n v="50.4958"/>
        <n v="5"/>
        <n v="9.8458"/>
        <n v="10.5167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0.6005092593" refreshedBy="Chahat" recordCount="891">
  <cacheSource type="worksheet">
    <worksheetSource ref="A1:T892" sheet="Worksheet"/>
  </cacheSource>
  <cacheFields count="20">
    <cacheField name="PassengerId" numFmtId="0">
      <sharedItems containsSemiMixedTypes="0" containsString="0" containsNumber="1" containsInteger="1" minValue="0" maxValue="891" count="89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</sharedItems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0" maxValue="3" count="3">
        <n v="3"/>
        <n v="1"/>
        <n v="2"/>
      </sharedItems>
    </cacheField>
    <cacheField name="Last_Name" numFmtId="0">
      <sharedItems count="667">
        <s v="Braund"/>
        <s v="Cumings"/>
        <s v="Heikkinen"/>
        <s v="Futrelle"/>
        <s v="Allen"/>
        <s v="Moran"/>
        <s v="McCarthy"/>
        <s v="Palsson"/>
        <s v="Johnson"/>
        <s v="Nasser"/>
        <s v="Sandstrom"/>
        <s v="Bonnell"/>
        <s v="Saundercock"/>
        <s v="Andersson"/>
        <s v="Vestrom"/>
        <s v="Hewlett"/>
        <s v="Rice"/>
        <s v="Williams"/>
        <s v="Vander Planke"/>
        <s v="Masselmani"/>
        <s v="Fynney"/>
        <s v="Beesley"/>
        <s v="McGowan"/>
        <s v="Sloper"/>
        <s v="Asplund"/>
        <s v="Emir"/>
        <s v="Fortune"/>
        <s v="O'Dwyer"/>
        <s v="Todoroff"/>
        <s v="Uruchurtu"/>
        <s v="Spencer"/>
        <s v="Glynn"/>
        <s v="Wheadon"/>
        <s v="Meyer"/>
        <s v="Holverson"/>
        <s v="Mamee"/>
        <s v="Cann"/>
        <s v="Nicola-Yarred"/>
        <s v="Ahlin"/>
        <s v="Turpin"/>
        <s v="Kraeff"/>
        <s v="Laroche"/>
        <s v="Devaney"/>
        <s v="Rogers"/>
        <s v="Lennon"/>
        <s v="O'Driscoll"/>
        <s v="Samaan"/>
        <s v="Arnold-Franchi"/>
        <s v="Panula"/>
        <s v="Nosworthy"/>
        <s v="Harper"/>
        <s v="Faunthorpe"/>
        <s v="Ostby"/>
        <s v="Woolner"/>
        <s v="Rugg"/>
        <s v="Novel"/>
        <s v="West"/>
        <s v="Goodwin"/>
        <s v="Sirayanian"/>
        <s v="Icard"/>
        <s v="Harris"/>
        <s v="Skoog"/>
        <s v="Stewart"/>
        <s v="Moubarek"/>
        <s v="Nye"/>
        <s v="Crease"/>
        <s v="Kink"/>
        <s v="Jenkin"/>
        <s v="Hood"/>
        <s v="Chronopoulos"/>
        <s v="Bing"/>
        <s v="Moen"/>
        <s v="Staneff"/>
        <s v="Moutal"/>
        <s v="Caldwell"/>
        <s v="Dowdell"/>
        <s v="Waelens"/>
        <s v="Sheerlinck"/>
        <s v="McDermott"/>
        <s v="Carrau"/>
        <s v="Ilett"/>
        <s v="Backstrom"/>
        <s v="Ford"/>
        <s v="Slocovski"/>
        <s v="Celotti"/>
        <s v="Christmann"/>
        <s v="Andreasson"/>
        <s v="Chaffee"/>
        <s v="Dean"/>
        <s v="Coxon"/>
        <s v="Shorney"/>
        <s v="Goldschmidt"/>
        <s v="Greenfield"/>
        <s v="Doling"/>
        <s v="Kantor"/>
        <s v="Petranec"/>
        <s v="Petroff"/>
        <s v="White"/>
        <s v="Johansson"/>
        <s v="Gustafsson"/>
        <s v="Mionoff"/>
        <s v="Salkjelsvik"/>
        <s v="Moss"/>
        <s v="Rekic"/>
        <s v="Porter"/>
        <s v="Zabour"/>
        <s v="Barton"/>
        <s v="Jussila"/>
        <s v="Attalah"/>
        <s v="Pekoniemi"/>
        <s v="Connors"/>
        <s v="Baxter"/>
        <s v="Hickman"/>
        <s v="Moore"/>
        <s v="Webber"/>
        <s v="McMahon"/>
        <s v="Madsen"/>
        <s v="Peter"/>
        <s v="Ekstrom"/>
        <s v="Drazenoic"/>
        <s v="Coelho"/>
        <s v="Robins"/>
        <s v="Weisz"/>
        <s v="Sobey"/>
        <s v="Richard"/>
        <s v="Newsom"/>
        <s v="Osen"/>
        <s v="Giglio"/>
        <s v="Boulos"/>
        <s v="Nysten"/>
        <s v="Hakkarainen"/>
        <s v="Burke"/>
        <s v="Andrew"/>
        <s v="Nicholls"/>
        <s v="Navratil"/>
        <s v="Byles"/>
        <s v="Bateman"/>
        <s v="Pears"/>
        <s v="Meo"/>
        <s v="van Billiard"/>
        <s v="Olsen"/>
        <s v="Gilnagh"/>
        <s v="Corn"/>
        <s v="Smiljanic"/>
        <s v="Sage"/>
        <s v="Cribb"/>
        <s v="Watt"/>
        <s v="Bengtsson"/>
        <s v="Calic"/>
        <s v="Goldsmith"/>
        <s v="Chibnall"/>
        <s v="Baumann"/>
        <s v="Ling"/>
        <s v="Van der hoef"/>
        <s v="Sivola"/>
        <s v="Smith"/>
        <s v="Klasen"/>
        <s v="Lefebre"/>
        <s v="Isham"/>
        <s v="Hale"/>
        <s v="Leonard"/>
        <s v="Pernot"/>
        <s v="Becker"/>
        <s v="Kink-Heilmann"/>
        <s v="Rood"/>
        <s v="O'Brien"/>
        <s v="Romaine"/>
        <s v="Bourke"/>
        <s v="Turcin"/>
        <s v="Pinsky"/>
        <s v="Carbines"/>
        <s v="Andersen-Jensen"/>
        <s v="Brown"/>
        <s v="Lurette"/>
        <s v="Mernagh"/>
        <s v="Madigan"/>
        <s v="Yrois"/>
        <s v="Vande Walle"/>
        <s v="Johanson"/>
        <s v="Youseff"/>
        <s v="Cohen"/>
        <s v="Strom"/>
        <s v="Albimona"/>
        <s v="Carr"/>
        <s v="Blank"/>
        <s v="Ali"/>
        <s v="Cameron"/>
        <s v="Perkin"/>
        <s v="Givard"/>
        <s v="Kiernan"/>
        <s v="Newell"/>
        <s v="Honkanen"/>
        <s v="Jacobsohn"/>
        <s v="Bazzani"/>
        <s v="Sunderland"/>
        <s v="Bracken"/>
        <s v="Green"/>
        <s v="Nenkoff"/>
        <s v="Hoyt"/>
        <s v="Berglund"/>
        <s v="Mellors"/>
        <s v="Lovell"/>
        <s v="Fahlstrom"/>
        <s v="Larsson"/>
        <s v="Sjostedt"/>
        <s v="Leyson"/>
        <s v="Harknett"/>
        <s v="Hold"/>
        <s v="Collyer"/>
        <s v="Pengelly"/>
        <s v="Hunt"/>
        <s v="Murphy"/>
        <s v="Coleridge"/>
        <s v="Maenpaa"/>
        <s v="Minahan"/>
        <s v="Lindahl"/>
        <s v="Hamalainen"/>
        <s v="Beckwith"/>
        <s v="Carter"/>
        <s v="Reed"/>
        <s v="Stead"/>
        <s v="Lobb"/>
        <s v="Rosblom"/>
        <s v="Touma"/>
        <s v="Thorne"/>
        <s v="Cherry"/>
        <s v="Ward"/>
        <s v="Parrish"/>
        <s v="Taussig"/>
        <s v="Harrison"/>
        <s v="Henry"/>
        <s v="Reeves"/>
        <s v="Persson"/>
        <s v="Graham"/>
        <s v="Bissette"/>
        <s v="Cairns"/>
        <s v="Tornquist"/>
        <s v="Mellinger"/>
        <s v="Natsch"/>
        <s v="Healy"/>
        <s v="Andrews"/>
        <s v="Lindblom"/>
        <s v="Parkes"/>
        <s v="Abbott"/>
        <s v="Duane"/>
        <s v="Olsson"/>
        <s v="de Pelsmaeker"/>
        <s v="Dorking"/>
        <s v="Stankovic"/>
        <s v="de Mulder"/>
        <s v="Naidenoff"/>
        <s v="Hosono"/>
        <s v="Connolly"/>
        <s v="Barber"/>
        <s v="Bishop"/>
        <s v="Levy"/>
        <s v="Haas"/>
        <s v="Mineff"/>
        <s v="Lewy"/>
        <s v="Hanna"/>
        <s v="Allison"/>
        <s v="Saalfeld"/>
        <s v="Kelly"/>
        <s v="McCoy"/>
        <s v="Keane"/>
        <s v="Fleming"/>
        <s v="Penasco y Castellana"/>
        <s v="Abelson"/>
        <s v="Francatelli"/>
        <s v="Hays"/>
        <s v="Ryerson"/>
        <s v="Lahtinen"/>
        <s v="Hendekovic"/>
        <s v="Hart"/>
        <s v="Nilsson"/>
        <s v="Moraweck"/>
        <s v="Wick"/>
        <s v="Spedden"/>
        <s v="Dennis"/>
        <s v="Danoff"/>
        <s v="Slayter"/>
        <s v="Young"/>
        <s v="Nysveen"/>
        <s v="Ball"/>
        <s v="Hippach"/>
        <s v="Partner"/>
        <s v="Frauenthal"/>
        <s v="Denkoff"/>
        <s v="Burns"/>
        <s v="Dahl"/>
        <s v="Blackwell"/>
        <s v="Collander"/>
        <s v="Sedgwick"/>
        <s v="Fox"/>
        <s v="Davison"/>
        <s v="Coutts"/>
        <s v="Dimic"/>
        <s v="Odahl"/>
        <s v="Williams-Lambert"/>
        <s v="Elias"/>
        <s v="Yousif"/>
        <s v="Vanden Steen"/>
        <s v="Bowerman"/>
        <s v="Funk"/>
        <s v="McGovern"/>
        <s v="Mockler"/>
        <s v="del Carlo"/>
        <s v="Barbara"/>
        <s v="Asim"/>
        <s v="Adahl"/>
        <s v="Warren"/>
        <s v="Moussa"/>
        <s v="Jermyn"/>
        <s v="Aubart"/>
        <s v="Harder"/>
        <s v="Wiklund"/>
        <s v="Beavan"/>
        <s v="Ringhini"/>
        <s v="Landergren"/>
        <s v="Widener"/>
        <s v="Betros"/>
        <s v="Bidois"/>
        <s v="Nakid"/>
        <s v="Tikkanen"/>
        <s v="Plotcharsky"/>
        <s v="Davies"/>
        <s v="Buss"/>
        <s v="Sadlier"/>
        <s v="Lehmann"/>
        <s v="Jansson"/>
        <s v="McKane"/>
        <s v="Pain"/>
        <s v="Trout"/>
        <s v="Niskanen"/>
        <s v="Adams"/>
        <s v="Oreskovic"/>
        <s v="Gale"/>
        <s v="Widegren"/>
        <s v="Richards"/>
        <s v="Birkeland"/>
        <s v="Sdycoff"/>
        <s v="Cunningham"/>
        <s v="Sundman"/>
        <s v="Meek"/>
        <s v="Drew"/>
        <s v="Silven"/>
        <s v="Matthews"/>
        <s v="Van Impe"/>
        <s v="Gheorgheff"/>
        <s v="Charters"/>
        <s v="Zimmerman"/>
        <s v="Danbom"/>
        <s v="Wiseman"/>
        <s v="Clarke"/>
        <s v="Phillips"/>
        <s v="Flynn"/>
        <s v="Pickard"/>
        <s v="Bjornstrom-Steffansson"/>
        <s v="Thorneycroft"/>
        <s v="Louch"/>
        <s v="Kallio"/>
        <s v="Silvey"/>
        <s v="Kvillner"/>
        <s v="Hampe"/>
        <s v="Petterson"/>
        <s v="Reynaldo"/>
        <s v="Johannesen-Bratthammer"/>
        <s v="Dodge"/>
        <s v="Seward"/>
        <s v="Baclini"/>
        <s v="Peuchen"/>
        <s v="Hagland"/>
        <s v="Foreman"/>
        <s v="Goldenberg"/>
        <s v="Peduzzi"/>
        <s v="Jalsevac"/>
        <s v="Millet"/>
        <s v="Kenyon"/>
        <s v="Toomey"/>
        <s v="O'Connor"/>
        <s v="Anderson"/>
        <s v="Morley"/>
        <s v="Gee"/>
        <s v="Milling"/>
        <s v="Maisner"/>
        <s v="Goncalves"/>
        <s v="Campbell"/>
        <s v="Smart"/>
        <s v="Scanlan"/>
        <s v="Keefe"/>
        <s v="Cacic"/>
        <s v="Jerwan"/>
        <s v="Strandberg"/>
        <s v="Clifford"/>
        <s v="Renouf"/>
        <s v="Karlsson"/>
        <s v="Hirvonen"/>
        <s v="Frost"/>
        <s v="Rouse"/>
        <s v="Turkula"/>
        <s v="Kent"/>
        <s v="Somerton"/>
        <s v="Windelov"/>
        <s v="Molson"/>
        <s v="Artagaveytia"/>
        <s v="Stanley"/>
        <s v="Yousseff"/>
        <s v="Eustis"/>
        <s v="Shellard"/>
        <s v="Svensson"/>
        <s v="Canavan"/>
        <s v="O'Sullivan"/>
        <s v="Laitinen"/>
        <s v="Maioni"/>
        <s v="Quick"/>
        <s v="Bradley"/>
        <s v="Lang"/>
        <s v="Daly"/>
        <s v="McGough"/>
        <s v="Rothschild"/>
        <s v="Coleff"/>
        <s v="Walker"/>
        <s v="Lemore"/>
        <s v="Ryan"/>
        <s v="Angle"/>
        <s v="Pavlovic"/>
        <s v="Perreault"/>
        <s v="Vovk"/>
        <s v="Lahoud"/>
        <s v="Kassem"/>
        <s v="Farrell"/>
        <s v="Ridsdale"/>
        <s v="Farthing"/>
        <s v="Salonen"/>
        <s v="Hocking"/>
        <s v="Toufik"/>
        <s v="Butt"/>
        <s v="LeRoy"/>
        <s v="Risien"/>
        <s v="Frolicher"/>
        <s v="Crosby"/>
        <s v="Beane"/>
        <s v="Douglas"/>
        <s v="Nicholson"/>
        <s v="Padro y Manent"/>
        <s v="Thayer"/>
        <s v="Sharp"/>
        <s v="Leeni"/>
        <s v="Ohman"/>
        <s v="Wright"/>
        <s v="Duff Gordon"/>
        <s v="Robbins"/>
        <s v="de Messemaeker"/>
        <s v="Morrow"/>
        <s v="Sivic"/>
        <s v="Norman"/>
        <s v="Simmons"/>
        <s v="Meanwell"/>
        <s v="Stoytcheff"/>
        <s v="Doharr"/>
        <s v="Jonsson"/>
        <s v="Appleton"/>
        <s v="Rush"/>
        <s v="Patchett"/>
        <s v="Garside"/>
        <s v="Caram"/>
        <s v="Christy"/>
        <s v="Downton"/>
        <s v="Ross"/>
        <s v="Paulner"/>
        <s v="Jarvis"/>
        <s v="Frolicher-Stehli"/>
        <s v="Gilinski"/>
        <s v="Murdlin"/>
        <s v="Rintamaki"/>
        <s v="Stephenson"/>
        <s v="Elsbury"/>
        <s v="Chapman"/>
        <s v="Leitch"/>
        <s v="Slabenoff"/>
        <s v="Harrington"/>
        <s v="Torber"/>
        <s v="Homer"/>
        <s v="Lindell"/>
        <s v="Karaic"/>
        <s v="Daniel"/>
        <s v="Shutes"/>
        <s v="Jardin"/>
        <s v="Horgan"/>
        <s v="Brocklebank"/>
        <s v="Herman"/>
        <s v="Gavey"/>
        <s v="Yasbeck"/>
        <s v="Kimball"/>
        <s v="Hansen"/>
        <s v="Bowen"/>
        <s v="Sutton"/>
        <s v="Kirkland"/>
        <s v="Longley"/>
        <s v="Bostandyeff"/>
        <s v="O'Connell"/>
        <s v="Barkworth"/>
        <s v="Lundahl"/>
        <s v="Stahelin-Maeglin"/>
        <s v="Parr"/>
        <s v="Davis"/>
        <s v="Leinonen"/>
        <s v="Jensen"/>
        <s v="Sagesser"/>
        <s v="Foo"/>
        <s v="Cor"/>
        <s v="Simonius-Blumer"/>
        <s v="Willey"/>
        <s v="Mitkoff"/>
        <s v="Kalvik"/>
        <s v="O'Leary"/>
        <s v="Hegarty"/>
        <s v="Radeff"/>
        <s v="Eitemiller"/>
        <s v="Badt"/>
        <s v="Colley"/>
        <s v="Lindqvist"/>
        <s v="Butler"/>
        <s v="Rommetvedt"/>
        <s v="Cook"/>
        <s v="Taylor"/>
        <s v="Davidson"/>
        <s v="Mitchell"/>
        <s v="Wilhelms"/>
        <s v="Watson"/>
        <s v="Edvardsson"/>
        <s v="Sawyer"/>
        <s v="Turja"/>
        <s v="Cardeza"/>
        <s v="Peters"/>
        <s v="Hassab"/>
        <s v="Olsvigen"/>
        <s v="Dakic"/>
        <s v="Fischer"/>
        <s v="Madill"/>
        <s v="Dick"/>
        <s v="Karun"/>
        <s v="Lam"/>
        <s v="Saad"/>
        <s v="Weir"/>
        <s v="Mullens"/>
        <s v="Humblen"/>
        <s v="Astor"/>
        <s v="Silverthorne"/>
        <s v="Gallagher"/>
        <s v="Calderhead"/>
        <s v="Cleaver"/>
        <s v="Mayne"/>
        <s v="Klaber"/>
        <s v="Greenberg"/>
        <s v="Soholt"/>
        <s v="Endres"/>
        <s v="Troutt"/>
        <s v="McEvoy"/>
        <s v="Gillespie"/>
        <s v="Hodges"/>
        <s v="Chambers"/>
        <s v="Mannion"/>
        <s v="Bryhl"/>
        <s v="Ilmakangas"/>
        <s v="Hassan"/>
        <s v="Knight"/>
        <s v="Berriman"/>
        <s v="Troupiansky"/>
        <s v="Lesurer"/>
        <s v="Ivanoff"/>
        <s v="Nankoff"/>
        <s v="Hawksford"/>
        <s v="Cavendish"/>
        <s v="McNamee"/>
        <s v="Stranden"/>
        <s v="Sinkkonen"/>
        <s v="Marvin"/>
        <s v="Connaghton"/>
        <s v="Wells"/>
        <s v="Moor"/>
        <s v="Vande Velde"/>
        <s v="Jonkoff"/>
        <s v="Carlsson"/>
        <s v="Bailey"/>
        <s v="Theobald"/>
        <s v="Rothes"/>
        <s v="Garfirth"/>
        <s v="Nirva"/>
        <s v="Barah"/>
        <s v="Eklund"/>
        <s v="Hogeboom"/>
        <s v="Brewe"/>
        <s v="Mangan"/>
        <s v="Gronnestad"/>
        <s v="Lievens"/>
        <s v="Mack"/>
        <s v="Myhrman"/>
        <s v="Tobin"/>
        <s v="Emanuel"/>
        <s v="Kilgannon"/>
        <s v="Robert"/>
        <s v="Ayoub"/>
        <s v="Long"/>
        <s v="Johnston"/>
        <s v="Harmer"/>
        <s v="Sjoblom"/>
        <s v="Guggenheim"/>
        <s v="Gaskell"/>
        <s v="Dantcheff"/>
        <s v="Otter"/>
        <s v="Leader"/>
        <s v="Osman"/>
        <s v="Ibrahim Shawah"/>
        <s v="Ponesell"/>
        <s v="Thomas"/>
        <s v="Hedman"/>
        <s v="Pettersson"/>
        <s v="Alexander"/>
        <s v="Lester"/>
        <s v="Slemen"/>
        <s v="Tomlin"/>
        <s v="Fry"/>
        <s v="Heininen"/>
        <s v="Mallet"/>
        <s v="Holm"/>
        <s v="Lulic"/>
        <s v="Reuchlin"/>
        <s v="McCormack"/>
        <s v="Stone"/>
        <s v="Augustsson"/>
        <s v="Allum"/>
        <s v="Compton"/>
        <s v="Pasic"/>
        <s v="Sirota"/>
        <s v="Chip"/>
        <s v="Marechal"/>
        <s v="Alhomaki"/>
        <s v="Mudd"/>
        <s v="Serepeca"/>
        <s v="Lemberopolous"/>
        <s v="Culumovic"/>
        <s v="Abbing"/>
        <s v="Markoff"/>
        <s v="Lines"/>
        <s v="Aks"/>
        <s v="Razi"/>
        <s v="Giles"/>
        <s v="Swift"/>
        <s v="Gill"/>
        <s v="Bystrom"/>
        <s v="Duran y More"/>
        <s v="Roebling"/>
        <s v="van Melkebeke"/>
        <s v="Balkic"/>
        <s v="Vander Cruyssen"/>
        <s v="Najib"/>
        <s v="Laleff"/>
        <s v="Potter"/>
        <s v="Shelley"/>
        <s v="Markun"/>
        <s v="Dahlberg"/>
        <s v="Banfield"/>
        <s v="Sutehall"/>
        <s v="Montvila"/>
        <s v="Behr"/>
        <s v="Dooley"/>
      </sharedItems>
    </cacheField>
    <cacheField name="First_Name" numFmtId="0">
      <sharedItems count="799">
        <s v=" Owen Harris"/>
        <s v=" John Bradley (Florence Briggs Thayer)"/>
        <s v=" Laina"/>
        <s v=" Jacques Heath (Lily May Peel)"/>
        <s v=" William Henry"/>
        <s v=" James"/>
        <s v=" Timothy J"/>
        <s v=" Gosta Leonard"/>
        <s v=" Oscar W (Elisabeth Vilhelmina Berg)"/>
        <s v=" Nicholas (Adele Achem)"/>
        <s v=" Marguerite Rut"/>
        <s v=" Elizabeth"/>
        <s v=" Anders Johan"/>
        <s v=" Hulda Amanda Adolfina"/>
        <s v=" (Mary D Kingcome) "/>
        <s v=" Eugene"/>
        <s v=" Charles Eugene"/>
        <s v=" Julius (Emelia Maria Vandemoortele)"/>
        <s v=" Fatima"/>
        <s v=" Joseph J"/>
        <s v=" Lawrence"/>
        <s v=" Anna &quot;Annie&quot;"/>
        <s v=" William Thompson"/>
        <s v=" Torborg Danira"/>
        <s v=" Carl Oscar (Selma Augusta Emilia Johansson)"/>
        <s v=" Farred Chehab"/>
        <s v=" Charles Alexander"/>
        <s v=" Ellen &quot;Nellie&quot;"/>
        <s v=" Lalio"/>
        <s v=" Manuel E"/>
        <s v=" William Augustus (Marie Eugenie)"/>
        <s v=" Mary Agatha"/>
        <s v=" Edward H"/>
        <s v=" Edgar Joseph"/>
        <s v=" Alexander Oskar"/>
        <s v=" Hanna"/>
        <s v=" Ernest Charles"/>
        <s v=" Augusta Maria"/>
        <s v=" Jamila"/>
        <s v=" Johan (Johanna Persdotter Larsson)"/>
        <s v=" William John Robert (Dorothy Ann Wonnacott)"/>
        <s v=" Theodor"/>
        <s v=" Simonne Marie Anne Andree"/>
        <s v=" Margaret Delia"/>
        <s v=" William John"/>
        <s v=" Denis"/>
        <s v=" Bridget"/>
        <s v=" Youssef"/>
        <s v=" Josef (Josefine Franchi)"/>
        <s v=" Juha Niilo"/>
        <s v=" Richard Cater"/>
        <s v=" Henry Sleeper (Myna Haxtun)"/>
        <s v=" Lizzie (Elizabeth Anne Wilkinson)"/>
        <s v=" Engelhart Cornelius"/>
        <s v=" Hugh"/>
        <s v=" Emily"/>
        <s v=" Mansouer"/>
        <s v=" Constance Mirium"/>
        <s v=" William Frederick"/>
        <s v=" Orsen"/>
        <s v=" Amelie"/>
        <s v=" Henry Birkhardt"/>
        <s v=" Harald"/>
        <s v=" Albert A"/>
        <s v=" Gerios"/>
        <s v=" (Elizabeth Ramell)"/>
        <s v=" Ernest James"/>
        <s v=" Erna Alexandra"/>
        <s v=" Vincenz"/>
        <s v=" Stephen Curnow"/>
        <s v=" Lillian Amy"/>
        <s v=" Ambrose Jr"/>
        <s v=" Apostolos"/>
        <s v=" Lee"/>
        <s v=" Sigurd Hansen"/>
        <s v=" Ivan"/>
        <s v=" Rahamin Haim"/>
        <s v=" Alden Gates"/>
        <s v=" Achille"/>
        <s v=" Jan Baptist"/>
        <s v=" Brigdet Delia"/>
        <s v=" Francisco M"/>
        <s v=" Bertha"/>
        <s v=" Karl Alfred (Maria Mathilda Gustafsson)"/>
        <s v=" William Neal"/>
        <s v=" Selman Francis"/>
        <s v=" Mabel Helen"/>
        <s v=" Francesco"/>
        <s v=" Emil"/>
        <s v=" Paul Edvin"/>
        <s v=" Herbert Fuller"/>
        <s v=" Bertram Frank"/>
        <s v=" Daniel"/>
        <s v=" Charles Joseph"/>
        <s v=" George B"/>
        <s v=" William Bertram"/>
        <s v=" John T (Ada Julia Bone)"/>
        <s v=" Sinai"/>
        <s v=" Matilda"/>
        <s v=" Pastcho (&quot;Pentcho&quot;)"/>
        <s v=" Richard Frasar"/>
        <s v=" Gustaf Joel"/>
        <s v=" Anders Vilhelm"/>
        <s v=" Stoytcho"/>
        <s v=" Anna Kristine"/>
        <s v=" Albert Johan"/>
        <s v=" Tido"/>
        <s v=" Walter Chamberlain"/>
        <s v=" Hileni"/>
        <s v=" David John"/>
        <s v=" Katriina"/>
        <s v=" Malake"/>
        <s v=" Edvard"/>
        <s v=" Patrick"/>
        <s v=" William John Robert"/>
        <s v=" Quigg Edmond"/>
        <s v=" Ellis Anna Maria"/>
        <s v=" Stanley George"/>
        <s v=" Leonard Charles"/>
        <s v=" Nicholas"/>
        <s v=" Susan"/>
        <s v=" Percival Wayland"/>
        <s v=" Elias"/>
        <s v=" Martin"/>
        <s v=" Fridtjof Arne"/>
        <s v=" Anna"/>
        <s v=" Johan"/>
        <s v=" Jozef"/>
        <s v=" Domingos Fernandeo"/>
        <s v=" Alexander A (Grace Charity Laury)"/>
        <s v=" Leopold (Mathilde Francoise Pede)"/>
        <s v=" Samuel James Hayden"/>
        <s v=" Emile"/>
        <s v=" Helen Monypeny"/>
        <s v=" Jacques Heath"/>
        <s v=" Olaf Elon"/>
        <s v=" Victor"/>
        <s v=" Joseph (Sultana)"/>
        <s v=" Anna Sofia"/>
        <s v=" Pekka Pietari (Elin Matilda Dolck)"/>
        <s v=" Jeremiah"/>
        <s v=" Edgardo Samuel"/>
        <s v=" Joseph Charles"/>
        <s v=" August Edvard (&quot;Wennerstrom&quot;)"/>
        <s v=" Robina Maggie &quot;Ruby&quot;"/>
        <s v=" Michel (&quot;Louis M Hoffman&quot;)"/>
        <s v=" Thomas Roussel Davids"/>
        <s v=" Robert James"/>
        <s v=" Thomas (Edith Wearne)"/>
        <s v=" Alfonzo"/>
        <s v=" Austin Blyler"/>
        <s v=" Ole Martin"/>
        <s v=" Charles Duane"/>
        <s v=" Katherine &quot;Katie&quot;"/>
        <s v=" Harry"/>
        <s v=" Mile"/>
        <s v=" Thomas Henry"/>
        <s v=" John Hatfield"/>
        <s v=" James (Elizabeth &quot;Bessie&quot; Inglis Milne)"/>
        <s v=" John Viktor"/>
        <s v=" Jovo"/>
        <s v=" Eino Viljami"/>
        <s v=" Frank John William &quot;Frankie&quot;"/>
        <s v=" (Edith Martha Bowerman)"/>
        <s v=" William (Anna Bernhardina Karlsson)"/>
        <s v=" John D"/>
        <s v=" Wyckoff"/>
        <s v=" Arthur"/>
        <s v=" Eleanor Ileen"/>
        <s v=" Antti Wilhelm"/>
        <s v=" James Clinch"/>
        <s v=" Klas Albin"/>
        <s v=" Henry Forbes"/>
        <s v=" Ann Elizabeth"/>
        <s v=" Reginald"/>
        <s v=" Lionel"/>
        <s v=" Constance Gladys"/>
        <s v=" Rene"/>
        <s v=" Clarence Gustaf Hugo"/>
        <s v=" Richard F"/>
        <s v=" Luise Gretchen"/>
        <s v=" Hugh Roscoe"/>
        <s v=" Thomas (Johanna &quot;Hannah&quot; Godfrey)"/>
        <s v=" Charles Hallace (&quot;Mr C Rolmane&quot;)"/>
        <s v=" John"/>
        <s v=" Stjepan"/>
        <s v=" (Rosa)"/>
        <s v=" William"/>
        <s v=" Carla Christine Nielsine"/>
        <s v=" Michel M"/>
        <s v=" James Joseph (Margaret Tobin)"/>
        <s v=" Elise"/>
        <s v=" Robert"/>
        <s v=" Karl Siegwart Andreas"/>
        <s v=" Margaret &quot;Maggie&quot;"/>
        <s v=" Henriette (&quot;Mrs Harbeck&quot;)"/>
        <s v=" Nestor Cyriel"/>
        <s v=" Frederick"/>
        <s v=" Jakob Alfred"/>
        <s v=" Gerious"/>
        <s v=" Gurshon &quot;Gus&quot;"/>
        <s v=" Telma Matilda"/>
        <s v=" Karl Alfred"/>
        <s v=" Nassef Cassem"/>
        <s v=" Helen &quot;Ellen&quot;"/>
        <s v=" Henry"/>
        <s v=" Ahmed"/>
        <s v=" Clear Annie"/>
        <s v=" John Henry"/>
        <s v=" Hans Kristensen"/>
        <s v=" Philip"/>
        <s v=" Madeleine"/>
        <s v=" Eliina"/>
        <s v=" Sidney Samuel"/>
        <s v=" Albina"/>
        <s v=" Walter"/>
        <s v=" Victor Francis"/>
        <s v=" James H"/>
        <s v=" George Henry"/>
        <s v=" Christo"/>
        <s v=" Frederick Maxfield"/>
        <s v=" Karl Ivar Sven"/>
        <s v=" John Hall (&quot;Henry&quot;)"/>
        <s v=" Arne Jonas"/>
        <s v=" Mathilde"/>
        <s v=" Henry Birkhardt (Irene Wallach)"/>
        <s v=" Bengt Edvin"/>
        <s v=" Ernst Adolf"/>
        <s v=" Lillian Gertrud"/>
        <s v=" Robert William Norman"/>
        <s v=" Alice Phoebe"/>
        <s v=" Stephen"/>
        <s v=" Marjorie &quot;Lottie&quot;"/>
        <s v=" Frederick William"/>
        <s v=" Thamine"/>
        <s v=" Katherine &quot;Kate&quot;"/>
        <s v=" Reginald Charles"/>
        <s v=" Matti Alexanteri"/>
        <s v=" Sleiman"/>
        <s v=" William Edward"/>
        <s v=" Agda Thorilda Viktoria"/>
        <s v=" William (Anna)"/>
        <s v=" Richard Leonard"/>
        <s v=" Ernest Courtenay"/>
        <s v=" James George"/>
        <s v=" Wilhelm (Elna Matilda Persson)"/>
        <s v=" William Thomas"/>
        <s v=" William Arthur"/>
        <s v=" Viktor (Helena Wilhelmina)"/>
        <s v=" Darwis (Hanne Youssef Razi)"/>
        <s v=" Gertrude Maybelle"/>
        <s v=" Gladys"/>
        <s v=" (Lutie Davis)"/>
        <s v=" Thomas"/>
        <s v=" Edvin Rojj Felix"/>
        <s v=" Delia"/>
        <s v=" David"/>
        <s v=" Ernesti Arvid"/>
        <s v=" Ernst Ulrik"/>
        <s v=" William Thompson (Edith Junkins)"/>
        <s v=" Amelia"/>
        <s v=" Alexander"/>
        <s v=" (Elizabeth Anne Maidment)"/>
        <s v=" Charles H"/>
        <s v=" Hanora &quot;Nora&quot;"/>
        <s v=" Kornelia Theodosia"/>
        <s v=" Augusta Charlotta"/>
        <s v=" Francis &quot;Frank&quot;"/>
        <s v=" Eric"/>
        <s v=" Stanton (Rosa Hunt)"/>
        <s v=" Frank"/>
        <s v=" Nils Johan Goransson"/>
        <s v=" Alfons"/>
        <s v=" Edward Arthur"/>
        <s v=" Richard William"/>
        <s v=" Theodore"/>
        <s v=" Penko"/>
        <s v=" Masabumi"/>
        <s v=" Kate"/>
        <s v=" Dickinson H (Helen Walton)"/>
        <s v=" Rene Jacques"/>
        <s v=" Aloisia"/>
        <s v=" Ervin G"/>
        <s v=" Mansour"/>
        <s v=" Helen Loraine"/>
        <s v=" Adolphe"/>
        <s v=" James (Helene DeLaudeniere Chaput)"/>
        <s v=" Anna Katherine &quot;Annie Kate&quot;"/>
        <s v=" Bernard"/>
        <s v=" William Cahoone Jr"/>
        <s v=" Nora A"/>
        <s v=" Howard Hugh &quot;Harry&quot;"/>
        <s v=" Hudson Trevor"/>
        <s v=" Margaret"/>
        <s v=" Victor de Satode (Maria Josefa Perez de Soto y Vallejo)"/>
        <s v=" Samuel"/>
        <s v=" Laura Mabel"/>
        <s v=" Margaret Bechstein"/>
        <s v=" Emily Borie"/>
        <s v=" William (Anna Sylfven)"/>
        <s v=" Ignjac"/>
        <s v=" Benjamin"/>
        <s v=" Helmina Josefina"/>
        <s v=" Sinai (Miriam Sternin)"/>
        <s v=" Ernest"/>
        <s v=" Mary Natalie"/>
        <s v=" Frederic Oakley (Margaretta Corning Stone)"/>
        <s v=" Yoto"/>
        <s v=" Hilda Mary"/>
        <s v=" Albert Francis (Sylvia Mae Harbaugh)"/>
        <s v=" George John Jr"/>
        <s v=" Marie Grice"/>
        <s v=" Johan Hansen"/>
        <s v=" (Ada E Hall)"/>
        <s v=" Frank John (Emily Alice Brown)"/>
        <s v=" Jean Gertrude"/>
        <s v=" Agnes"/>
        <s v=" Austen"/>
        <s v=" George Edward"/>
        <s v=" Leo Edmondus"/>
        <s v=" Henry William (Clara Heinsheimer)"/>
        <s v=" Mitto"/>
        <s v=" Thomas Clinton"/>
        <s v=" Elizabeth Margaret"/>
        <s v=" Karl Edwart"/>
        <s v=" Stephen Weart"/>
        <s v=" Edmond Roger"/>
        <s v=" Alice Elizabeth"/>
        <s v=" Erik Gustaf"/>
        <s v=" Charles Frederick Waddington"/>
        <s v=" Stanley Hubert"/>
        <s v=" Amelia &quot;Mildred&quot;"/>
        <s v=" Marion Elsie"/>
        <s v=" Thomas Henry (Mary E Finck)"/>
        <s v=" William Loch &quot;William&quot;"/>
        <s v=" Jovan"/>
        <s v=" Nils Martin"/>
        <s v=" Fletcher Fellows"/>
        <s v=" Tannous"/>
        <s v=" Josef"/>
        <s v=" Wazli"/>
        <s v=" Leo Peter"/>
        <s v=" Elsie Edith"/>
        <s v=" Annie Clemmer"/>
        <s v=" Mary"/>
        <s v=" Helen Mary &quot;Ellie&quot;"/>
        <s v=" Wilhelm"/>
        <s v=" Sebastiano"/>
        <s v=" (Catherine David)"/>
        <s v=" Adola"/>
        <s v=" Mauritz Nils Martin"/>
        <s v=" Frank Manley (Anna Sophia Atkinson)"/>
        <s v=" (Mantoura Boulos)"/>
        <s v=" Annie"/>
        <s v=" Leontine Pauline"/>
        <s v=" George Achilles"/>
        <s v=" Sante"/>
        <s v=" Stina Viola"/>
        <s v=" Edgar Joseph (Leila Saks)"/>
        <s v=" Aurora Adelia"/>
        <s v=" Harry Elkins"/>
        <s v=" Karl Gideon"/>
        <s v=" Rosalie"/>
        <s v=" Maria (&quot;Mary&quot;)"/>
        <s v=" Juho"/>
        <s v=" Alexander Oskar (Mary Aline Towner)"/>
        <s v=" Vasil"/>
        <s v=" Charles Henry"/>
        <s v=" Sidney Leonard"/>
        <s v=" Matthew"/>
        <s v=" William Ernest"/>
        <s v=" Carl Olof"/>
        <s v=" Johan Birger"/>
        <s v=" Marjorie"/>
        <s v=" Hjalmar (Agnes Charlotta Bengtsson)"/>
        <s v=" Erik"/>
        <s v=" Elina"/>
        <s v=" Peter David"/>
        <s v=" Alfred"/>
        <s v=" William H (Jessie L)"/>
        <s v=" Juha"/>
        <s v=" Mari Aina"/>
        <s v=" Pekka Pietari"/>
        <s v=" Marija"/>
        <s v=" Shadrach"/>
        <s v=" Carl/Charles Peter"/>
        <s v=" William Rowe"/>
        <s v=" Hans Martin Monsen"/>
        <s v=" Ida"/>
        <s v=" Todor"/>
        <s v=" Daisy E"/>
        <s v=" Alfred Fleming"/>
        <s v=" Johan Julian"/>
        <s v=" Thomas (Annie Louise Rowley)"/>
        <s v=" James Vivian (Lulu Thorne Christian)"/>
        <s v=" Lyyli Karoliina"/>
        <s v=" Catharina"/>
        <s v=" Stanio"/>
        <s v=" Leo"/>
        <s v=" Ernst Gilbert (Anna Sigrid Maria Brogren)"/>
        <s v=" Viktor Richard"/>
        <s v=" Phillippe"/>
        <s v=" Charles V (Ada Maria Winfield)"/>
        <s v=" Kate Florence (&quot;Mrs Kate Louise Phillips Marshall&quot;)"/>
        <s v=" Berk (Berk Trembisky)"/>
        <s v=" Mauritz Hakan"/>
        <s v=" Percival (Florence Kate White)"/>
        <s v=" Charles Alexander (Alice Adelaide Slow)"/>
        <s v=" Nikolai Erland"/>
        <s v=" William Baird"/>
        <s v=" Lucile Polk"/>
        <s v=" Doolina Margaret &quot;Daisy&quot;"/>
        <s v=" Sidney (Emily Hocking)"/>
        <s v=" Mark"/>
        <s v=" Johan Henrik Johannesson"/>
        <s v=" Benjamin (Esther Ada Bloomfield)"/>
        <s v=" Leon"/>
        <s v=" Johan Emil"/>
        <s v=" Encarnacion"/>
        <s v=" Bernt"/>
        <s v=" Washington"/>
        <s v=" Madeleine Violet"/>
        <s v=" Frederic Kimber"/>
        <s v=" Marie Catherine"/>
        <s v=" Arthur Godfrey"/>
        <s v=" Edwy Arthur"/>
        <s v=" Ingvald Olai Olsen"/>
        <s v=" Benjamin Laventall"/>
        <s v=" Samuel L"/>
        <s v=" Joseph"/>
        <s v=" Francis Davis"/>
        <s v=" Frederick R (Marion)"/>
        <s v=" Ellen"/>
        <s v=" Maurice"/>
        <s v=" Arthur H"/>
        <s v=" Jacob Christian"/>
        <s v=" Simon"/>
        <s v=" Manuel Estanslas"/>
        <s v=" John Montgomery"/>
        <s v=" Helene Barbara"/>
        <s v=" Luka"/>
        <s v=" Edwy Arthur (Ada Mary Worth)"/>
        <s v=" Amin S (Marie Marthe Thuillard)"/>
        <s v=" Ida Sofia"/>
        <s v=" George Quincy"/>
        <s v=" Peter Henry"/>
        <s v=" Lewis Richard"/>
        <s v=" Nils August"/>
        <s v=" Hildur E"/>
        <s v=" Harold Victor"/>
        <s v=" Anthony Wood &quot;Archie&quot;"/>
        <s v=" Richard Henry"/>
        <s v=" (Hedwig)"/>
        <s v=" Dickinson H"/>
        <s v=" Jeannie"/>
        <s v=" Frederick Maxfield (Jane Anne Forby)"/>
        <s v=" Edward Austin"/>
        <s v=" Francis William"/>
        <s v=" Eden Leslie &quot;Neville&quot;"/>
        <s v=" Konrad Mathias Reiersen"/>
        <s v=" Einar"/>
        <s v=" Harry Markland"/>
        <s v=" Ramon"/>
        <s v=" Edward Roland"/>
        <s v=" Elizabeth Mussey"/>
        <s v=" Hudson J C (Bessie Waldo Daniels)"/>
        <s v=" Olof"/>
        <s v=" Petar"/>
        <s v=" Bridget Mary"/>
        <s v=" Kristina Sofia"/>
        <s v=" Roberta"/>
        <s v=" Victor de Satode"/>
        <s v=" Frederick Charles (Jane Richards)"/>
        <s v=" George (&quot;George Arthur Brayton&quot;)"/>
        <s v=" Henry Margido"/>
        <s v=" Fang"/>
        <s v=" Eugene Patrick"/>
        <s v=" James Robert"/>
        <s v=" Martin (Elizabeth L"/>
        <s v=" Satio"/>
        <s v=" William Anderson"/>
        <s v=" (Amelia Milley)"/>
        <s v=" William A (Florence &quot;Mary&quot; Agnes Hughes)"/>
        <s v=" Stefo"/>
        <s v=" Anne"/>
        <s v=" Janko"/>
        <s v=" Sarkis"/>
        <s v=" Louis Albert (Ida Sophia Fischer)"/>
        <s v=" Fared"/>
        <s v=" Lucy"/>
        <s v=" Johan Werner"/>
        <s v=" Richard George"/>
        <s v=" Phyllis May"/>
        <s v=" Nakli"/>
        <s v=" Joseph Jr"/>
        <s v=" Catherine (Catherine Rizk)"/>
        <s v=" Eva Miriam"/>
        <s v=" Archibald Willingham"/>
        <s v=" Samuel Beard"/>
        <s v=" Hedwig Margaritha"/>
        <s v=" Harriet R"/>
        <s v=" Ingeborg Constanzia"/>
        <s v=" Sigrid Elisabeth"/>
        <s v=" Edward"/>
        <s v=" Walter Donald"/>
        <s v=" Arthur Ernest"/>
        <s v=" Edward (Ethel Clarke)"/>
        <s v=" Julian"/>
        <s v=" Frank John"/>
        <s v=" John Morgan Jr"/>
        <s v=" John Borland Jr"/>
        <s v=" Percival James R"/>
        <s v=" Timothy"/>
        <s v=" Fahim (&quot;Philip Zenni&quot;)"/>
        <s v=" Velin"/>
        <s v=" George"/>
        <s v=" (Lucille Christiana Sutherland) (&quot;Mrs Morgan&quot;)"/>
        <s v=" Emil (Tillie Mandelbaum)"/>
        <s v=" Guillaume Joseph (Emma)"/>
        <s v=" Thomas Rowan"/>
        <s v=" Husein"/>
        <s v=" Robert Douglas"/>
        <s v=" (Marion Ogden)"/>
        <s v=" Alfred J"/>
        <s v=" Ilia"/>
        <s v=" Nils (Alma Cornelia Berglund)"/>
        <s v=" Carl"/>
        <s v=" Edward Dale (Charlotte Lamson)"/>
        <s v=" John Irwin (&quot;Irving&quot;)"/>
        <s v=" Alfred George John"/>
        <s v=" Ethel"/>
        <s v=" William Baird (Alice Munger)"/>
        <s v=" Joseph (Maria Elias)"/>
        <s v=" Eiriik"/>
        <s v=" Julie Rachel"/>
        <s v=" John Borland (Marian Longstreth Morris)"/>
        <s v=" William James"/>
        <s v=" John Hugo"/>
        <s v=" Uscher"/>
        <s v=" Ruth"/>
        <s v=" John Denzil"/>
        <s v=" Maxmillian"/>
        <s v=" Eliezer"/>
        <s v=" Matti"/>
        <s v=" Walter Bertram (Martha Eustis)"/>
        <s v=" Jean Baptiste"/>
        <s v=" Jessie Wills"/>
        <s v=" Cosmo Edmund (&quot;Mr Morgan&quot;)"/>
        <s v=" Sidney Samuel (Amy Frances Christy)"/>
        <s v=" Petco"/>
        <s v=" Ernst William"/>
        <s v=" Harry (&quot;Mr E Haven&quot;)"/>
        <s v=" Edvard Bengtsson"/>
        <s v=" Milan"/>
        <s v=" Robert Williams"/>
        <s v=" Joseph (Juliette Marie Louise Lafargue)"/>
        <s v=" Elizabeth W"/>
        <s v=" Anders Johan (Alfrida Konstantia Brogren)"/>
        <s v=" Jose Neto"/>
        <s v=" Margaret Jane"/>
        <s v=" William Alfred"/>
        <s v=" Alice"/>
        <s v=" Ernst Gilbert"/>
        <s v=" William Arthur (Cordelia K Stanlick)"/>
        <s v=" Marion Louise"/>
        <s v=" Antoni"/>
        <s v=" Edwin Nelson Jr"/>
        <s v=" Sahid"/>
        <s v=" Henry Damsgaard"/>
        <s v=" David John &quot;Dai&quot;"/>
        <s v=" Charles Leonard"/>
        <s v=" Gretchen Fiske"/>
        <s v=" Guentcho"/>
        <s v=" Patrick D"/>
        <s v=" Algernon Henry Wilson"/>
        <s v=" Johan Svensson"/>
        <s v=" Max"/>
        <s v=" William Henry Marsh"/>
        <s v=" Mabel"/>
        <s v=" Antti Gustaf"/>
        <s v=" Harvey"/>
        <s v=" Juha (Maria Emilia Ojala)"/>
        <s v=" Percival"/>
        <s v=" Hans Peder"/>
        <s v=" Emma"/>
        <s v=" Margit Elizabeth"/>
        <s v=" Choong"/>
        <s v=" Eugenie"/>
        <s v=" Henry Sleeper"/>
        <s v=" Liudevit"/>
        <s v=" Oberst Alfons"/>
        <s v=" Amy Zillah Elsie"/>
        <s v=" Mito"/>
        <s v=" Elsie"/>
        <s v=" Johannes Halvorsen"/>
        <s v=" Hanora &quot;Norah&quot;"/>
        <s v=" Leonard Mark"/>
        <s v=" John (Catherine)"/>
        <s v=" George Floyd"/>
        <s v=" Arthur Webster"/>
        <s v=" Henry William"/>
        <s v=" Mohamed"/>
        <s v=" Edward Pomeroy"/>
        <s v=" Peju"/>
        <s v=" Eino William"/>
        <s v=" Lewis"/>
        <s v=" Reginald Fenton"/>
        <s v=" Knud Paust"/>
        <s v=" Jacob"/>
        <s v=" Elmer Zebley (Juliet Cummins Wright)"/>
        <s v=" Thomas William Solomon (Elizabeth Catherine Ford)"/>
        <s v=" Thornton"/>
        <s v=" Henry Michael"/>
        <s v=" Charles"/>
        <s v=" Ennis Hastings"/>
        <s v=" Gustaf Hjalmar"/>
        <s v=" Frederick Charles"/>
        <s v=" Frederick (Augusta Tyler)"/>
        <s v=" Thomas Drake Martinez"/>
        <s v=" Katie"/>
        <s v=" Hammad"/>
        <s v=" Thor Anderson"/>
        <s v=" Charles Edward"/>
        <s v=" Thomas William Solomon"/>
        <s v=" Joseph Philippe Lemercier"/>
        <s v=" Jaako Arnold"/>
        <s v=" Branko"/>
        <s v=" Eberhard Thelander"/>
        <s v=" Georgette Alexandra"/>
        <s v=" Albert Adrian"/>
        <s v=" Manca"/>
        <s v=" Ali"/>
        <s v=" Khalil"/>
        <s v=" John Borland"/>
        <s v=" Adolf Mathias Nicolai Olsen"/>
        <s v=" John Jacob (Madeleine Talmadge Force)"/>
        <s v=" Spencer Victor"/>
        <s v=" Saiide"/>
        <s v=" Henrik Juul"/>
        <s v=" Henry Samuel (&quot;Mr Henry Marshall&quot;)"/>
        <s v=" Florence &quot;Fannie&quot;"/>
        <s v=" Edward Pennington"/>
        <s v=" Halim Gonios (&quot;William George&quot;)"/>
        <s v=" Berthe Antonine (&quot;Mrs de Villiers&quot;)"/>
        <s v=" Herman"/>
        <s v=" Elmer Zebley"/>
        <s v=" August Viktor"/>
        <s v=" Peter Andreas Lauritz Andersen"/>
        <s v=" Caroline Louise"/>
        <s v=" Edwina Celia &quot;Winnie&quot;"/>
        <s v=" Michael"/>
        <s v=" Malkolm Joackim"/>
        <s v=" Annie Jessie &quot;Nina&quot;"/>
        <s v=" Svend Lauritz"/>
        <s v=" Henry Price"/>
        <s v=" Norman Campbell"/>
        <s v=" Peter Henry (Lillian Jefferys)"/>
        <s v=" Margareth"/>
        <s v=" Kurt Arnold Gottfrid"/>
        <s v=" Pieta Sofia"/>
        <s v=" Elisabeth Walton"/>
        <s v=" Houssein G N"/>
        <s v=" Robert J"/>
        <s v=" Moses Aaron"/>
        <s v=" Leslie"/>
        <s v=" Edward (Margaret Ann Watson)"/>
        <s v=" Gustave J"/>
        <s v=" Kanio"/>
        <s v=" Minko"/>
        <s v=" Walter James"/>
        <s v=" Tyrell William"/>
        <s v=" Susan Parker &quot;Suzette&quot;"/>
        <s v=" Neal"/>
        <s v=" Edward Gifford"/>
        <s v=" Rossmore Edward"/>
        <s v=" Daniel Warner"/>
        <s v=" Joan"/>
        <s v=" Meier"/>
        <s v=" Johannes Joseph"/>
        <s v=" Samuel (Jane Laver)"/>
        <s v=" Viljo"/>
        <s v=" August Sigfrid"/>
        <s v=" Percy Andrew"/>
        <s v=" Thomas Leonard"/>
        <s v=" of (Lucy Noel Martha Dyer-Edwards)"/>
        <s v=" Iisakki Antino Aijo"/>
        <s v=" Hanna Assi"/>
        <s v=" William Ernest (Lucile Polk)"/>
        <s v=" Hans Linus"/>
        <s v=" John C (Anna Andrews)"/>
        <s v=" Arthur Jackson"/>
        <s v=" Daniel J"/>
        <s v=" Daniel Danielsen"/>
        <s v=" Rene Aime"/>
        <s v=" Niels Peder"/>
        <s v=" (Mary)"/>
        <s v=" Dibo"/>
        <s v=" Elizabeth (Eliza Needs)"/>
        <s v=" Pehr Fabian Oliver Malkolm"/>
        <s v=" Roger"/>
        <s v=" Virginia Ethel"/>
        <s v=" Thomas J"/>
        <s v=" Edward Scott (Elisabeth Walton McMillan)"/>
        <s v=" Banoura"/>
        <s v=" Albert Adrian (Vera Gillespie)"/>
        <s v=" Milton Clyde"/>
        <s v=" Andrew G"/>
        <s v=" Abraham (David Lishin)"/>
        <s v=" George Hugh"/>
        <s v=" Bertram Vere"/>
        <s v=" Andrew &quot;Andy&quot;"/>
        <s v=" Stella Anna"/>
        <s v=" William Fisher"/>
        <s v=" Ristiu"/>
        <s v=" Richard"/>
        <s v=" Alice (Farnham)"/>
        <s v=" Mara"/>
        <s v=" Yousseff"/>
        <s v=" Jean Baptiste (Rosalie Paula Govaert)"/>
        <s v=" Harvey (Charlotte Annie Tate)"/>
        <s v=" William Thornton II"/>
        <s v=" Assad Alexander"/>
        <s v=" Oskar Arvid"/>
        <s v=" Karl Johan"/>
        <s v=" Thomas Jr"/>
        <s v=" Ellen Natalia"/>
        <s v=" August"/>
        <s v=" Norman Campbell (Bertha Griggs)"/>
        <s v=" Richard James"/>
        <s v=" Ebba Iris Alfrida"/>
        <s v=" Ernest Portage"/>
        <s v=" Wendla Maria"/>
        <s v=" Albert"/>
        <s v=" John Fredrik Alexander"/>
        <s v=" Karl Thorsten"/>
        <s v=" Charles Melville (Clara Jennings Gregg)"/>
        <s v=" Nikola"/>
        <s v=" John George"/>
        <s v=" (Beila)"/>
        <s v=" Urho Abraham"/>
        <s v=" Len"/>
        <s v=" Andre"/>
        <s v=" Thomas Joseph"/>
        <s v=" George Nelson (Martha Evelyn)"/>
        <s v=" Antoni (Selini Alexander)"/>
        <s v=" George Sibley"/>
        <s v=" Amin"/>
        <s v=" Owen George"/>
        <s v=" Sara Rebecca"/>
        <s v=" Jakob"/>
        <s v=" Chang"/>
        <s v=" Pierre"/>
        <s v=" Ilmari Rudolf"/>
        <s v=" Thomas Charles"/>
        <s v=" Augusta"/>
        <s v=" Peter L"/>
        <s v=" Jeso"/>
        <s v=" Anthony"/>
        <s v=" Douglas Bullen"/>
        <s v=" Marin"/>
        <s v=" Samuel L (Edwiga Grabowska)"/>
        <s v=" Sigvard Harald Elias"/>
        <s v=" Nourelain"/>
        <s v=" Mary Conover"/>
        <s v=" Ernest Courtenay (Lilian Hughes)"/>
        <s v=" Sam (Leah Rosen)"/>
        <s v=" George Dennick (Mary Hitchcock)"/>
        <s v=" Peter Denis "/>
        <s v=" Solomon (Latifa Qurban)"/>
        <s v=" Raihed"/>
        <s v=" Claus Peter"/>
        <s v=" Frederick Edward"/>
        <s v=" Frederick Joel (Margaret Welles Barron)"/>
        <s v=" Dorothy Edith &quot;Dolly&quot;"/>
        <s v=" John William"/>
        <s v=" (Karolina)"/>
        <s v=" Asuncion"/>
        <s v=" Washington Augustus II"/>
        <s v=" Philemon"/>
        <s v=" Harold Theodor"/>
        <s v=" Cerin"/>
        <s v=" Richard Leonard (Sallie Monypeny)"/>
        <s v=" Frans Olof"/>
        <s v=" Samuel (Hannah Wizosky)"/>
        <s v=" Adele Kiamie &quot;Jane&quot;"/>
        <s v=" Alfred Ossian"/>
        <s v=" Nedelio"/>
        <s v=" Kristo"/>
        <s v=" Thomas Jr (Lily Alexenia Wilson)"/>
        <s v=" William (Imanita Parrish Hall)"/>
        <s v=" Johann"/>
        <s v=" Gerda Ulrika"/>
        <s v=" Frederick James"/>
        <s v=" Henry Jr"/>
        <s v=" William (Margaret Norton)"/>
        <s v=" Juozas"/>
        <s v=" Margaret Edith"/>
        <s v=" Catherine Helen &quot;Carrie&quot;"/>
        <s v=" Karl Howell"/>
      </sharedItems>
    </cacheField>
    <cacheField name="Title" numFmtId="0">
      <sharedItems count="17">
        <s v="Mr"/>
        <s v="Mrs"/>
        <s v="Miss"/>
        <s v="Master"/>
        <s v="Don"/>
        <s v="Rev"/>
        <s v="Dr"/>
        <s v="Mme"/>
        <s v="Ms"/>
        <s v="Major"/>
        <s v="Lady"/>
        <s v="Sir"/>
        <s v="Mlle"/>
        <s v="Col"/>
        <s v="Capt"/>
        <s v="the Countess"/>
        <s v="Jonkheer"/>
      </sharedItems>
    </cacheField>
    <cacheField name="Gender" numFmtId="0">
      <sharedItems count="3">
        <s v="Male"/>
        <s v="Female"/>
        <s v="Unknown"/>
      </sharedItems>
    </cacheField>
    <cacheField name="Age" numFmtId="0">
      <sharedItems containsNumber="1" containsMixedTypes="1" count="89">
        <n v="22"/>
        <n v="38"/>
        <n v="26"/>
        <n v="35"/>
        <s v="Unknown"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0.83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1"/>
        <n v="61"/>
        <n v="56"/>
        <n v="50"/>
        <n v="36"/>
        <n v="45.5"/>
        <n v="20.5"/>
        <n v="62"/>
        <n v="41"/>
        <n v="52"/>
        <n v="63"/>
        <n v="23.5"/>
        <n v="0.92"/>
        <n v="43"/>
        <n v="60"/>
        <n v="10"/>
        <n v="64"/>
        <n v="13"/>
        <n v="48"/>
        <n v="0.75"/>
        <n v="53"/>
        <n v="57"/>
        <n v="80"/>
        <n v="70"/>
        <n v="24.5"/>
        <n v="6"/>
        <n v="0.67"/>
        <n v="30.5"/>
        <n v="0.42"/>
        <n v="34.5"/>
        <n v="74"/>
      </sharedItems>
    </cacheField>
    <cacheField name="Age_Group" numFmtId="0">
      <sharedItems count="5">
        <s v="Adult"/>
        <s v="Unknown"/>
        <s v="Kid"/>
        <s v="Teenager"/>
        <s v="Elderly"/>
      </sharedItems>
    </cacheField>
    <cacheField name="SibSp" numFmtId="0">
      <sharedItems containsSemiMixedTypes="0" containsString="0" containsNumber="1" containsInteger="1" minValue="0" maxValue="8" count="7">
        <n v="1"/>
        <n v="0"/>
        <n v="3"/>
        <n v="4"/>
        <n v="2"/>
        <n v="5"/>
        <n v="8"/>
      </sharedItems>
    </cacheField>
    <cacheField name="Parch" numFmtId="0">
      <sharedItems containsSemiMixedTypes="0" containsString="0" containsNumber="1" containsInteger="1" minValue="0" maxValue="6" count="7">
        <n v="0"/>
        <n v="1"/>
        <n v="2"/>
        <n v="5"/>
        <n v="3"/>
        <n v="4"/>
        <n v="6"/>
      </sharedItems>
    </cacheField>
    <cacheField name="Family_Size" numFmtId="0">
      <sharedItems containsSemiMixedTypes="0" containsString="0" containsNumber="1" containsInteger="1" minValue="0" maxValue="11" count="9">
        <n v="2"/>
        <n v="1"/>
        <n v="5"/>
        <n v="3"/>
        <n v="7"/>
        <n v="6"/>
        <n v="4"/>
        <n v="8"/>
        <n v="11"/>
      </sharedItems>
    </cacheField>
    <cacheField name="Survival_Status" numFmtId="0">
      <sharedItems count="2">
        <s v="Not Survived"/>
        <s v="Survived"/>
      </sharedItems>
    </cacheField>
    <cacheField name="Family_Category" numFmtId="0">
      <sharedItems count="3">
        <s v="Small Family"/>
        <s v="Alone"/>
        <s v="Large Family"/>
      </sharedItems>
    </cacheField>
    <cacheField name="Ticket" numFmtId="0">
      <sharedItems containsNumber="1" containsInteger="1" containsMixedTypes="1" count="681">
        <s v="A/5 21171"/>
        <s v="PC 17599"/>
        <s v="STON/O2. 3101282"/>
        <n v="113803"/>
        <n v="373450"/>
        <n v="330877"/>
        <n v="17463"/>
        <n v="349909"/>
        <n v="347742"/>
        <n v="237736"/>
        <s v="PP 9549"/>
        <n v="113783"/>
        <s v="A/5. 2151"/>
        <n v="347082"/>
        <n v="350406"/>
        <n v="248706"/>
        <n v="382652"/>
        <n v="244373"/>
        <n v="345763"/>
        <n v="2649"/>
        <n v="239865"/>
        <n v="248698"/>
        <n v="330923"/>
        <n v="113788"/>
        <n v="347077"/>
        <n v="2631"/>
        <n v="19950"/>
        <n v="330959"/>
        <n v="349216"/>
        <s v="PC 17601"/>
        <s v="PC 17569"/>
        <n v="335677"/>
        <s v="C.A. 24579"/>
        <s v="PC 17604"/>
        <n v="113789"/>
        <n v="2677"/>
        <s v="A./5. 2152"/>
        <n v="345764"/>
        <n v="2651"/>
        <n v="7546"/>
        <n v="11668"/>
        <n v="349253"/>
        <s v="SC/Paris 2123"/>
        <n v="330958"/>
        <s v="S.C./A.4. 23567"/>
        <n v="370371"/>
        <n v="14311"/>
        <n v="2662"/>
        <n v="349237"/>
        <n v="3101295"/>
        <s v="A/4. 39886"/>
        <s v="PC 17572"/>
        <n v="2926"/>
        <n v="113509"/>
        <n v="19947"/>
        <s v="C.A. 31026"/>
        <n v="2697"/>
        <s v="C.A. 34651"/>
        <s v="CA 2144"/>
        <n v="2669"/>
        <n v="113572"/>
        <n v="36973"/>
        <n v="347088"/>
        <s v="PC 17605"/>
        <n v="2661"/>
        <s v="C.A. 29395"/>
        <s v="S.P. 3464"/>
        <n v="3101281"/>
        <n v="315151"/>
        <s v="C.A. 33111"/>
        <s v="S.O.C. 14879"/>
        <n v="2680"/>
        <n v="1601"/>
        <n v="348123"/>
        <n v="349208"/>
        <n v="374746"/>
        <n v="248738"/>
        <n v="364516"/>
        <n v="345767"/>
        <n v="345779"/>
        <n v="330932"/>
        <n v="113059"/>
        <s v="SO/C 14885"/>
        <n v="3101278"/>
        <s v="W./C. 6608"/>
        <s v="SOTON/OQ 392086"/>
        <n v="343275"/>
        <n v="343276"/>
        <n v="347466"/>
        <s v="W.E.P. 5734"/>
        <s v="C.A. 2315"/>
        <n v="364500"/>
        <n v="374910"/>
        <s v="PC 17754"/>
        <s v="PC 17759"/>
        <n v="231919"/>
        <n v="244367"/>
        <n v="349245"/>
        <n v="349215"/>
        <n v="35281"/>
        <n v="7540"/>
        <n v="3101276"/>
        <n v="349207"/>
        <n v="343120"/>
        <n v="312991"/>
        <n v="349249"/>
        <n v="371110"/>
        <n v="110465"/>
        <n v="2665"/>
        <n v="324669"/>
        <n v="4136"/>
        <n v="2627"/>
        <s v="STON/O 2. 3101294"/>
        <n v="370369"/>
        <s v="PC 17558"/>
        <s v="A4. 54510"/>
        <n v="27267"/>
        <n v="370372"/>
        <s v="C 17369"/>
        <n v="2668"/>
        <n v="347061"/>
        <n v="349241"/>
        <s v="SOTON/O.Q. 3101307"/>
        <s v="A/5. 3337"/>
        <n v="228414"/>
        <s v="C.A. 29178"/>
        <s v="SC/PARIS 2133"/>
        <n v="11752"/>
        <n v="7534"/>
        <s v="PC 17593"/>
        <n v="2678"/>
        <n v="347081"/>
        <s v="STON/O2. 3101279"/>
        <n v="365222"/>
        <n v="231945"/>
        <s v="C.A. 33112"/>
        <n v="350043"/>
        <n v="230080"/>
        <n v="244310"/>
        <s v="S.O.P. 1166"/>
        <n v="113776"/>
        <s v="A.5. 11206"/>
        <s v="A/5. 851"/>
        <s v="Fa 265302"/>
        <s v="PC 17597"/>
        <n v="35851"/>
        <s v="SOTON/OQ 392090"/>
        <n v="315037"/>
        <s v="CA. 2343"/>
        <n v="371362"/>
        <s v="C.A. 33595"/>
        <n v="347068"/>
        <n v="315093"/>
        <n v="363291"/>
        <n v="113505"/>
        <s v="PC 17318"/>
        <n v="111240"/>
        <s v="STON/O 2. 3101280"/>
        <n v="17764"/>
        <n v="350404"/>
        <n v="4133"/>
        <s v="PC 17595"/>
        <n v="250653"/>
        <s v="LINE"/>
        <s v="SC/PARIS 2131"/>
        <n v="230136"/>
        <n v="315153"/>
        <n v="113767"/>
        <n v="370365"/>
        <n v="111428"/>
        <n v="364849"/>
        <n v="349247"/>
        <n v="234604"/>
        <n v="28424"/>
        <n v="350046"/>
        <s v="PC 17610"/>
        <n v="368703"/>
        <n v="4579"/>
        <n v="370370"/>
        <n v="248747"/>
        <n v="345770"/>
        <n v="3101264"/>
        <n v="2628"/>
        <s v="A/5 3540"/>
        <n v="347054"/>
        <n v="2699"/>
        <n v="367231"/>
        <n v="112277"/>
        <s v="SOTON/O.Q. 3101311"/>
        <s v="F.C.C. 13528"/>
        <s v="A/5 21174"/>
        <n v="250646"/>
        <n v="367229"/>
        <n v="35273"/>
        <s v="STON/O2. 3101283"/>
        <n v="243847"/>
        <n v="11813"/>
        <s v="W/C 14208"/>
        <s v="SOTON/OQ 392089"/>
        <n v="220367"/>
        <n v="21440"/>
        <n v="349234"/>
        <n v="19943"/>
        <s v="PP 4348"/>
        <s v="SW/PP 751"/>
        <s v="A/5 21173"/>
        <n v="236171"/>
        <n v="347067"/>
        <n v="237442"/>
        <s v="C.A. 29566"/>
        <s v="W./C. 6609"/>
        <n v="26707"/>
        <s v="C.A. 31921"/>
        <n v="28665"/>
        <s v="SCO/W 1585"/>
        <n v="367230"/>
        <s v="W./C. 14263"/>
        <s v="STON/O 2. 3101275"/>
        <n v="2694"/>
        <n v="19928"/>
        <n v="347071"/>
        <n v="250649"/>
        <n v="11751"/>
        <n v="244252"/>
        <n v="362316"/>
        <n v="113514"/>
        <s v="A/5. 3336"/>
        <n v="370129"/>
        <n v="2650"/>
        <s v="PC 17585"/>
        <n v="110152"/>
        <s v="PC 17755"/>
        <n v="230433"/>
        <n v="384461"/>
        <n v="110413"/>
        <n v="112059"/>
        <n v="382649"/>
        <s v="C.A. 17248"/>
        <n v="347083"/>
        <s v="PC 17582"/>
        <s v="PC 17760"/>
        <n v="113798"/>
        <n v="250644"/>
        <s v="PC 17596"/>
        <n v="370375"/>
        <n v="13502"/>
        <n v="347073"/>
        <n v="239853"/>
        <s v="C.A. 2673"/>
        <n v="336439"/>
        <n v="347464"/>
        <n v="345778"/>
        <s v="A/5. 10482"/>
        <n v="113056"/>
        <n v="349239"/>
        <n v="345774"/>
        <n v="349206"/>
        <n v="237798"/>
        <n v="370373"/>
        <n v="19877"/>
        <n v="11967"/>
        <s v="SC/Paris 2163"/>
        <n v="349236"/>
        <n v="349233"/>
        <s v="PC 17612"/>
        <n v="2693"/>
        <n v="113781"/>
        <n v="19988"/>
        <n v="9234"/>
        <n v="367226"/>
        <n v="226593"/>
        <s v="A/5 2466"/>
        <n v="17421"/>
        <s v="PC 17758"/>
        <s v="P/PP 3381"/>
        <s v="PC 17485"/>
        <n v="11767"/>
        <s v="PC 17608"/>
        <n v="250651"/>
        <n v="349243"/>
        <s v="F.C.C. 13529"/>
        <n v="347470"/>
        <n v="29011"/>
        <n v="36928"/>
        <n v="16966"/>
        <s v="A/5 21172"/>
        <n v="349219"/>
        <n v="234818"/>
        <n v="345364"/>
        <n v="28551"/>
        <n v="111361"/>
        <n v="113043"/>
        <s v="PC 17611"/>
        <n v="349225"/>
        <n v="7598"/>
        <n v="113784"/>
        <n v="248740"/>
        <n v="244361"/>
        <n v="229236"/>
        <n v="248733"/>
        <n v="31418"/>
        <n v="386525"/>
        <s v="C.A. 37671"/>
        <n v="315088"/>
        <n v="7267"/>
        <n v="113510"/>
        <n v="2695"/>
        <n v="2647"/>
        <n v="345783"/>
        <n v="237671"/>
        <n v="330931"/>
        <n v="330980"/>
        <s v="SC/PARIS 2167"/>
        <n v="2691"/>
        <s v="SOTON/O.Q. 3101310"/>
        <s v="C 7076"/>
        <n v="110813"/>
        <n v="2626"/>
        <n v="14313"/>
        <s v="PC 17477"/>
        <n v="11765"/>
        <n v="3101267"/>
        <n v="323951"/>
        <s v="C 7077"/>
        <n v="113503"/>
        <n v="2648"/>
        <n v="347069"/>
        <s v="PC 17757"/>
        <n v="2653"/>
        <s v="STON/O 2. 3101293"/>
        <n v="349227"/>
        <n v="27849"/>
        <n v="367655"/>
        <s v="SC 1748"/>
        <n v="113760"/>
        <n v="350034"/>
        <n v="3101277"/>
        <n v="350052"/>
        <n v="350407"/>
        <n v="28403"/>
        <n v="244278"/>
        <n v="240929"/>
        <s v="STON/O 2. 3101289"/>
        <n v="341826"/>
        <n v="4137"/>
        <n v="315096"/>
        <n v="28664"/>
        <n v="347064"/>
        <n v="29106"/>
        <n v="312992"/>
        <n v="349222"/>
        <n v="394140"/>
        <s v="STON/O 2. 3101269"/>
        <n v="343095"/>
        <n v="28220"/>
        <n v="250652"/>
        <n v="28228"/>
        <n v="345773"/>
        <n v="349254"/>
        <s v="A/5. 13032"/>
        <n v="315082"/>
        <n v="347080"/>
        <s v="A/4. 34244"/>
        <n v="2003"/>
        <n v="250655"/>
        <n v="364851"/>
        <s v="SOTON/O.Q. 392078"/>
        <n v="110564"/>
        <n v="376564"/>
        <s v="SC/AH 3085"/>
        <s v="STON/O 2. 3101274"/>
        <n v="13507"/>
        <s v="C.A. 18723"/>
        <n v="345769"/>
        <n v="347076"/>
        <n v="230434"/>
        <n v="65306"/>
        <n v="33638"/>
        <n v="113794"/>
        <n v="2666"/>
        <n v="113786"/>
        <n v="65303"/>
        <n v="113051"/>
        <n v="17453"/>
        <s v="A/5 2817"/>
        <n v="349240"/>
        <n v="13509"/>
        <n v="17464"/>
        <s v="F.C.C. 13531"/>
        <n v="371060"/>
        <n v="19952"/>
        <n v="364506"/>
        <n v="111320"/>
        <n v="234360"/>
        <s v="A/S 2816"/>
        <s v="SOTON/O.Q. 3101306"/>
        <n v="113792"/>
        <n v="36209"/>
        <n v="323592"/>
        <n v="315089"/>
        <s v="SC/AH Basle 541"/>
        <n v="7553"/>
        <n v="31027"/>
        <n v="3460"/>
        <n v="350060"/>
        <n v="3101298"/>
        <n v="239854"/>
        <s v="A/5 3594"/>
        <n v="4134"/>
        <n v="11771"/>
        <s v="A.5. 18509"/>
        <n v="65304"/>
        <s v="SOTON/OQ 3101317"/>
        <n v="113787"/>
        <s v="PC 17609"/>
        <s v="A/4 45380"/>
        <n v="36947"/>
        <s v="C.A. 6212"/>
        <n v="350035"/>
        <n v="315086"/>
        <n v="364846"/>
        <n v="330909"/>
        <n v="4135"/>
        <n v="26360"/>
        <n v="111427"/>
        <s v="C 4001"/>
        <n v="382651"/>
        <s v="SOTON/OQ 3101316"/>
        <s v="PC 17473"/>
        <s v="PC 17603"/>
        <n v="349209"/>
        <n v="36967"/>
        <s v="C.A. 34260"/>
        <n v="226875"/>
        <n v="349242"/>
        <n v="12749"/>
        <n v="349252"/>
        <n v="2624"/>
        <n v="2700"/>
        <n v="367232"/>
        <s v="W./C. 14258"/>
        <s v="PC 17483"/>
        <n v="3101296"/>
        <n v="29104"/>
        <n v="2641"/>
        <n v="2690"/>
        <n v="315084"/>
        <n v="113050"/>
        <s v="PC 17761"/>
        <n v="364498"/>
        <n v="13568"/>
        <s v="WE/P 5735"/>
        <n v="2908"/>
        <n v="693"/>
        <s v="SC/PARIS 2146"/>
        <n v="244358"/>
        <n v="330979"/>
        <n v="2620"/>
        <n v="347085"/>
        <n v="113807"/>
        <n v="11755"/>
        <n v="345572"/>
        <n v="372622"/>
        <n v="349251"/>
        <n v="218629"/>
        <s v="SOTON/OQ 392082"/>
        <s v="SOTON/O.Q. 392087"/>
        <s v="A/4 48871"/>
        <n v="349205"/>
        <n v="2686"/>
        <n v="350417"/>
        <s v="S.W./PP 752"/>
        <n v="11769"/>
        <s v="PC 17474"/>
        <n v="14312"/>
        <s v="A/4. 20589"/>
        <n v="358585"/>
        <n v="243880"/>
        <n v="2689"/>
        <s v="STON/O 2. 3101286"/>
        <n v="237789"/>
        <n v="13049"/>
        <n v="3411"/>
        <n v="237565"/>
        <n v="13567"/>
        <n v="14973"/>
        <s v="A./5. 3235"/>
        <s v="STON/O 2. 3101273"/>
        <s v="A/5 3902"/>
        <n v="364848"/>
        <s v="SC/AH 29037"/>
        <n v="248727"/>
        <n v="2664"/>
        <n v="349214"/>
        <n v="113796"/>
        <n v="364511"/>
        <n v="111426"/>
        <n v="349910"/>
        <n v="349246"/>
        <n v="113804"/>
        <s v="SOTON/O.Q. 3101305"/>
        <n v="370377"/>
        <n v="364512"/>
        <n v="220845"/>
        <n v="31028"/>
        <n v="2659"/>
        <n v="11753"/>
        <n v="350029"/>
        <n v="54636"/>
        <n v="36963"/>
        <n v="219533"/>
        <n v="349224"/>
        <n v="334912"/>
        <n v="27042"/>
        <n v="347743"/>
        <n v="13214"/>
        <n v="112052"/>
        <n v="237668"/>
        <s v="STON/O 2. 3101292"/>
        <n v="350050"/>
        <n v="349231"/>
        <n v="13213"/>
        <s v="S.O./P.P. 751"/>
        <s v="CA. 2314"/>
        <n v="349221"/>
        <n v="8475"/>
        <n v="330919"/>
        <n v="365226"/>
        <n v="349223"/>
        <n v="29751"/>
        <n v="2623"/>
        <n v="5727"/>
        <n v="349210"/>
        <s v="STON/O 2. 3101285"/>
        <n v="234686"/>
        <n v="312993"/>
        <s v="A/5 3536"/>
        <n v="19996"/>
        <n v="29750"/>
        <s v="F.C. 12750"/>
        <s v="C.A. 24580"/>
        <n v="244270"/>
        <n v="239856"/>
        <n v="349912"/>
        <n v="342826"/>
        <n v="4138"/>
        <n v="330935"/>
        <n v="6563"/>
        <n v="349228"/>
        <n v="350036"/>
        <n v="24160"/>
        <n v="17474"/>
        <n v="349256"/>
        <n v="2672"/>
        <n v="113800"/>
        <n v="248731"/>
        <n v="363592"/>
        <n v="35852"/>
        <n v="348121"/>
        <s v="PC 17475"/>
        <n v="36864"/>
        <n v="350025"/>
        <n v="223596"/>
        <s v="PC 17476"/>
        <s v="PC 17482"/>
        <n v="113028"/>
        <n v="7545"/>
        <n v="250647"/>
        <n v="348124"/>
        <n v="34218"/>
        <n v="36568"/>
        <n v="347062"/>
        <n v="350048"/>
        <n v="12233"/>
        <n v="250643"/>
        <n v="113806"/>
        <n v="315094"/>
        <n v="36866"/>
        <n v="236853"/>
        <s v="STON/O2. 3101271"/>
        <n v="239855"/>
        <n v="28425"/>
        <n v="233639"/>
        <n v="349201"/>
        <n v="349218"/>
        <n v="16988"/>
        <n v="376566"/>
        <s v="STON/O 2. 3101288"/>
        <n v="250648"/>
        <n v="113773"/>
        <n v="335097"/>
        <n v="29103"/>
        <n v="392096"/>
        <n v="345780"/>
        <n v="349204"/>
        <n v="350042"/>
        <n v="29108"/>
        <n v="363294"/>
        <s v="SOTON/O2 3101272"/>
        <n v="2663"/>
        <n v="347074"/>
        <n v="112379"/>
        <n v="364850"/>
        <n v="8471"/>
        <n v="345781"/>
        <n v="350047"/>
        <s v="S.O./P.P. 3"/>
        <n v="2674"/>
        <n v="29105"/>
        <n v="347078"/>
        <n v="383121"/>
        <n v="36865"/>
        <n v="2687"/>
        <n v="113501"/>
        <s v="W./C. 6607"/>
        <s v="SOTON/O.Q. 3101312"/>
        <n v="374887"/>
        <n v="3101265"/>
        <n v="12460"/>
        <s v="PC 17600"/>
        <n v="349203"/>
        <n v="28213"/>
        <n v="17465"/>
        <n v="349244"/>
        <n v="2685"/>
        <n v="2625"/>
        <n v="347089"/>
        <n v="347063"/>
        <n v="112050"/>
        <n v="347087"/>
        <n v="248723"/>
        <n v="3474"/>
        <n v="28206"/>
        <n v="364499"/>
        <n v="112058"/>
        <s v="STON/O2. 3101290"/>
        <s v="S.C./PARIS 2079"/>
        <s v="C 7075"/>
        <n v="315098"/>
        <n v="19972"/>
        <n v="368323"/>
        <n v="367228"/>
        <n v="2671"/>
        <n v="347468"/>
        <n v="2223"/>
        <s v="PC 17756"/>
        <n v="315097"/>
        <n v="392092"/>
        <n v="11774"/>
        <s v="SOTON/O2 3101287"/>
        <n v="2683"/>
        <n v="315090"/>
        <s v="C.A. 5547"/>
        <n v="349213"/>
        <n v="347060"/>
        <s v="PC 17592"/>
        <n v="392091"/>
        <n v="113055"/>
        <n v="2629"/>
        <n v="350026"/>
        <n v="28134"/>
        <n v="17466"/>
        <n v="233866"/>
        <n v="236852"/>
        <s v="SC/PARIS 2149"/>
        <s v="PC 17590"/>
        <n v="345777"/>
        <n v="349248"/>
        <n v="695"/>
        <n v="345765"/>
        <n v="2667"/>
        <n v="349212"/>
        <n v="349217"/>
        <n v="349257"/>
        <n v="7552"/>
        <s v="C.A./SOTON 34068"/>
        <s v="SOTON/OQ 392076"/>
        <n v="211536"/>
        <n v="112053"/>
        <n v="111369"/>
        <n v="370376"/>
      </sharedItems>
    </cacheField>
    <cacheField name="Fare" numFmtId="0">
      <sharedItems containsSemiMixedTypes="0" containsString="0" containsNumber="1" minValue="0" maxValue="512.3292" count="248">
        <n v="7.25"/>
        <n v="71.2833"/>
        <n v="7.925"/>
        <n v="53.1"/>
        <n v="8.05"/>
        <n v="8.4583"/>
        <n v="51.8625"/>
        <n v="21.075"/>
        <n v="11.1333"/>
        <n v="30.0708"/>
        <n v="16.7"/>
        <n v="26.55"/>
        <n v="31.275"/>
        <n v="7.8542"/>
        <n v="16"/>
        <n v="29.125"/>
        <n v="13"/>
        <n v="18"/>
        <n v="7.225"/>
        <n v="26"/>
        <n v="8.0292"/>
        <n v="35.5"/>
        <n v="31.3875"/>
        <n v="263"/>
        <n v="7.8792"/>
        <n v="7.8958"/>
        <n v="27.7208"/>
        <n v="146.5208"/>
        <n v="7.75"/>
        <n v="10.5"/>
        <n v="82.1708"/>
        <n v="52"/>
        <n v="7.2292"/>
        <n v="11.2417"/>
        <n v="9.475"/>
        <n v="21"/>
        <n v="41.5792"/>
        <n v="15.5"/>
        <n v="21.6792"/>
        <n v="17.8"/>
        <n v="39.6875"/>
        <n v="7.8"/>
        <n v="76.7292"/>
        <n v="61.9792"/>
        <n v="27.75"/>
        <n v="46.9"/>
        <n v="80"/>
        <n v="83.475"/>
        <n v="27.9"/>
        <n v="15.2458"/>
        <n v="8.1583"/>
        <n v="8.6625"/>
        <n v="73.5"/>
        <n v="14.4542"/>
        <n v="56.4958"/>
        <n v="7.65"/>
        <n v="29"/>
        <n v="12.475"/>
        <n v="9"/>
        <n v="9.5"/>
        <n v="7.7875"/>
        <n v="47.1"/>
        <n v="15.85"/>
        <n v="34.375"/>
        <n v="61.175"/>
        <n v="20.575"/>
        <n v="34.6542"/>
        <n v="63.3583"/>
        <n v="23"/>
        <n v="77.2875"/>
        <n v="8.6542"/>
        <n v="7.775"/>
        <n v="24.15"/>
        <n v="9.825"/>
        <n v="14.4583"/>
        <n v="247.5208"/>
        <n v="7.1417"/>
        <n v="22.3583"/>
        <n v="6.975"/>
        <n v="7.05"/>
        <n v="14.5"/>
        <n v="15.0458"/>
        <n v="26.2833"/>
        <n v="9.2167"/>
        <n v="79.2"/>
        <n v="6.75"/>
        <n v="11.5"/>
        <n v="36.75"/>
        <n v="7.7958"/>
        <n v="12.525"/>
        <n v="66.6"/>
        <n v="7.3125"/>
        <n v="61.3792"/>
        <n v="7.7333"/>
        <n v="69.55"/>
        <n v="16.1"/>
        <n v="15.75"/>
        <n v="20.525"/>
        <n v="55"/>
        <n v="25.925"/>
        <n v="33.5"/>
        <n v="30.6958"/>
        <n v="25.4667"/>
        <n v="28.7125"/>
        <n v="0"/>
        <n v="15.05"/>
        <n v="39"/>
        <n v="22.025"/>
        <n v="50"/>
        <n v="8.4042"/>
        <n v="6.4958"/>
        <n v="10.4625"/>
        <n v="18.7875"/>
        <n v="31"/>
        <n v="113.275"/>
        <n v="27"/>
        <n v="76.2917"/>
        <n v="90"/>
        <n v="9.35"/>
        <n v="13.5"/>
        <n v="7.55"/>
        <n v="26.25"/>
        <n v="12.275"/>
        <n v="7.125"/>
        <n v="52.5542"/>
        <n v="20.2125"/>
        <n v="86.5"/>
        <n v="512.3292"/>
        <n v="79.65"/>
        <n v="153.4625"/>
        <n v="135.6333"/>
        <n v="19.5"/>
        <n v="29.7"/>
        <n v="77.9583"/>
        <n v="20.25"/>
        <n v="78.85"/>
        <n v="91.0792"/>
        <n v="12.875"/>
        <n v="8.85"/>
        <n v="151.55"/>
        <n v="30.5"/>
        <n v="23.25"/>
        <n v="12.35"/>
        <n v="110.8833"/>
        <n v="108.9"/>
        <n v="24"/>
        <n v="56.9292"/>
        <n v="83.1583"/>
        <n v="262.375"/>
        <n v="14"/>
        <n v="164.8667"/>
        <n v="134.5"/>
        <n v="6.2375"/>
        <n v="57.9792"/>
        <n v="28.5"/>
        <n v="133.65"/>
        <n v="15.9"/>
        <n v="9.225"/>
        <n v="35"/>
        <n v="75.25"/>
        <n v="69.3"/>
        <n v="55.4417"/>
        <n v="211.5"/>
        <n v="4.0125"/>
        <n v="227.525"/>
        <n v="15.7417"/>
        <n v="7.7292"/>
        <n v="12"/>
        <n v="120"/>
        <n v="12.65"/>
        <n v="18.75"/>
        <n v="6.8583"/>
        <n v="32.5"/>
        <n v="7.875"/>
        <n v="14.4"/>
        <n v="55.9"/>
        <n v="8.1125"/>
        <n v="81.8583"/>
        <n v="19.2583"/>
        <n v="19.9667"/>
        <n v="89.1042"/>
        <n v="38.5"/>
        <n v="7.725"/>
        <n v="13.7917"/>
        <n v="9.8375"/>
        <n v="7.0458"/>
        <n v="7.5208"/>
        <n v="12.2875"/>
        <n v="9.5875"/>
        <n v="49.5042"/>
        <n v="78.2667"/>
        <n v="15.1"/>
        <n v="7.6292"/>
        <n v="22.525"/>
        <n v="26.2875"/>
        <n v="59.4"/>
        <n v="7.4958"/>
        <n v="34.0208"/>
        <n v="93.5"/>
        <n v="221.7792"/>
        <n v="106.425"/>
        <n v="49.5"/>
        <n v="71"/>
        <n v="13.8625"/>
        <n v="7.8292"/>
        <n v="39.6"/>
        <n v="17.4"/>
        <n v="51.4792"/>
        <n v="26.3875"/>
        <n v="30"/>
        <n v="40.125"/>
        <n v="8.7125"/>
        <n v="15"/>
        <n v="33"/>
        <n v="42.4"/>
        <n v="15.55"/>
        <n v="65"/>
        <n v="32.3208"/>
        <n v="7.0542"/>
        <n v="8.4333"/>
        <n v="25.5875"/>
        <n v="9.8417"/>
        <n v="8.1375"/>
        <n v="10.1708"/>
        <n v="211.3375"/>
        <n v="57"/>
        <n v="13.4167"/>
        <n v="7.7417"/>
        <n v="9.4833"/>
        <n v="7.7375"/>
        <n v="8.3625"/>
        <n v="23.45"/>
        <n v="25.9292"/>
        <n v="8.6833"/>
        <n v="8.5167"/>
        <n v="7.8875"/>
        <n v="37.0042"/>
        <n v="6.45"/>
        <n v="6.95"/>
        <n v="8.3"/>
        <n v="6.4375"/>
        <n v="39.4"/>
        <n v="14.1083"/>
        <n v="13.8583"/>
        <n v="50.4958"/>
        <n v="5"/>
        <n v="9.8458"/>
        <n v="10.5167"/>
      </sharedItems>
    </cacheField>
    <cacheField name="Fare Fraction" numFmtId="0">
      <sharedItems count="3">
        <s v="Low"/>
        <s v="High"/>
        <s v="Mid"/>
      </sharedItems>
    </cacheField>
    <cacheField name="Cabin" numFmtId="0">
      <sharedItems count="148">
        <s v="Unknown"/>
        <s v="C85"/>
        <s v="C123"/>
        <s v="E46"/>
        <s v="G6"/>
        <s v="C103"/>
        <s v="D56"/>
        <s v="A6"/>
        <s v="C23 C25 C27"/>
        <s v="B78"/>
        <s v="D33"/>
        <s v="B30"/>
        <s v="C52"/>
        <s v="B28"/>
        <s v="C83"/>
        <s v="F33"/>
        <s v="F G73"/>
        <s v="E31"/>
        <s v="A5"/>
        <s v="D10 D12"/>
        <s v="D26"/>
        <s v="C110"/>
        <s v="B58 B60"/>
        <s v="E101"/>
        <s v="F E69"/>
        <s v="D47"/>
        <s v="B86"/>
        <s v="F2"/>
        <s v="C2"/>
        <s v="E33"/>
        <s v="B19"/>
        <s v="A7"/>
        <s v="C49"/>
        <s v="F4"/>
        <s v="A32"/>
        <s v="B4"/>
        <s v="B80"/>
        <s v="A31"/>
        <s v="D36"/>
        <s v="D15"/>
        <s v="C93"/>
        <s v="C78"/>
        <s v="D35"/>
        <s v="C87"/>
        <s v="B77"/>
        <s v="E67"/>
        <s v="B94"/>
        <s v="C125"/>
        <s v="C99"/>
        <s v="C118"/>
        <s v="D7"/>
        <s v="A19"/>
        <s v="B49"/>
        <s v="D"/>
        <s v="C22 C26"/>
        <s v="C106"/>
        <s v="C65"/>
        <s v="E36"/>
        <s v="C54"/>
        <s v="B57 B59 B63 B66"/>
        <s v="C7"/>
        <s v="E34"/>
        <s v="C32"/>
        <s v="B18"/>
        <s v="C124"/>
        <s v="C91"/>
        <s v="E40"/>
        <s v="T"/>
        <s v="C128"/>
        <s v="D37"/>
        <s v="B35"/>
        <s v="E50"/>
        <s v="C82"/>
        <s v="B96 B98"/>
        <s v="E10"/>
        <s v="E44"/>
        <s v="A34"/>
        <s v="C104"/>
        <s v="C111"/>
        <s v="C92"/>
        <s v="E38"/>
        <s v="D21"/>
        <s v="E12"/>
        <s v="E63"/>
        <s v="A14"/>
        <s v="B37"/>
        <s v="C30"/>
        <s v="D20"/>
        <s v="B79"/>
        <s v="E25"/>
        <s v="D46"/>
        <s v="B73"/>
        <s v="C95"/>
        <s v="B38"/>
        <s v="B39"/>
        <s v="B22"/>
        <s v="C86"/>
        <s v="C70"/>
        <s v="A16"/>
        <s v="C101"/>
        <s v="C68"/>
        <s v="A10"/>
        <s v="E68"/>
        <s v="B41"/>
        <s v="A20"/>
        <s v="D19"/>
        <s v="D50"/>
        <s v="D9"/>
        <s v="A23"/>
        <s v="B50"/>
        <s v="A26"/>
        <s v="D48"/>
        <s v="E58"/>
        <s v="C126"/>
        <s v="B71"/>
        <s v="B51 B53 B55"/>
        <s v="D49"/>
        <s v="B5"/>
        <s v="B20"/>
        <s v="F G63"/>
        <s v="C62 C64"/>
        <s v="E24"/>
        <s v="C90"/>
        <s v="C45"/>
        <s v="E8"/>
        <s v="B101"/>
        <s v="D45"/>
        <s v="C46"/>
        <s v="D30"/>
        <s v="E121"/>
        <s v="D11"/>
        <s v="E77"/>
        <s v="F38"/>
        <s v="B3"/>
        <s v="D6"/>
        <s v="B82 B84"/>
        <s v="D17"/>
        <s v="A36"/>
        <s v="B102"/>
        <s v="B69"/>
        <s v="E49"/>
        <s v="C47"/>
        <s v="D28"/>
        <s v="E17"/>
        <s v="A24"/>
        <s v="C50"/>
        <s v="B42"/>
        <s v="C148"/>
      </sharedItems>
    </cacheField>
    <cacheField name="Embarked" numFmtId="0">
      <sharedItems count="4">
        <s v="S"/>
        <s v="C"/>
        <s v="Q"/>
        <s v="Unknown"/>
      </sharedItems>
    </cacheField>
    <cacheField name="Embark_Point" numFmtId="0">
      <sharedItems count="4">
        <s v="Southampton"/>
        <s v="Cherbourg"/>
        <s v="Queenstown"/>
        <s v="Unknow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0"/>
    <x v="0"/>
    <x v="1"/>
    <x v="0"/>
    <x v="1"/>
    <x v="1"/>
    <x v="1"/>
    <x v="1"/>
    <x v="1"/>
  </r>
  <r>
    <x v="2"/>
    <x v="1"/>
    <x v="0"/>
    <x v="2"/>
    <x v="2"/>
    <x v="2"/>
    <x v="1"/>
    <x v="2"/>
    <x v="1"/>
    <x v="0"/>
    <x v="1"/>
    <x v="1"/>
    <x v="1"/>
    <x v="2"/>
    <x v="2"/>
    <x v="0"/>
    <x v="0"/>
    <x v="0"/>
  </r>
  <r>
    <x v="3"/>
    <x v="1"/>
    <x v="1"/>
    <x v="3"/>
    <x v="3"/>
    <x v="1"/>
    <x v="1"/>
    <x v="3"/>
    <x v="0"/>
    <x v="0"/>
    <x v="0"/>
    <x v="1"/>
    <x v="0"/>
    <x v="3"/>
    <x v="3"/>
    <x v="1"/>
    <x v="2"/>
    <x v="0"/>
  </r>
  <r>
    <x v="4"/>
    <x v="0"/>
    <x v="0"/>
    <x v="4"/>
    <x v="4"/>
    <x v="0"/>
    <x v="0"/>
    <x v="3"/>
    <x v="1"/>
    <x v="0"/>
    <x v="1"/>
    <x v="0"/>
    <x v="1"/>
    <x v="4"/>
    <x v="4"/>
    <x v="0"/>
    <x v="0"/>
    <x v="0"/>
  </r>
  <r>
    <x v="5"/>
    <x v="0"/>
    <x v="0"/>
    <x v="5"/>
    <x v="5"/>
    <x v="0"/>
    <x v="0"/>
    <x v="4"/>
    <x v="1"/>
    <x v="0"/>
    <x v="1"/>
    <x v="0"/>
    <x v="1"/>
    <x v="5"/>
    <x v="5"/>
    <x v="0"/>
    <x v="0"/>
    <x v="2"/>
  </r>
  <r>
    <x v="6"/>
    <x v="0"/>
    <x v="1"/>
    <x v="6"/>
    <x v="6"/>
    <x v="0"/>
    <x v="0"/>
    <x v="5"/>
    <x v="1"/>
    <x v="0"/>
    <x v="1"/>
    <x v="0"/>
    <x v="1"/>
    <x v="6"/>
    <x v="6"/>
    <x v="1"/>
    <x v="3"/>
    <x v="0"/>
  </r>
  <r>
    <x v="7"/>
    <x v="0"/>
    <x v="0"/>
    <x v="7"/>
    <x v="7"/>
    <x v="3"/>
    <x v="0"/>
    <x v="6"/>
    <x v="2"/>
    <x v="1"/>
    <x v="2"/>
    <x v="0"/>
    <x v="2"/>
    <x v="7"/>
    <x v="7"/>
    <x v="2"/>
    <x v="0"/>
    <x v="0"/>
  </r>
  <r>
    <x v="8"/>
    <x v="1"/>
    <x v="0"/>
    <x v="8"/>
    <x v="8"/>
    <x v="1"/>
    <x v="1"/>
    <x v="7"/>
    <x v="1"/>
    <x v="2"/>
    <x v="3"/>
    <x v="1"/>
    <x v="0"/>
    <x v="8"/>
    <x v="8"/>
    <x v="2"/>
    <x v="0"/>
    <x v="0"/>
  </r>
  <r>
    <x v="9"/>
    <x v="1"/>
    <x v="2"/>
    <x v="9"/>
    <x v="9"/>
    <x v="1"/>
    <x v="1"/>
    <x v="8"/>
    <x v="0"/>
    <x v="0"/>
    <x v="0"/>
    <x v="1"/>
    <x v="0"/>
    <x v="9"/>
    <x v="9"/>
    <x v="2"/>
    <x v="0"/>
    <x v="1"/>
  </r>
  <r>
    <x v="10"/>
    <x v="1"/>
    <x v="0"/>
    <x v="10"/>
    <x v="10"/>
    <x v="2"/>
    <x v="1"/>
    <x v="9"/>
    <x v="0"/>
    <x v="1"/>
    <x v="3"/>
    <x v="1"/>
    <x v="0"/>
    <x v="10"/>
    <x v="10"/>
    <x v="2"/>
    <x v="4"/>
    <x v="0"/>
  </r>
  <r>
    <x v="11"/>
    <x v="1"/>
    <x v="1"/>
    <x v="11"/>
    <x v="11"/>
    <x v="2"/>
    <x v="1"/>
    <x v="10"/>
    <x v="1"/>
    <x v="0"/>
    <x v="1"/>
    <x v="1"/>
    <x v="1"/>
    <x v="11"/>
    <x v="11"/>
    <x v="2"/>
    <x v="5"/>
    <x v="0"/>
  </r>
  <r>
    <x v="12"/>
    <x v="0"/>
    <x v="0"/>
    <x v="12"/>
    <x v="4"/>
    <x v="0"/>
    <x v="0"/>
    <x v="11"/>
    <x v="1"/>
    <x v="0"/>
    <x v="1"/>
    <x v="0"/>
    <x v="1"/>
    <x v="12"/>
    <x v="4"/>
    <x v="0"/>
    <x v="0"/>
    <x v="0"/>
  </r>
  <r>
    <x v="13"/>
    <x v="0"/>
    <x v="0"/>
    <x v="13"/>
    <x v="12"/>
    <x v="0"/>
    <x v="0"/>
    <x v="12"/>
    <x v="0"/>
    <x v="3"/>
    <x v="4"/>
    <x v="0"/>
    <x v="2"/>
    <x v="13"/>
    <x v="12"/>
    <x v="2"/>
    <x v="0"/>
    <x v="0"/>
  </r>
  <r>
    <x v="14"/>
    <x v="0"/>
    <x v="0"/>
    <x v="14"/>
    <x v="13"/>
    <x v="2"/>
    <x v="1"/>
    <x v="8"/>
    <x v="1"/>
    <x v="0"/>
    <x v="1"/>
    <x v="0"/>
    <x v="1"/>
    <x v="14"/>
    <x v="13"/>
    <x v="0"/>
    <x v="0"/>
    <x v="0"/>
  </r>
  <r>
    <x v="15"/>
    <x v="1"/>
    <x v="2"/>
    <x v="15"/>
    <x v="14"/>
    <x v="1"/>
    <x v="1"/>
    <x v="13"/>
    <x v="1"/>
    <x v="0"/>
    <x v="1"/>
    <x v="1"/>
    <x v="1"/>
    <x v="15"/>
    <x v="14"/>
    <x v="2"/>
    <x v="0"/>
    <x v="0"/>
  </r>
  <r>
    <x v="16"/>
    <x v="0"/>
    <x v="0"/>
    <x v="16"/>
    <x v="15"/>
    <x v="3"/>
    <x v="0"/>
    <x v="6"/>
    <x v="3"/>
    <x v="1"/>
    <x v="5"/>
    <x v="0"/>
    <x v="2"/>
    <x v="16"/>
    <x v="15"/>
    <x v="2"/>
    <x v="0"/>
    <x v="2"/>
  </r>
  <r>
    <x v="17"/>
    <x v="1"/>
    <x v="2"/>
    <x v="17"/>
    <x v="16"/>
    <x v="0"/>
    <x v="0"/>
    <x v="4"/>
    <x v="1"/>
    <x v="0"/>
    <x v="1"/>
    <x v="1"/>
    <x v="1"/>
    <x v="17"/>
    <x v="16"/>
    <x v="2"/>
    <x v="0"/>
    <x v="0"/>
  </r>
  <r>
    <x v="18"/>
    <x v="0"/>
    <x v="0"/>
    <x v="18"/>
    <x v="17"/>
    <x v="1"/>
    <x v="1"/>
    <x v="14"/>
    <x v="0"/>
    <x v="0"/>
    <x v="0"/>
    <x v="0"/>
    <x v="0"/>
    <x v="18"/>
    <x v="17"/>
    <x v="2"/>
    <x v="0"/>
    <x v="0"/>
  </r>
  <r>
    <x v="19"/>
    <x v="1"/>
    <x v="0"/>
    <x v="19"/>
    <x v="18"/>
    <x v="1"/>
    <x v="1"/>
    <x v="4"/>
    <x v="1"/>
    <x v="0"/>
    <x v="1"/>
    <x v="1"/>
    <x v="1"/>
    <x v="19"/>
    <x v="18"/>
    <x v="0"/>
    <x v="0"/>
    <x v="1"/>
  </r>
  <r>
    <x v="20"/>
    <x v="0"/>
    <x v="2"/>
    <x v="20"/>
    <x v="19"/>
    <x v="0"/>
    <x v="0"/>
    <x v="3"/>
    <x v="1"/>
    <x v="0"/>
    <x v="1"/>
    <x v="0"/>
    <x v="1"/>
    <x v="20"/>
    <x v="19"/>
    <x v="2"/>
    <x v="0"/>
    <x v="0"/>
  </r>
  <r>
    <x v="21"/>
    <x v="1"/>
    <x v="2"/>
    <x v="21"/>
    <x v="20"/>
    <x v="0"/>
    <x v="0"/>
    <x v="15"/>
    <x v="1"/>
    <x v="0"/>
    <x v="1"/>
    <x v="1"/>
    <x v="1"/>
    <x v="21"/>
    <x v="16"/>
    <x v="2"/>
    <x v="6"/>
    <x v="0"/>
  </r>
  <r>
    <x v="22"/>
    <x v="1"/>
    <x v="0"/>
    <x v="22"/>
    <x v="21"/>
    <x v="2"/>
    <x v="1"/>
    <x v="16"/>
    <x v="1"/>
    <x v="0"/>
    <x v="1"/>
    <x v="1"/>
    <x v="1"/>
    <x v="22"/>
    <x v="20"/>
    <x v="0"/>
    <x v="0"/>
    <x v="2"/>
  </r>
  <r>
    <x v="23"/>
    <x v="1"/>
    <x v="1"/>
    <x v="23"/>
    <x v="22"/>
    <x v="0"/>
    <x v="0"/>
    <x v="17"/>
    <x v="1"/>
    <x v="0"/>
    <x v="1"/>
    <x v="1"/>
    <x v="1"/>
    <x v="23"/>
    <x v="21"/>
    <x v="2"/>
    <x v="7"/>
    <x v="0"/>
  </r>
  <r>
    <x v="24"/>
    <x v="0"/>
    <x v="0"/>
    <x v="7"/>
    <x v="23"/>
    <x v="2"/>
    <x v="1"/>
    <x v="18"/>
    <x v="2"/>
    <x v="1"/>
    <x v="2"/>
    <x v="0"/>
    <x v="2"/>
    <x v="7"/>
    <x v="7"/>
    <x v="2"/>
    <x v="0"/>
    <x v="0"/>
  </r>
  <r>
    <x v="25"/>
    <x v="1"/>
    <x v="0"/>
    <x v="24"/>
    <x v="24"/>
    <x v="1"/>
    <x v="1"/>
    <x v="1"/>
    <x v="0"/>
    <x v="3"/>
    <x v="4"/>
    <x v="1"/>
    <x v="2"/>
    <x v="24"/>
    <x v="22"/>
    <x v="2"/>
    <x v="0"/>
    <x v="0"/>
  </r>
  <r>
    <x v="26"/>
    <x v="0"/>
    <x v="0"/>
    <x v="25"/>
    <x v="25"/>
    <x v="0"/>
    <x v="0"/>
    <x v="4"/>
    <x v="1"/>
    <x v="0"/>
    <x v="1"/>
    <x v="0"/>
    <x v="1"/>
    <x v="25"/>
    <x v="18"/>
    <x v="0"/>
    <x v="0"/>
    <x v="1"/>
  </r>
  <r>
    <x v="27"/>
    <x v="0"/>
    <x v="1"/>
    <x v="26"/>
    <x v="26"/>
    <x v="0"/>
    <x v="0"/>
    <x v="19"/>
    <x v="2"/>
    <x v="2"/>
    <x v="5"/>
    <x v="0"/>
    <x v="2"/>
    <x v="26"/>
    <x v="23"/>
    <x v="1"/>
    <x v="8"/>
    <x v="0"/>
  </r>
  <r>
    <x v="28"/>
    <x v="1"/>
    <x v="0"/>
    <x v="27"/>
    <x v="27"/>
    <x v="2"/>
    <x v="1"/>
    <x v="4"/>
    <x v="1"/>
    <x v="0"/>
    <x v="1"/>
    <x v="1"/>
    <x v="1"/>
    <x v="27"/>
    <x v="24"/>
    <x v="0"/>
    <x v="0"/>
    <x v="2"/>
  </r>
  <r>
    <x v="29"/>
    <x v="0"/>
    <x v="0"/>
    <x v="28"/>
    <x v="28"/>
    <x v="0"/>
    <x v="0"/>
    <x v="4"/>
    <x v="1"/>
    <x v="0"/>
    <x v="1"/>
    <x v="0"/>
    <x v="1"/>
    <x v="28"/>
    <x v="25"/>
    <x v="0"/>
    <x v="0"/>
    <x v="0"/>
  </r>
  <r>
    <x v="30"/>
    <x v="0"/>
    <x v="1"/>
    <x v="29"/>
    <x v="29"/>
    <x v="4"/>
    <x v="2"/>
    <x v="20"/>
    <x v="1"/>
    <x v="0"/>
    <x v="1"/>
    <x v="0"/>
    <x v="1"/>
    <x v="29"/>
    <x v="26"/>
    <x v="2"/>
    <x v="0"/>
    <x v="1"/>
  </r>
  <r>
    <x v="31"/>
    <x v="1"/>
    <x v="1"/>
    <x v="30"/>
    <x v="30"/>
    <x v="1"/>
    <x v="1"/>
    <x v="4"/>
    <x v="0"/>
    <x v="0"/>
    <x v="0"/>
    <x v="1"/>
    <x v="0"/>
    <x v="30"/>
    <x v="27"/>
    <x v="1"/>
    <x v="9"/>
    <x v="1"/>
  </r>
  <r>
    <x v="32"/>
    <x v="1"/>
    <x v="0"/>
    <x v="31"/>
    <x v="31"/>
    <x v="2"/>
    <x v="1"/>
    <x v="4"/>
    <x v="1"/>
    <x v="0"/>
    <x v="1"/>
    <x v="1"/>
    <x v="1"/>
    <x v="31"/>
    <x v="28"/>
    <x v="0"/>
    <x v="0"/>
    <x v="2"/>
  </r>
  <r>
    <x v="33"/>
    <x v="0"/>
    <x v="2"/>
    <x v="32"/>
    <x v="32"/>
    <x v="0"/>
    <x v="0"/>
    <x v="21"/>
    <x v="1"/>
    <x v="0"/>
    <x v="1"/>
    <x v="0"/>
    <x v="1"/>
    <x v="32"/>
    <x v="29"/>
    <x v="2"/>
    <x v="0"/>
    <x v="0"/>
  </r>
  <r>
    <x v="34"/>
    <x v="0"/>
    <x v="1"/>
    <x v="33"/>
    <x v="33"/>
    <x v="0"/>
    <x v="0"/>
    <x v="17"/>
    <x v="0"/>
    <x v="0"/>
    <x v="0"/>
    <x v="0"/>
    <x v="0"/>
    <x v="33"/>
    <x v="30"/>
    <x v="1"/>
    <x v="0"/>
    <x v="1"/>
  </r>
  <r>
    <x v="35"/>
    <x v="0"/>
    <x v="1"/>
    <x v="34"/>
    <x v="34"/>
    <x v="0"/>
    <x v="0"/>
    <x v="22"/>
    <x v="0"/>
    <x v="0"/>
    <x v="0"/>
    <x v="0"/>
    <x v="0"/>
    <x v="34"/>
    <x v="31"/>
    <x v="1"/>
    <x v="0"/>
    <x v="0"/>
  </r>
  <r>
    <x v="36"/>
    <x v="1"/>
    <x v="0"/>
    <x v="35"/>
    <x v="35"/>
    <x v="0"/>
    <x v="0"/>
    <x v="4"/>
    <x v="1"/>
    <x v="0"/>
    <x v="1"/>
    <x v="1"/>
    <x v="1"/>
    <x v="35"/>
    <x v="32"/>
    <x v="0"/>
    <x v="0"/>
    <x v="1"/>
  </r>
  <r>
    <x v="37"/>
    <x v="0"/>
    <x v="0"/>
    <x v="36"/>
    <x v="36"/>
    <x v="0"/>
    <x v="0"/>
    <x v="23"/>
    <x v="1"/>
    <x v="0"/>
    <x v="1"/>
    <x v="0"/>
    <x v="1"/>
    <x v="36"/>
    <x v="4"/>
    <x v="0"/>
    <x v="0"/>
    <x v="0"/>
  </r>
  <r>
    <x v="38"/>
    <x v="0"/>
    <x v="0"/>
    <x v="18"/>
    <x v="37"/>
    <x v="2"/>
    <x v="1"/>
    <x v="24"/>
    <x v="4"/>
    <x v="0"/>
    <x v="3"/>
    <x v="0"/>
    <x v="0"/>
    <x v="37"/>
    <x v="17"/>
    <x v="2"/>
    <x v="0"/>
    <x v="0"/>
  </r>
  <r>
    <x v="39"/>
    <x v="1"/>
    <x v="0"/>
    <x v="37"/>
    <x v="38"/>
    <x v="2"/>
    <x v="1"/>
    <x v="8"/>
    <x v="0"/>
    <x v="0"/>
    <x v="0"/>
    <x v="1"/>
    <x v="0"/>
    <x v="38"/>
    <x v="33"/>
    <x v="2"/>
    <x v="0"/>
    <x v="1"/>
  </r>
  <r>
    <x v="40"/>
    <x v="0"/>
    <x v="0"/>
    <x v="38"/>
    <x v="39"/>
    <x v="1"/>
    <x v="1"/>
    <x v="20"/>
    <x v="0"/>
    <x v="0"/>
    <x v="0"/>
    <x v="0"/>
    <x v="0"/>
    <x v="39"/>
    <x v="34"/>
    <x v="0"/>
    <x v="0"/>
    <x v="0"/>
  </r>
  <r>
    <x v="41"/>
    <x v="0"/>
    <x v="2"/>
    <x v="39"/>
    <x v="40"/>
    <x v="1"/>
    <x v="1"/>
    <x v="7"/>
    <x v="0"/>
    <x v="0"/>
    <x v="0"/>
    <x v="0"/>
    <x v="0"/>
    <x v="40"/>
    <x v="35"/>
    <x v="2"/>
    <x v="0"/>
    <x v="0"/>
  </r>
  <r>
    <x v="42"/>
    <x v="0"/>
    <x v="0"/>
    <x v="40"/>
    <x v="41"/>
    <x v="0"/>
    <x v="0"/>
    <x v="4"/>
    <x v="1"/>
    <x v="0"/>
    <x v="1"/>
    <x v="0"/>
    <x v="1"/>
    <x v="41"/>
    <x v="25"/>
    <x v="0"/>
    <x v="0"/>
    <x v="1"/>
  </r>
  <r>
    <x v="43"/>
    <x v="1"/>
    <x v="2"/>
    <x v="41"/>
    <x v="42"/>
    <x v="2"/>
    <x v="1"/>
    <x v="25"/>
    <x v="0"/>
    <x v="2"/>
    <x v="6"/>
    <x v="1"/>
    <x v="2"/>
    <x v="42"/>
    <x v="36"/>
    <x v="2"/>
    <x v="0"/>
    <x v="1"/>
  </r>
  <r>
    <x v="44"/>
    <x v="1"/>
    <x v="0"/>
    <x v="42"/>
    <x v="43"/>
    <x v="2"/>
    <x v="1"/>
    <x v="19"/>
    <x v="1"/>
    <x v="0"/>
    <x v="1"/>
    <x v="1"/>
    <x v="1"/>
    <x v="43"/>
    <x v="24"/>
    <x v="0"/>
    <x v="0"/>
    <x v="2"/>
  </r>
  <r>
    <x v="45"/>
    <x v="0"/>
    <x v="0"/>
    <x v="43"/>
    <x v="44"/>
    <x v="0"/>
    <x v="0"/>
    <x v="4"/>
    <x v="1"/>
    <x v="0"/>
    <x v="1"/>
    <x v="0"/>
    <x v="1"/>
    <x v="44"/>
    <x v="4"/>
    <x v="0"/>
    <x v="0"/>
    <x v="0"/>
  </r>
  <r>
    <x v="46"/>
    <x v="0"/>
    <x v="0"/>
    <x v="44"/>
    <x v="45"/>
    <x v="0"/>
    <x v="0"/>
    <x v="4"/>
    <x v="0"/>
    <x v="0"/>
    <x v="0"/>
    <x v="0"/>
    <x v="0"/>
    <x v="45"/>
    <x v="37"/>
    <x v="2"/>
    <x v="0"/>
    <x v="2"/>
  </r>
  <r>
    <x v="47"/>
    <x v="1"/>
    <x v="0"/>
    <x v="45"/>
    <x v="46"/>
    <x v="2"/>
    <x v="1"/>
    <x v="4"/>
    <x v="1"/>
    <x v="0"/>
    <x v="1"/>
    <x v="1"/>
    <x v="1"/>
    <x v="46"/>
    <x v="28"/>
    <x v="0"/>
    <x v="0"/>
    <x v="2"/>
  </r>
  <r>
    <x v="48"/>
    <x v="0"/>
    <x v="0"/>
    <x v="46"/>
    <x v="47"/>
    <x v="0"/>
    <x v="0"/>
    <x v="4"/>
    <x v="4"/>
    <x v="0"/>
    <x v="3"/>
    <x v="0"/>
    <x v="0"/>
    <x v="47"/>
    <x v="38"/>
    <x v="2"/>
    <x v="0"/>
    <x v="1"/>
  </r>
  <r>
    <x v="49"/>
    <x v="0"/>
    <x v="0"/>
    <x v="47"/>
    <x v="48"/>
    <x v="1"/>
    <x v="1"/>
    <x v="24"/>
    <x v="0"/>
    <x v="0"/>
    <x v="0"/>
    <x v="0"/>
    <x v="0"/>
    <x v="48"/>
    <x v="39"/>
    <x v="2"/>
    <x v="0"/>
    <x v="0"/>
  </r>
  <r>
    <x v="50"/>
    <x v="0"/>
    <x v="0"/>
    <x v="48"/>
    <x v="49"/>
    <x v="3"/>
    <x v="0"/>
    <x v="26"/>
    <x v="3"/>
    <x v="1"/>
    <x v="5"/>
    <x v="0"/>
    <x v="2"/>
    <x v="49"/>
    <x v="40"/>
    <x v="2"/>
    <x v="0"/>
    <x v="0"/>
  </r>
  <r>
    <x v="51"/>
    <x v="0"/>
    <x v="0"/>
    <x v="49"/>
    <x v="50"/>
    <x v="0"/>
    <x v="0"/>
    <x v="23"/>
    <x v="1"/>
    <x v="0"/>
    <x v="1"/>
    <x v="0"/>
    <x v="1"/>
    <x v="50"/>
    <x v="41"/>
    <x v="0"/>
    <x v="0"/>
    <x v="0"/>
  </r>
  <r>
    <x v="52"/>
    <x v="1"/>
    <x v="1"/>
    <x v="50"/>
    <x v="51"/>
    <x v="1"/>
    <x v="1"/>
    <x v="27"/>
    <x v="0"/>
    <x v="0"/>
    <x v="0"/>
    <x v="1"/>
    <x v="0"/>
    <x v="51"/>
    <x v="42"/>
    <x v="1"/>
    <x v="10"/>
    <x v="1"/>
  </r>
  <r>
    <x v="53"/>
    <x v="1"/>
    <x v="2"/>
    <x v="51"/>
    <x v="52"/>
    <x v="1"/>
    <x v="1"/>
    <x v="28"/>
    <x v="0"/>
    <x v="0"/>
    <x v="0"/>
    <x v="1"/>
    <x v="0"/>
    <x v="52"/>
    <x v="19"/>
    <x v="2"/>
    <x v="0"/>
    <x v="0"/>
  </r>
  <r>
    <x v="54"/>
    <x v="0"/>
    <x v="1"/>
    <x v="52"/>
    <x v="53"/>
    <x v="0"/>
    <x v="0"/>
    <x v="29"/>
    <x v="1"/>
    <x v="1"/>
    <x v="0"/>
    <x v="0"/>
    <x v="0"/>
    <x v="53"/>
    <x v="43"/>
    <x v="1"/>
    <x v="11"/>
    <x v="1"/>
  </r>
  <r>
    <x v="55"/>
    <x v="1"/>
    <x v="1"/>
    <x v="53"/>
    <x v="54"/>
    <x v="0"/>
    <x v="0"/>
    <x v="4"/>
    <x v="1"/>
    <x v="0"/>
    <x v="1"/>
    <x v="1"/>
    <x v="1"/>
    <x v="54"/>
    <x v="21"/>
    <x v="2"/>
    <x v="12"/>
    <x v="0"/>
  </r>
  <r>
    <x v="56"/>
    <x v="1"/>
    <x v="2"/>
    <x v="54"/>
    <x v="55"/>
    <x v="2"/>
    <x v="1"/>
    <x v="23"/>
    <x v="1"/>
    <x v="0"/>
    <x v="1"/>
    <x v="1"/>
    <x v="1"/>
    <x v="55"/>
    <x v="29"/>
    <x v="2"/>
    <x v="0"/>
    <x v="0"/>
  </r>
  <r>
    <x v="57"/>
    <x v="0"/>
    <x v="0"/>
    <x v="55"/>
    <x v="56"/>
    <x v="0"/>
    <x v="0"/>
    <x v="30"/>
    <x v="1"/>
    <x v="0"/>
    <x v="1"/>
    <x v="0"/>
    <x v="1"/>
    <x v="56"/>
    <x v="32"/>
    <x v="0"/>
    <x v="0"/>
    <x v="1"/>
  </r>
  <r>
    <x v="58"/>
    <x v="1"/>
    <x v="2"/>
    <x v="56"/>
    <x v="57"/>
    <x v="2"/>
    <x v="1"/>
    <x v="31"/>
    <x v="0"/>
    <x v="2"/>
    <x v="6"/>
    <x v="1"/>
    <x v="2"/>
    <x v="57"/>
    <x v="44"/>
    <x v="2"/>
    <x v="0"/>
    <x v="0"/>
  </r>
  <r>
    <x v="59"/>
    <x v="0"/>
    <x v="0"/>
    <x v="57"/>
    <x v="58"/>
    <x v="3"/>
    <x v="0"/>
    <x v="32"/>
    <x v="5"/>
    <x v="2"/>
    <x v="7"/>
    <x v="0"/>
    <x v="2"/>
    <x v="58"/>
    <x v="45"/>
    <x v="2"/>
    <x v="0"/>
    <x v="0"/>
  </r>
  <r>
    <x v="60"/>
    <x v="0"/>
    <x v="0"/>
    <x v="58"/>
    <x v="59"/>
    <x v="0"/>
    <x v="0"/>
    <x v="0"/>
    <x v="1"/>
    <x v="0"/>
    <x v="1"/>
    <x v="0"/>
    <x v="1"/>
    <x v="59"/>
    <x v="32"/>
    <x v="0"/>
    <x v="0"/>
    <x v="1"/>
  </r>
  <r>
    <x v="61"/>
    <x v="1"/>
    <x v="1"/>
    <x v="59"/>
    <x v="60"/>
    <x v="2"/>
    <x v="1"/>
    <x v="1"/>
    <x v="1"/>
    <x v="0"/>
    <x v="1"/>
    <x v="1"/>
    <x v="1"/>
    <x v="60"/>
    <x v="46"/>
    <x v="1"/>
    <x v="13"/>
    <x v="3"/>
  </r>
  <r>
    <x v="62"/>
    <x v="0"/>
    <x v="1"/>
    <x v="60"/>
    <x v="61"/>
    <x v="0"/>
    <x v="0"/>
    <x v="33"/>
    <x v="0"/>
    <x v="0"/>
    <x v="0"/>
    <x v="0"/>
    <x v="0"/>
    <x v="61"/>
    <x v="47"/>
    <x v="1"/>
    <x v="14"/>
    <x v="0"/>
  </r>
  <r>
    <x v="63"/>
    <x v="0"/>
    <x v="0"/>
    <x v="61"/>
    <x v="62"/>
    <x v="3"/>
    <x v="0"/>
    <x v="9"/>
    <x v="2"/>
    <x v="2"/>
    <x v="5"/>
    <x v="0"/>
    <x v="2"/>
    <x v="62"/>
    <x v="48"/>
    <x v="2"/>
    <x v="0"/>
    <x v="0"/>
  </r>
  <r>
    <x v="64"/>
    <x v="0"/>
    <x v="1"/>
    <x v="62"/>
    <x v="63"/>
    <x v="0"/>
    <x v="0"/>
    <x v="4"/>
    <x v="1"/>
    <x v="0"/>
    <x v="1"/>
    <x v="0"/>
    <x v="1"/>
    <x v="63"/>
    <x v="26"/>
    <x v="2"/>
    <x v="0"/>
    <x v="1"/>
  </r>
  <r>
    <x v="65"/>
    <x v="1"/>
    <x v="0"/>
    <x v="63"/>
    <x v="64"/>
    <x v="3"/>
    <x v="0"/>
    <x v="4"/>
    <x v="0"/>
    <x v="1"/>
    <x v="3"/>
    <x v="1"/>
    <x v="0"/>
    <x v="64"/>
    <x v="49"/>
    <x v="2"/>
    <x v="0"/>
    <x v="1"/>
  </r>
  <r>
    <x v="66"/>
    <x v="1"/>
    <x v="2"/>
    <x v="64"/>
    <x v="65"/>
    <x v="1"/>
    <x v="1"/>
    <x v="28"/>
    <x v="1"/>
    <x v="0"/>
    <x v="1"/>
    <x v="1"/>
    <x v="1"/>
    <x v="65"/>
    <x v="29"/>
    <x v="2"/>
    <x v="15"/>
    <x v="0"/>
  </r>
  <r>
    <x v="67"/>
    <x v="0"/>
    <x v="0"/>
    <x v="65"/>
    <x v="66"/>
    <x v="0"/>
    <x v="0"/>
    <x v="19"/>
    <x v="1"/>
    <x v="0"/>
    <x v="1"/>
    <x v="0"/>
    <x v="1"/>
    <x v="66"/>
    <x v="50"/>
    <x v="0"/>
    <x v="0"/>
    <x v="0"/>
  </r>
  <r>
    <x v="68"/>
    <x v="1"/>
    <x v="0"/>
    <x v="13"/>
    <x v="67"/>
    <x v="2"/>
    <x v="1"/>
    <x v="34"/>
    <x v="3"/>
    <x v="2"/>
    <x v="4"/>
    <x v="1"/>
    <x v="2"/>
    <x v="67"/>
    <x v="2"/>
    <x v="0"/>
    <x v="0"/>
    <x v="0"/>
  </r>
  <r>
    <x v="69"/>
    <x v="0"/>
    <x v="0"/>
    <x v="66"/>
    <x v="68"/>
    <x v="0"/>
    <x v="0"/>
    <x v="2"/>
    <x v="4"/>
    <x v="0"/>
    <x v="3"/>
    <x v="0"/>
    <x v="0"/>
    <x v="68"/>
    <x v="51"/>
    <x v="0"/>
    <x v="0"/>
    <x v="0"/>
  </r>
  <r>
    <x v="70"/>
    <x v="0"/>
    <x v="2"/>
    <x v="67"/>
    <x v="69"/>
    <x v="0"/>
    <x v="0"/>
    <x v="35"/>
    <x v="1"/>
    <x v="0"/>
    <x v="1"/>
    <x v="0"/>
    <x v="1"/>
    <x v="69"/>
    <x v="29"/>
    <x v="2"/>
    <x v="0"/>
    <x v="0"/>
  </r>
  <r>
    <x v="71"/>
    <x v="0"/>
    <x v="0"/>
    <x v="57"/>
    <x v="70"/>
    <x v="2"/>
    <x v="1"/>
    <x v="36"/>
    <x v="5"/>
    <x v="2"/>
    <x v="7"/>
    <x v="0"/>
    <x v="2"/>
    <x v="58"/>
    <x v="45"/>
    <x v="2"/>
    <x v="0"/>
    <x v="0"/>
  </r>
  <r>
    <x v="72"/>
    <x v="0"/>
    <x v="2"/>
    <x v="68"/>
    <x v="71"/>
    <x v="0"/>
    <x v="0"/>
    <x v="23"/>
    <x v="1"/>
    <x v="0"/>
    <x v="1"/>
    <x v="0"/>
    <x v="1"/>
    <x v="70"/>
    <x v="52"/>
    <x v="1"/>
    <x v="0"/>
    <x v="0"/>
  </r>
  <r>
    <x v="73"/>
    <x v="0"/>
    <x v="0"/>
    <x v="69"/>
    <x v="72"/>
    <x v="0"/>
    <x v="0"/>
    <x v="2"/>
    <x v="0"/>
    <x v="0"/>
    <x v="0"/>
    <x v="0"/>
    <x v="0"/>
    <x v="71"/>
    <x v="53"/>
    <x v="2"/>
    <x v="0"/>
    <x v="1"/>
  </r>
  <r>
    <x v="74"/>
    <x v="1"/>
    <x v="0"/>
    <x v="70"/>
    <x v="73"/>
    <x v="0"/>
    <x v="0"/>
    <x v="35"/>
    <x v="1"/>
    <x v="0"/>
    <x v="1"/>
    <x v="1"/>
    <x v="1"/>
    <x v="72"/>
    <x v="54"/>
    <x v="1"/>
    <x v="0"/>
    <x v="0"/>
  </r>
  <r>
    <x v="75"/>
    <x v="0"/>
    <x v="0"/>
    <x v="71"/>
    <x v="74"/>
    <x v="0"/>
    <x v="0"/>
    <x v="37"/>
    <x v="1"/>
    <x v="0"/>
    <x v="1"/>
    <x v="0"/>
    <x v="1"/>
    <x v="73"/>
    <x v="55"/>
    <x v="0"/>
    <x v="16"/>
    <x v="0"/>
  </r>
  <r>
    <x v="76"/>
    <x v="0"/>
    <x v="0"/>
    <x v="72"/>
    <x v="75"/>
    <x v="0"/>
    <x v="0"/>
    <x v="4"/>
    <x v="1"/>
    <x v="0"/>
    <x v="1"/>
    <x v="0"/>
    <x v="1"/>
    <x v="74"/>
    <x v="25"/>
    <x v="0"/>
    <x v="0"/>
    <x v="0"/>
  </r>
  <r>
    <x v="77"/>
    <x v="0"/>
    <x v="0"/>
    <x v="73"/>
    <x v="76"/>
    <x v="0"/>
    <x v="0"/>
    <x v="4"/>
    <x v="1"/>
    <x v="0"/>
    <x v="1"/>
    <x v="0"/>
    <x v="1"/>
    <x v="75"/>
    <x v="4"/>
    <x v="0"/>
    <x v="0"/>
    <x v="0"/>
  </r>
  <r>
    <x v="78"/>
    <x v="1"/>
    <x v="2"/>
    <x v="74"/>
    <x v="77"/>
    <x v="3"/>
    <x v="0"/>
    <x v="38"/>
    <x v="1"/>
    <x v="2"/>
    <x v="3"/>
    <x v="1"/>
    <x v="0"/>
    <x v="76"/>
    <x v="56"/>
    <x v="2"/>
    <x v="0"/>
    <x v="0"/>
  </r>
  <r>
    <x v="79"/>
    <x v="1"/>
    <x v="0"/>
    <x v="75"/>
    <x v="11"/>
    <x v="2"/>
    <x v="1"/>
    <x v="39"/>
    <x v="1"/>
    <x v="0"/>
    <x v="1"/>
    <x v="1"/>
    <x v="1"/>
    <x v="77"/>
    <x v="57"/>
    <x v="2"/>
    <x v="0"/>
    <x v="0"/>
  </r>
  <r>
    <x v="80"/>
    <x v="0"/>
    <x v="0"/>
    <x v="76"/>
    <x v="78"/>
    <x v="0"/>
    <x v="0"/>
    <x v="0"/>
    <x v="1"/>
    <x v="0"/>
    <x v="1"/>
    <x v="0"/>
    <x v="1"/>
    <x v="78"/>
    <x v="58"/>
    <x v="0"/>
    <x v="0"/>
    <x v="0"/>
  </r>
  <r>
    <x v="81"/>
    <x v="1"/>
    <x v="0"/>
    <x v="77"/>
    <x v="79"/>
    <x v="0"/>
    <x v="0"/>
    <x v="28"/>
    <x v="1"/>
    <x v="0"/>
    <x v="1"/>
    <x v="1"/>
    <x v="1"/>
    <x v="79"/>
    <x v="59"/>
    <x v="0"/>
    <x v="0"/>
    <x v="0"/>
  </r>
  <r>
    <x v="82"/>
    <x v="1"/>
    <x v="0"/>
    <x v="78"/>
    <x v="80"/>
    <x v="2"/>
    <x v="1"/>
    <x v="4"/>
    <x v="1"/>
    <x v="0"/>
    <x v="1"/>
    <x v="1"/>
    <x v="1"/>
    <x v="80"/>
    <x v="60"/>
    <x v="0"/>
    <x v="0"/>
    <x v="2"/>
  </r>
  <r>
    <x v="83"/>
    <x v="0"/>
    <x v="1"/>
    <x v="79"/>
    <x v="81"/>
    <x v="0"/>
    <x v="0"/>
    <x v="17"/>
    <x v="1"/>
    <x v="0"/>
    <x v="1"/>
    <x v="0"/>
    <x v="1"/>
    <x v="81"/>
    <x v="61"/>
    <x v="2"/>
    <x v="0"/>
    <x v="0"/>
  </r>
  <r>
    <x v="84"/>
    <x v="1"/>
    <x v="2"/>
    <x v="80"/>
    <x v="82"/>
    <x v="2"/>
    <x v="1"/>
    <x v="34"/>
    <x v="1"/>
    <x v="0"/>
    <x v="1"/>
    <x v="1"/>
    <x v="1"/>
    <x v="82"/>
    <x v="29"/>
    <x v="2"/>
    <x v="0"/>
    <x v="0"/>
  </r>
  <r>
    <x v="85"/>
    <x v="1"/>
    <x v="0"/>
    <x v="81"/>
    <x v="83"/>
    <x v="1"/>
    <x v="1"/>
    <x v="40"/>
    <x v="2"/>
    <x v="0"/>
    <x v="6"/>
    <x v="1"/>
    <x v="2"/>
    <x v="83"/>
    <x v="62"/>
    <x v="2"/>
    <x v="0"/>
    <x v="0"/>
  </r>
  <r>
    <x v="86"/>
    <x v="0"/>
    <x v="0"/>
    <x v="82"/>
    <x v="84"/>
    <x v="0"/>
    <x v="0"/>
    <x v="36"/>
    <x v="0"/>
    <x v="4"/>
    <x v="2"/>
    <x v="0"/>
    <x v="2"/>
    <x v="84"/>
    <x v="63"/>
    <x v="2"/>
    <x v="0"/>
    <x v="0"/>
  </r>
  <r>
    <x v="87"/>
    <x v="0"/>
    <x v="0"/>
    <x v="83"/>
    <x v="85"/>
    <x v="0"/>
    <x v="0"/>
    <x v="4"/>
    <x v="1"/>
    <x v="0"/>
    <x v="1"/>
    <x v="0"/>
    <x v="1"/>
    <x v="85"/>
    <x v="4"/>
    <x v="0"/>
    <x v="0"/>
    <x v="0"/>
  </r>
  <r>
    <x v="88"/>
    <x v="1"/>
    <x v="1"/>
    <x v="26"/>
    <x v="86"/>
    <x v="2"/>
    <x v="1"/>
    <x v="41"/>
    <x v="2"/>
    <x v="2"/>
    <x v="5"/>
    <x v="1"/>
    <x v="2"/>
    <x v="26"/>
    <x v="23"/>
    <x v="1"/>
    <x v="8"/>
    <x v="0"/>
  </r>
  <r>
    <x v="89"/>
    <x v="0"/>
    <x v="0"/>
    <x v="84"/>
    <x v="87"/>
    <x v="0"/>
    <x v="0"/>
    <x v="42"/>
    <x v="1"/>
    <x v="0"/>
    <x v="1"/>
    <x v="0"/>
    <x v="1"/>
    <x v="86"/>
    <x v="4"/>
    <x v="0"/>
    <x v="0"/>
    <x v="0"/>
  </r>
  <r>
    <x v="90"/>
    <x v="0"/>
    <x v="0"/>
    <x v="85"/>
    <x v="88"/>
    <x v="0"/>
    <x v="0"/>
    <x v="28"/>
    <x v="1"/>
    <x v="0"/>
    <x v="1"/>
    <x v="0"/>
    <x v="1"/>
    <x v="87"/>
    <x v="4"/>
    <x v="0"/>
    <x v="0"/>
    <x v="0"/>
  </r>
  <r>
    <x v="91"/>
    <x v="0"/>
    <x v="0"/>
    <x v="86"/>
    <x v="89"/>
    <x v="0"/>
    <x v="0"/>
    <x v="11"/>
    <x v="1"/>
    <x v="0"/>
    <x v="1"/>
    <x v="0"/>
    <x v="1"/>
    <x v="88"/>
    <x v="13"/>
    <x v="0"/>
    <x v="0"/>
    <x v="0"/>
  </r>
  <r>
    <x v="92"/>
    <x v="0"/>
    <x v="1"/>
    <x v="87"/>
    <x v="90"/>
    <x v="0"/>
    <x v="0"/>
    <x v="43"/>
    <x v="0"/>
    <x v="0"/>
    <x v="0"/>
    <x v="0"/>
    <x v="0"/>
    <x v="89"/>
    <x v="64"/>
    <x v="1"/>
    <x v="17"/>
    <x v="0"/>
  </r>
  <r>
    <x v="93"/>
    <x v="0"/>
    <x v="0"/>
    <x v="88"/>
    <x v="91"/>
    <x v="0"/>
    <x v="0"/>
    <x v="2"/>
    <x v="0"/>
    <x v="2"/>
    <x v="6"/>
    <x v="0"/>
    <x v="2"/>
    <x v="90"/>
    <x v="65"/>
    <x v="2"/>
    <x v="0"/>
    <x v="0"/>
  </r>
  <r>
    <x v="94"/>
    <x v="0"/>
    <x v="0"/>
    <x v="89"/>
    <x v="92"/>
    <x v="0"/>
    <x v="0"/>
    <x v="44"/>
    <x v="1"/>
    <x v="0"/>
    <x v="1"/>
    <x v="0"/>
    <x v="1"/>
    <x v="91"/>
    <x v="0"/>
    <x v="0"/>
    <x v="0"/>
    <x v="0"/>
  </r>
  <r>
    <x v="95"/>
    <x v="0"/>
    <x v="0"/>
    <x v="90"/>
    <x v="93"/>
    <x v="0"/>
    <x v="0"/>
    <x v="4"/>
    <x v="1"/>
    <x v="0"/>
    <x v="1"/>
    <x v="0"/>
    <x v="1"/>
    <x v="92"/>
    <x v="4"/>
    <x v="0"/>
    <x v="0"/>
    <x v="0"/>
  </r>
  <r>
    <x v="96"/>
    <x v="0"/>
    <x v="1"/>
    <x v="91"/>
    <x v="94"/>
    <x v="0"/>
    <x v="0"/>
    <x v="45"/>
    <x v="1"/>
    <x v="0"/>
    <x v="1"/>
    <x v="0"/>
    <x v="1"/>
    <x v="93"/>
    <x v="66"/>
    <x v="2"/>
    <x v="18"/>
    <x v="1"/>
  </r>
  <r>
    <x v="97"/>
    <x v="1"/>
    <x v="1"/>
    <x v="92"/>
    <x v="95"/>
    <x v="0"/>
    <x v="0"/>
    <x v="41"/>
    <x v="1"/>
    <x v="1"/>
    <x v="0"/>
    <x v="1"/>
    <x v="0"/>
    <x v="94"/>
    <x v="67"/>
    <x v="1"/>
    <x v="19"/>
    <x v="1"/>
  </r>
  <r>
    <x v="98"/>
    <x v="1"/>
    <x v="2"/>
    <x v="93"/>
    <x v="96"/>
    <x v="1"/>
    <x v="1"/>
    <x v="15"/>
    <x v="1"/>
    <x v="1"/>
    <x v="0"/>
    <x v="1"/>
    <x v="0"/>
    <x v="95"/>
    <x v="68"/>
    <x v="2"/>
    <x v="0"/>
    <x v="0"/>
  </r>
  <r>
    <x v="99"/>
    <x v="0"/>
    <x v="2"/>
    <x v="94"/>
    <x v="97"/>
    <x v="0"/>
    <x v="0"/>
    <x v="15"/>
    <x v="0"/>
    <x v="0"/>
    <x v="0"/>
    <x v="0"/>
    <x v="0"/>
    <x v="96"/>
    <x v="19"/>
    <x v="2"/>
    <x v="0"/>
    <x v="0"/>
  </r>
  <r>
    <x v="100"/>
    <x v="0"/>
    <x v="0"/>
    <x v="95"/>
    <x v="98"/>
    <x v="2"/>
    <x v="1"/>
    <x v="17"/>
    <x v="1"/>
    <x v="0"/>
    <x v="1"/>
    <x v="0"/>
    <x v="1"/>
    <x v="97"/>
    <x v="25"/>
    <x v="0"/>
    <x v="0"/>
    <x v="0"/>
  </r>
  <r>
    <x v="101"/>
    <x v="0"/>
    <x v="0"/>
    <x v="96"/>
    <x v="99"/>
    <x v="0"/>
    <x v="0"/>
    <x v="4"/>
    <x v="1"/>
    <x v="0"/>
    <x v="1"/>
    <x v="0"/>
    <x v="1"/>
    <x v="98"/>
    <x v="25"/>
    <x v="0"/>
    <x v="0"/>
    <x v="0"/>
  </r>
  <r>
    <x v="102"/>
    <x v="0"/>
    <x v="1"/>
    <x v="97"/>
    <x v="100"/>
    <x v="0"/>
    <x v="0"/>
    <x v="23"/>
    <x v="1"/>
    <x v="1"/>
    <x v="0"/>
    <x v="0"/>
    <x v="0"/>
    <x v="99"/>
    <x v="69"/>
    <x v="1"/>
    <x v="20"/>
    <x v="0"/>
  </r>
  <r>
    <x v="103"/>
    <x v="0"/>
    <x v="0"/>
    <x v="98"/>
    <x v="101"/>
    <x v="0"/>
    <x v="0"/>
    <x v="40"/>
    <x v="1"/>
    <x v="0"/>
    <x v="1"/>
    <x v="0"/>
    <x v="1"/>
    <x v="100"/>
    <x v="70"/>
    <x v="0"/>
    <x v="0"/>
    <x v="0"/>
  </r>
  <r>
    <x v="104"/>
    <x v="0"/>
    <x v="0"/>
    <x v="99"/>
    <x v="102"/>
    <x v="0"/>
    <x v="0"/>
    <x v="46"/>
    <x v="4"/>
    <x v="0"/>
    <x v="3"/>
    <x v="0"/>
    <x v="0"/>
    <x v="101"/>
    <x v="2"/>
    <x v="0"/>
    <x v="0"/>
    <x v="0"/>
  </r>
  <r>
    <x v="105"/>
    <x v="0"/>
    <x v="0"/>
    <x v="100"/>
    <x v="103"/>
    <x v="0"/>
    <x v="0"/>
    <x v="17"/>
    <x v="1"/>
    <x v="0"/>
    <x v="1"/>
    <x v="0"/>
    <x v="1"/>
    <x v="102"/>
    <x v="25"/>
    <x v="0"/>
    <x v="0"/>
    <x v="0"/>
  </r>
  <r>
    <x v="106"/>
    <x v="1"/>
    <x v="0"/>
    <x v="101"/>
    <x v="104"/>
    <x v="2"/>
    <x v="1"/>
    <x v="23"/>
    <x v="1"/>
    <x v="0"/>
    <x v="1"/>
    <x v="1"/>
    <x v="1"/>
    <x v="103"/>
    <x v="55"/>
    <x v="0"/>
    <x v="0"/>
    <x v="0"/>
  </r>
  <r>
    <x v="107"/>
    <x v="1"/>
    <x v="0"/>
    <x v="102"/>
    <x v="105"/>
    <x v="0"/>
    <x v="0"/>
    <x v="4"/>
    <x v="1"/>
    <x v="0"/>
    <x v="1"/>
    <x v="1"/>
    <x v="1"/>
    <x v="104"/>
    <x v="71"/>
    <x v="0"/>
    <x v="0"/>
    <x v="0"/>
  </r>
  <r>
    <x v="108"/>
    <x v="0"/>
    <x v="0"/>
    <x v="103"/>
    <x v="106"/>
    <x v="0"/>
    <x v="0"/>
    <x v="1"/>
    <x v="1"/>
    <x v="0"/>
    <x v="1"/>
    <x v="0"/>
    <x v="1"/>
    <x v="105"/>
    <x v="25"/>
    <x v="0"/>
    <x v="0"/>
    <x v="0"/>
  </r>
  <r>
    <x v="109"/>
    <x v="1"/>
    <x v="0"/>
    <x v="5"/>
    <x v="82"/>
    <x v="2"/>
    <x v="1"/>
    <x v="4"/>
    <x v="0"/>
    <x v="0"/>
    <x v="0"/>
    <x v="1"/>
    <x v="0"/>
    <x v="106"/>
    <x v="72"/>
    <x v="2"/>
    <x v="0"/>
    <x v="2"/>
  </r>
  <r>
    <x v="110"/>
    <x v="0"/>
    <x v="1"/>
    <x v="104"/>
    <x v="107"/>
    <x v="0"/>
    <x v="0"/>
    <x v="47"/>
    <x v="1"/>
    <x v="0"/>
    <x v="1"/>
    <x v="0"/>
    <x v="1"/>
    <x v="107"/>
    <x v="31"/>
    <x v="1"/>
    <x v="21"/>
    <x v="0"/>
  </r>
  <r>
    <x v="111"/>
    <x v="0"/>
    <x v="0"/>
    <x v="105"/>
    <x v="108"/>
    <x v="2"/>
    <x v="1"/>
    <x v="48"/>
    <x v="0"/>
    <x v="0"/>
    <x v="0"/>
    <x v="0"/>
    <x v="0"/>
    <x v="108"/>
    <x v="53"/>
    <x v="2"/>
    <x v="0"/>
    <x v="1"/>
  </r>
  <r>
    <x v="112"/>
    <x v="0"/>
    <x v="0"/>
    <x v="106"/>
    <x v="109"/>
    <x v="0"/>
    <x v="0"/>
    <x v="0"/>
    <x v="1"/>
    <x v="0"/>
    <x v="1"/>
    <x v="0"/>
    <x v="1"/>
    <x v="109"/>
    <x v="4"/>
    <x v="0"/>
    <x v="0"/>
    <x v="0"/>
  </r>
  <r>
    <x v="113"/>
    <x v="0"/>
    <x v="0"/>
    <x v="107"/>
    <x v="110"/>
    <x v="2"/>
    <x v="1"/>
    <x v="11"/>
    <x v="0"/>
    <x v="0"/>
    <x v="0"/>
    <x v="0"/>
    <x v="0"/>
    <x v="110"/>
    <x v="73"/>
    <x v="0"/>
    <x v="0"/>
    <x v="0"/>
  </r>
  <r>
    <x v="114"/>
    <x v="0"/>
    <x v="0"/>
    <x v="108"/>
    <x v="111"/>
    <x v="2"/>
    <x v="1"/>
    <x v="34"/>
    <x v="1"/>
    <x v="0"/>
    <x v="1"/>
    <x v="0"/>
    <x v="1"/>
    <x v="111"/>
    <x v="74"/>
    <x v="2"/>
    <x v="0"/>
    <x v="1"/>
  </r>
  <r>
    <x v="115"/>
    <x v="0"/>
    <x v="0"/>
    <x v="109"/>
    <x v="112"/>
    <x v="0"/>
    <x v="0"/>
    <x v="23"/>
    <x v="1"/>
    <x v="0"/>
    <x v="1"/>
    <x v="0"/>
    <x v="1"/>
    <x v="112"/>
    <x v="2"/>
    <x v="0"/>
    <x v="0"/>
    <x v="0"/>
  </r>
  <r>
    <x v="116"/>
    <x v="0"/>
    <x v="0"/>
    <x v="110"/>
    <x v="113"/>
    <x v="0"/>
    <x v="0"/>
    <x v="49"/>
    <x v="1"/>
    <x v="0"/>
    <x v="1"/>
    <x v="0"/>
    <x v="1"/>
    <x v="113"/>
    <x v="28"/>
    <x v="0"/>
    <x v="0"/>
    <x v="2"/>
  </r>
  <r>
    <x v="117"/>
    <x v="0"/>
    <x v="2"/>
    <x v="39"/>
    <x v="114"/>
    <x v="0"/>
    <x v="0"/>
    <x v="28"/>
    <x v="0"/>
    <x v="0"/>
    <x v="0"/>
    <x v="0"/>
    <x v="0"/>
    <x v="40"/>
    <x v="35"/>
    <x v="2"/>
    <x v="0"/>
    <x v="0"/>
  </r>
  <r>
    <x v="118"/>
    <x v="0"/>
    <x v="1"/>
    <x v="111"/>
    <x v="115"/>
    <x v="0"/>
    <x v="0"/>
    <x v="42"/>
    <x v="1"/>
    <x v="1"/>
    <x v="0"/>
    <x v="0"/>
    <x v="0"/>
    <x v="114"/>
    <x v="75"/>
    <x v="1"/>
    <x v="22"/>
    <x v="1"/>
  </r>
  <r>
    <x v="119"/>
    <x v="0"/>
    <x v="0"/>
    <x v="13"/>
    <x v="116"/>
    <x v="2"/>
    <x v="1"/>
    <x v="6"/>
    <x v="3"/>
    <x v="2"/>
    <x v="4"/>
    <x v="0"/>
    <x v="2"/>
    <x v="13"/>
    <x v="12"/>
    <x v="2"/>
    <x v="0"/>
    <x v="0"/>
  </r>
  <r>
    <x v="120"/>
    <x v="0"/>
    <x v="2"/>
    <x v="112"/>
    <x v="117"/>
    <x v="0"/>
    <x v="0"/>
    <x v="23"/>
    <x v="4"/>
    <x v="0"/>
    <x v="3"/>
    <x v="0"/>
    <x v="0"/>
    <x v="70"/>
    <x v="52"/>
    <x v="1"/>
    <x v="0"/>
    <x v="0"/>
  </r>
  <r>
    <x v="121"/>
    <x v="0"/>
    <x v="0"/>
    <x v="113"/>
    <x v="118"/>
    <x v="0"/>
    <x v="0"/>
    <x v="4"/>
    <x v="1"/>
    <x v="0"/>
    <x v="1"/>
    <x v="0"/>
    <x v="1"/>
    <x v="115"/>
    <x v="4"/>
    <x v="0"/>
    <x v="0"/>
    <x v="0"/>
  </r>
  <r>
    <x v="122"/>
    <x v="0"/>
    <x v="2"/>
    <x v="9"/>
    <x v="119"/>
    <x v="0"/>
    <x v="0"/>
    <x v="50"/>
    <x v="0"/>
    <x v="0"/>
    <x v="0"/>
    <x v="0"/>
    <x v="0"/>
    <x v="9"/>
    <x v="9"/>
    <x v="2"/>
    <x v="0"/>
    <x v="1"/>
  </r>
  <r>
    <x v="123"/>
    <x v="1"/>
    <x v="2"/>
    <x v="114"/>
    <x v="120"/>
    <x v="2"/>
    <x v="1"/>
    <x v="50"/>
    <x v="1"/>
    <x v="0"/>
    <x v="1"/>
    <x v="1"/>
    <x v="1"/>
    <x v="116"/>
    <x v="16"/>
    <x v="2"/>
    <x v="23"/>
    <x v="0"/>
  </r>
  <r>
    <x v="124"/>
    <x v="0"/>
    <x v="1"/>
    <x v="97"/>
    <x v="121"/>
    <x v="0"/>
    <x v="0"/>
    <x v="5"/>
    <x v="1"/>
    <x v="1"/>
    <x v="0"/>
    <x v="0"/>
    <x v="0"/>
    <x v="99"/>
    <x v="69"/>
    <x v="1"/>
    <x v="20"/>
    <x v="0"/>
  </r>
  <r>
    <x v="125"/>
    <x v="1"/>
    <x v="0"/>
    <x v="37"/>
    <x v="122"/>
    <x v="3"/>
    <x v="0"/>
    <x v="51"/>
    <x v="0"/>
    <x v="0"/>
    <x v="0"/>
    <x v="1"/>
    <x v="0"/>
    <x v="38"/>
    <x v="33"/>
    <x v="2"/>
    <x v="0"/>
    <x v="1"/>
  </r>
  <r>
    <x v="126"/>
    <x v="0"/>
    <x v="0"/>
    <x v="115"/>
    <x v="123"/>
    <x v="0"/>
    <x v="0"/>
    <x v="4"/>
    <x v="1"/>
    <x v="0"/>
    <x v="1"/>
    <x v="0"/>
    <x v="1"/>
    <x v="117"/>
    <x v="28"/>
    <x v="0"/>
    <x v="0"/>
    <x v="2"/>
  </r>
  <r>
    <x v="127"/>
    <x v="1"/>
    <x v="0"/>
    <x v="116"/>
    <x v="124"/>
    <x v="0"/>
    <x v="0"/>
    <x v="42"/>
    <x v="1"/>
    <x v="0"/>
    <x v="1"/>
    <x v="1"/>
    <x v="1"/>
    <x v="118"/>
    <x v="76"/>
    <x v="0"/>
    <x v="0"/>
    <x v="0"/>
  </r>
  <r>
    <x v="128"/>
    <x v="1"/>
    <x v="0"/>
    <x v="117"/>
    <x v="125"/>
    <x v="2"/>
    <x v="1"/>
    <x v="4"/>
    <x v="0"/>
    <x v="1"/>
    <x v="3"/>
    <x v="1"/>
    <x v="0"/>
    <x v="119"/>
    <x v="77"/>
    <x v="2"/>
    <x v="24"/>
    <x v="1"/>
  </r>
  <r>
    <x v="129"/>
    <x v="0"/>
    <x v="0"/>
    <x v="118"/>
    <x v="126"/>
    <x v="0"/>
    <x v="0"/>
    <x v="33"/>
    <x v="1"/>
    <x v="0"/>
    <x v="1"/>
    <x v="0"/>
    <x v="1"/>
    <x v="120"/>
    <x v="78"/>
    <x v="0"/>
    <x v="0"/>
    <x v="0"/>
  </r>
  <r>
    <x v="130"/>
    <x v="0"/>
    <x v="0"/>
    <x v="119"/>
    <x v="127"/>
    <x v="0"/>
    <x v="0"/>
    <x v="40"/>
    <x v="1"/>
    <x v="0"/>
    <x v="1"/>
    <x v="0"/>
    <x v="1"/>
    <x v="121"/>
    <x v="25"/>
    <x v="0"/>
    <x v="0"/>
    <x v="1"/>
  </r>
  <r>
    <x v="131"/>
    <x v="0"/>
    <x v="0"/>
    <x v="120"/>
    <x v="128"/>
    <x v="0"/>
    <x v="0"/>
    <x v="11"/>
    <x v="1"/>
    <x v="0"/>
    <x v="1"/>
    <x v="0"/>
    <x v="1"/>
    <x v="122"/>
    <x v="79"/>
    <x v="0"/>
    <x v="0"/>
    <x v="0"/>
  </r>
  <r>
    <x v="132"/>
    <x v="0"/>
    <x v="0"/>
    <x v="121"/>
    <x v="129"/>
    <x v="1"/>
    <x v="1"/>
    <x v="47"/>
    <x v="0"/>
    <x v="0"/>
    <x v="0"/>
    <x v="0"/>
    <x v="0"/>
    <x v="123"/>
    <x v="80"/>
    <x v="2"/>
    <x v="0"/>
    <x v="0"/>
  </r>
  <r>
    <x v="133"/>
    <x v="1"/>
    <x v="2"/>
    <x v="122"/>
    <x v="130"/>
    <x v="1"/>
    <x v="1"/>
    <x v="28"/>
    <x v="0"/>
    <x v="0"/>
    <x v="0"/>
    <x v="1"/>
    <x v="0"/>
    <x v="124"/>
    <x v="19"/>
    <x v="2"/>
    <x v="0"/>
    <x v="0"/>
  </r>
  <r>
    <x v="134"/>
    <x v="0"/>
    <x v="2"/>
    <x v="123"/>
    <x v="131"/>
    <x v="0"/>
    <x v="0"/>
    <x v="37"/>
    <x v="1"/>
    <x v="0"/>
    <x v="1"/>
    <x v="0"/>
    <x v="1"/>
    <x v="125"/>
    <x v="16"/>
    <x v="2"/>
    <x v="0"/>
    <x v="0"/>
  </r>
  <r>
    <x v="135"/>
    <x v="0"/>
    <x v="2"/>
    <x v="124"/>
    <x v="132"/>
    <x v="0"/>
    <x v="0"/>
    <x v="41"/>
    <x v="1"/>
    <x v="0"/>
    <x v="1"/>
    <x v="0"/>
    <x v="1"/>
    <x v="126"/>
    <x v="81"/>
    <x v="2"/>
    <x v="0"/>
    <x v="1"/>
  </r>
  <r>
    <x v="136"/>
    <x v="1"/>
    <x v="1"/>
    <x v="125"/>
    <x v="133"/>
    <x v="2"/>
    <x v="1"/>
    <x v="19"/>
    <x v="1"/>
    <x v="2"/>
    <x v="3"/>
    <x v="1"/>
    <x v="0"/>
    <x v="127"/>
    <x v="82"/>
    <x v="2"/>
    <x v="25"/>
    <x v="0"/>
  </r>
  <r>
    <x v="137"/>
    <x v="0"/>
    <x v="1"/>
    <x v="3"/>
    <x v="134"/>
    <x v="0"/>
    <x v="0"/>
    <x v="46"/>
    <x v="0"/>
    <x v="0"/>
    <x v="0"/>
    <x v="0"/>
    <x v="0"/>
    <x v="3"/>
    <x v="3"/>
    <x v="1"/>
    <x v="2"/>
    <x v="0"/>
  </r>
  <r>
    <x v="138"/>
    <x v="0"/>
    <x v="0"/>
    <x v="126"/>
    <x v="135"/>
    <x v="0"/>
    <x v="0"/>
    <x v="36"/>
    <x v="1"/>
    <x v="0"/>
    <x v="1"/>
    <x v="0"/>
    <x v="1"/>
    <x v="128"/>
    <x v="83"/>
    <x v="0"/>
    <x v="0"/>
    <x v="0"/>
  </r>
  <r>
    <x v="139"/>
    <x v="0"/>
    <x v="1"/>
    <x v="127"/>
    <x v="136"/>
    <x v="0"/>
    <x v="0"/>
    <x v="42"/>
    <x v="1"/>
    <x v="0"/>
    <x v="1"/>
    <x v="0"/>
    <x v="1"/>
    <x v="129"/>
    <x v="84"/>
    <x v="1"/>
    <x v="26"/>
    <x v="1"/>
  </r>
  <r>
    <x v="140"/>
    <x v="0"/>
    <x v="0"/>
    <x v="128"/>
    <x v="137"/>
    <x v="1"/>
    <x v="1"/>
    <x v="4"/>
    <x v="1"/>
    <x v="2"/>
    <x v="3"/>
    <x v="0"/>
    <x v="0"/>
    <x v="130"/>
    <x v="49"/>
    <x v="2"/>
    <x v="0"/>
    <x v="1"/>
  </r>
  <r>
    <x v="141"/>
    <x v="1"/>
    <x v="0"/>
    <x v="129"/>
    <x v="138"/>
    <x v="2"/>
    <x v="1"/>
    <x v="0"/>
    <x v="1"/>
    <x v="0"/>
    <x v="1"/>
    <x v="1"/>
    <x v="1"/>
    <x v="131"/>
    <x v="28"/>
    <x v="0"/>
    <x v="0"/>
    <x v="0"/>
  </r>
  <r>
    <x v="142"/>
    <x v="1"/>
    <x v="0"/>
    <x v="130"/>
    <x v="139"/>
    <x v="1"/>
    <x v="1"/>
    <x v="42"/>
    <x v="0"/>
    <x v="0"/>
    <x v="0"/>
    <x v="1"/>
    <x v="0"/>
    <x v="132"/>
    <x v="62"/>
    <x v="2"/>
    <x v="0"/>
    <x v="0"/>
  </r>
  <r>
    <x v="143"/>
    <x v="0"/>
    <x v="0"/>
    <x v="131"/>
    <x v="140"/>
    <x v="0"/>
    <x v="0"/>
    <x v="19"/>
    <x v="1"/>
    <x v="0"/>
    <x v="1"/>
    <x v="0"/>
    <x v="1"/>
    <x v="133"/>
    <x v="85"/>
    <x v="0"/>
    <x v="0"/>
    <x v="2"/>
  </r>
  <r>
    <x v="144"/>
    <x v="0"/>
    <x v="2"/>
    <x v="132"/>
    <x v="141"/>
    <x v="0"/>
    <x v="0"/>
    <x v="24"/>
    <x v="1"/>
    <x v="0"/>
    <x v="1"/>
    <x v="0"/>
    <x v="1"/>
    <x v="134"/>
    <x v="86"/>
    <x v="2"/>
    <x v="0"/>
    <x v="0"/>
  </r>
  <r>
    <x v="145"/>
    <x v="0"/>
    <x v="2"/>
    <x v="133"/>
    <x v="142"/>
    <x v="0"/>
    <x v="0"/>
    <x v="19"/>
    <x v="0"/>
    <x v="1"/>
    <x v="3"/>
    <x v="0"/>
    <x v="0"/>
    <x v="135"/>
    <x v="87"/>
    <x v="2"/>
    <x v="0"/>
    <x v="0"/>
  </r>
  <r>
    <x v="146"/>
    <x v="1"/>
    <x v="0"/>
    <x v="13"/>
    <x v="143"/>
    <x v="0"/>
    <x v="0"/>
    <x v="7"/>
    <x v="1"/>
    <x v="0"/>
    <x v="1"/>
    <x v="1"/>
    <x v="1"/>
    <x v="136"/>
    <x v="88"/>
    <x v="0"/>
    <x v="0"/>
    <x v="0"/>
  </r>
  <r>
    <x v="147"/>
    <x v="0"/>
    <x v="0"/>
    <x v="82"/>
    <x v="144"/>
    <x v="2"/>
    <x v="1"/>
    <x v="52"/>
    <x v="4"/>
    <x v="2"/>
    <x v="2"/>
    <x v="0"/>
    <x v="2"/>
    <x v="84"/>
    <x v="63"/>
    <x v="2"/>
    <x v="0"/>
    <x v="0"/>
  </r>
  <r>
    <x v="148"/>
    <x v="0"/>
    <x v="2"/>
    <x v="134"/>
    <x v="145"/>
    <x v="0"/>
    <x v="0"/>
    <x v="53"/>
    <x v="1"/>
    <x v="2"/>
    <x v="3"/>
    <x v="0"/>
    <x v="0"/>
    <x v="137"/>
    <x v="19"/>
    <x v="2"/>
    <x v="27"/>
    <x v="0"/>
  </r>
  <r>
    <x v="149"/>
    <x v="0"/>
    <x v="2"/>
    <x v="135"/>
    <x v="146"/>
    <x v="5"/>
    <x v="0"/>
    <x v="22"/>
    <x v="1"/>
    <x v="0"/>
    <x v="1"/>
    <x v="0"/>
    <x v="1"/>
    <x v="138"/>
    <x v="16"/>
    <x v="2"/>
    <x v="0"/>
    <x v="0"/>
  </r>
  <r>
    <x v="150"/>
    <x v="0"/>
    <x v="2"/>
    <x v="136"/>
    <x v="147"/>
    <x v="5"/>
    <x v="0"/>
    <x v="54"/>
    <x v="1"/>
    <x v="0"/>
    <x v="1"/>
    <x v="0"/>
    <x v="1"/>
    <x v="139"/>
    <x v="89"/>
    <x v="2"/>
    <x v="0"/>
    <x v="0"/>
  </r>
  <r>
    <x v="151"/>
    <x v="1"/>
    <x v="1"/>
    <x v="137"/>
    <x v="148"/>
    <x v="1"/>
    <x v="1"/>
    <x v="0"/>
    <x v="0"/>
    <x v="0"/>
    <x v="0"/>
    <x v="1"/>
    <x v="0"/>
    <x v="140"/>
    <x v="90"/>
    <x v="1"/>
    <x v="28"/>
    <x v="0"/>
  </r>
  <r>
    <x v="152"/>
    <x v="0"/>
    <x v="0"/>
    <x v="138"/>
    <x v="149"/>
    <x v="0"/>
    <x v="0"/>
    <x v="55"/>
    <x v="1"/>
    <x v="0"/>
    <x v="1"/>
    <x v="0"/>
    <x v="1"/>
    <x v="141"/>
    <x v="4"/>
    <x v="0"/>
    <x v="0"/>
    <x v="0"/>
  </r>
  <r>
    <x v="153"/>
    <x v="0"/>
    <x v="0"/>
    <x v="139"/>
    <x v="150"/>
    <x v="0"/>
    <x v="0"/>
    <x v="56"/>
    <x v="1"/>
    <x v="2"/>
    <x v="3"/>
    <x v="0"/>
    <x v="0"/>
    <x v="142"/>
    <x v="80"/>
    <x v="2"/>
    <x v="0"/>
    <x v="0"/>
  </r>
  <r>
    <x v="154"/>
    <x v="0"/>
    <x v="0"/>
    <x v="140"/>
    <x v="151"/>
    <x v="0"/>
    <x v="0"/>
    <x v="4"/>
    <x v="1"/>
    <x v="0"/>
    <x v="1"/>
    <x v="0"/>
    <x v="1"/>
    <x v="143"/>
    <x v="91"/>
    <x v="0"/>
    <x v="0"/>
    <x v="0"/>
  </r>
  <r>
    <x v="155"/>
    <x v="0"/>
    <x v="1"/>
    <x v="17"/>
    <x v="152"/>
    <x v="0"/>
    <x v="0"/>
    <x v="54"/>
    <x v="1"/>
    <x v="1"/>
    <x v="0"/>
    <x v="0"/>
    <x v="0"/>
    <x v="144"/>
    <x v="92"/>
    <x v="1"/>
    <x v="0"/>
    <x v="1"/>
  </r>
  <r>
    <x v="156"/>
    <x v="1"/>
    <x v="0"/>
    <x v="141"/>
    <x v="153"/>
    <x v="2"/>
    <x v="1"/>
    <x v="36"/>
    <x v="1"/>
    <x v="0"/>
    <x v="1"/>
    <x v="1"/>
    <x v="1"/>
    <x v="145"/>
    <x v="93"/>
    <x v="0"/>
    <x v="0"/>
    <x v="2"/>
  </r>
  <r>
    <x v="157"/>
    <x v="0"/>
    <x v="0"/>
    <x v="142"/>
    <x v="154"/>
    <x v="0"/>
    <x v="0"/>
    <x v="39"/>
    <x v="1"/>
    <x v="0"/>
    <x v="1"/>
    <x v="0"/>
    <x v="1"/>
    <x v="146"/>
    <x v="4"/>
    <x v="0"/>
    <x v="0"/>
    <x v="0"/>
  </r>
  <r>
    <x v="158"/>
    <x v="0"/>
    <x v="0"/>
    <x v="143"/>
    <x v="155"/>
    <x v="0"/>
    <x v="0"/>
    <x v="4"/>
    <x v="1"/>
    <x v="0"/>
    <x v="1"/>
    <x v="0"/>
    <x v="1"/>
    <x v="147"/>
    <x v="51"/>
    <x v="0"/>
    <x v="0"/>
    <x v="0"/>
  </r>
  <r>
    <x v="159"/>
    <x v="0"/>
    <x v="0"/>
    <x v="144"/>
    <x v="156"/>
    <x v="3"/>
    <x v="0"/>
    <x v="4"/>
    <x v="6"/>
    <x v="2"/>
    <x v="8"/>
    <x v="0"/>
    <x v="2"/>
    <x v="148"/>
    <x v="94"/>
    <x v="1"/>
    <x v="0"/>
    <x v="0"/>
  </r>
  <r>
    <x v="160"/>
    <x v="0"/>
    <x v="0"/>
    <x v="145"/>
    <x v="157"/>
    <x v="0"/>
    <x v="0"/>
    <x v="57"/>
    <x v="1"/>
    <x v="1"/>
    <x v="0"/>
    <x v="0"/>
    <x v="0"/>
    <x v="149"/>
    <x v="95"/>
    <x v="2"/>
    <x v="0"/>
    <x v="0"/>
  </r>
  <r>
    <x v="161"/>
    <x v="1"/>
    <x v="2"/>
    <x v="146"/>
    <x v="158"/>
    <x v="1"/>
    <x v="1"/>
    <x v="20"/>
    <x v="1"/>
    <x v="0"/>
    <x v="1"/>
    <x v="1"/>
    <x v="1"/>
    <x v="150"/>
    <x v="96"/>
    <x v="2"/>
    <x v="0"/>
    <x v="0"/>
  </r>
  <r>
    <x v="162"/>
    <x v="0"/>
    <x v="0"/>
    <x v="147"/>
    <x v="159"/>
    <x v="0"/>
    <x v="0"/>
    <x v="2"/>
    <x v="1"/>
    <x v="0"/>
    <x v="1"/>
    <x v="0"/>
    <x v="1"/>
    <x v="151"/>
    <x v="71"/>
    <x v="0"/>
    <x v="0"/>
    <x v="0"/>
  </r>
  <r>
    <x v="163"/>
    <x v="0"/>
    <x v="0"/>
    <x v="148"/>
    <x v="160"/>
    <x v="0"/>
    <x v="0"/>
    <x v="34"/>
    <x v="1"/>
    <x v="0"/>
    <x v="1"/>
    <x v="0"/>
    <x v="1"/>
    <x v="152"/>
    <x v="51"/>
    <x v="0"/>
    <x v="0"/>
    <x v="0"/>
  </r>
  <r>
    <x v="164"/>
    <x v="0"/>
    <x v="0"/>
    <x v="48"/>
    <x v="161"/>
    <x v="3"/>
    <x v="0"/>
    <x v="58"/>
    <x v="3"/>
    <x v="1"/>
    <x v="5"/>
    <x v="0"/>
    <x v="2"/>
    <x v="49"/>
    <x v="40"/>
    <x v="2"/>
    <x v="0"/>
    <x v="0"/>
  </r>
  <r>
    <x v="165"/>
    <x v="1"/>
    <x v="0"/>
    <x v="149"/>
    <x v="162"/>
    <x v="3"/>
    <x v="0"/>
    <x v="52"/>
    <x v="1"/>
    <x v="2"/>
    <x v="3"/>
    <x v="1"/>
    <x v="0"/>
    <x v="153"/>
    <x v="97"/>
    <x v="2"/>
    <x v="0"/>
    <x v="0"/>
  </r>
  <r>
    <x v="166"/>
    <x v="1"/>
    <x v="1"/>
    <x v="150"/>
    <x v="163"/>
    <x v="1"/>
    <x v="1"/>
    <x v="4"/>
    <x v="1"/>
    <x v="1"/>
    <x v="0"/>
    <x v="1"/>
    <x v="0"/>
    <x v="154"/>
    <x v="98"/>
    <x v="1"/>
    <x v="29"/>
    <x v="0"/>
  </r>
  <r>
    <x v="167"/>
    <x v="0"/>
    <x v="0"/>
    <x v="61"/>
    <x v="164"/>
    <x v="1"/>
    <x v="1"/>
    <x v="33"/>
    <x v="0"/>
    <x v="5"/>
    <x v="5"/>
    <x v="0"/>
    <x v="2"/>
    <x v="62"/>
    <x v="48"/>
    <x v="2"/>
    <x v="0"/>
    <x v="0"/>
  </r>
  <r>
    <x v="168"/>
    <x v="0"/>
    <x v="1"/>
    <x v="151"/>
    <x v="165"/>
    <x v="0"/>
    <x v="0"/>
    <x v="4"/>
    <x v="1"/>
    <x v="0"/>
    <x v="1"/>
    <x v="0"/>
    <x v="1"/>
    <x v="155"/>
    <x v="99"/>
    <x v="2"/>
    <x v="0"/>
    <x v="0"/>
  </r>
  <r>
    <x v="169"/>
    <x v="0"/>
    <x v="0"/>
    <x v="152"/>
    <x v="73"/>
    <x v="0"/>
    <x v="0"/>
    <x v="17"/>
    <x v="1"/>
    <x v="0"/>
    <x v="1"/>
    <x v="0"/>
    <x v="1"/>
    <x v="72"/>
    <x v="54"/>
    <x v="1"/>
    <x v="0"/>
    <x v="0"/>
  </r>
  <r>
    <x v="170"/>
    <x v="0"/>
    <x v="1"/>
    <x v="153"/>
    <x v="166"/>
    <x v="0"/>
    <x v="0"/>
    <x v="59"/>
    <x v="1"/>
    <x v="0"/>
    <x v="1"/>
    <x v="0"/>
    <x v="1"/>
    <x v="156"/>
    <x v="100"/>
    <x v="2"/>
    <x v="30"/>
    <x v="0"/>
  </r>
  <r>
    <x v="171"/>
    <x v="0"/>
    <x v="0"/>
    <x v="16"/>
    <x v="167"/>
    <x v="3"/>
    <x v="0"/>
    <x v="9"/>
    <x v="3"/>
    <x v="1"/>
    <x v="5"/>
    <x v="0"/>
    <x v="2"/>
    <x v="16"/>
    <x v="15"/>
    <x v="2"/>
    <x v="0"/>
    <x v="2"/>
  </r>
  <r>
    <x v="172"/>
    <x v="1"/>
    <x v="0"/>
    <x v="8"/>
    <x v="168"/>
    <x v="2"/>
    <x v="1"/>
    <x v="58"/>
    <x v="0"/>
    <x v="1"/>
    <x v="3"/>
    <x v="1"/>
    <x v="0"/>
    <x v="8"/>
    <x v="8"/>
    <x v="2"/>
    <x v="0"/>
    <x v="0"/>
  </r>
  <r>
    <x v="173"/>
    <x v="0"/>
    <x v="0"/>
    <x v="154"/>
    <x v="169"/>
    <x v="0"/>
    <x v="0"/>
    <x v="23"/>
    <x v="1"/>
    <x v="0"/>
    <x v="1"/>
    <x v="0"/>
    <x v="1"/>
    <x v="157"/>
    <x v="2"/>
    <x v="0"/>
    <x v="0"/>
    <x v="0"/>
  </r>
  <r>
    <x v="174"/>
    <x v="0"/>
    <x v="1"/>
    <x v="155"/>
    <x v="170"/>
    <x v="0"/>
    <x v="0"/>
    <x v="60"/>
    <x v="1"/>
    <x v="0"/>
    <x v="1"/>
    <x v="0"/>
    <x v="1"/>
    <x v="158"/>
    <x v="101"/>
    <x v="2"/>
    <x v="31"/>
    <x v="1"/>
  </r>
  <r>
    <x v="175"/>
    <x v="0"/>
    <x v="0"/>
    <x v="156"/>
    <x v="171"/>
    <x v="0"/>
    <x v="0"/>
    <x v="24"/>
    <x v="0"/>
    <x v="1"/>
    <x v="3"/>
    <x v="0"/>
    <x v="0"/>
    <x v="159"/>
    <x v="13"/>
    <x v="0"/>
    <x v="0"/>
    <x v="0"/>
  </r>
  <r>
    <x v="176"/>
    <x v="0"/>
    <x v="0"/>
    <x v="157"/>
    <x v="172"/>
    <x v="3"/>
    <x v="0"/>
    <x v="4"/>
    <x v="2"/>
    <x v="1"/>
    <x v="2"/>
    <x v="0"/>
    <x v="2"/>
    <x v="160"/>
    <x v="102"/>
    <x v="2"/>
    <x v="0"/>
    <x v="0"/>
  </r>
  <r>
    <x v="177"/>
    <x v="0"/>
    <x v="1"/>
    <x v="158"/>
    <x v="173"/>
    <x v="2"/>
    <x v="1"/>
    <x v="61"/>
    <x v="1"/>
    <x v="0"/>
    <x v="1"/>
    <x v="0"/>
    <x v="1"/>
    <x v="161"/>
    <x v="103"/>
    <x v="2"/>
    <x v="32"/>
    <x v="1"/>
  </r>
  <r>
    <x v="178"/>
    <x v="0"/>
    <x v="2"/>
    <x v="159"/>
    <x v="174"/>
    <x v="0"/>
    <x v="0"/>
    <x v="39"/>
    <x v="1"/>
    <x v="0"/>
    <x v="1"/>
    <x v="0"/>
    <x v="1"/>
    <x v="162"/>
    <x v="16"/>
    <x v="2"/>
    <x v="0"/>
    <x v="0"/>
  </r>
  <r>
    <x v="179"/>
    <x v="0"/>
    <x v="0"/>
    <x v="160"/>
    <x v="175"/>
    <x v="0"/>
    <x v="0"/>
    <x v="62"/>
    <x v="1"/>
    <x v="0"/>
    <x v="1"/>
    <x v="0"/>
    <x v="1"/>
    <x v="163"/>
    <x v="104"/>
    <x v="0"/>
    <x v="0"/>
    <x v="0"/>
  </r>
  <r>
    <x v="180"/>
    <x v="0"/>
    <x v="0"/>
    <x v="144"/>
    <x v="176"/>
    <x v="2"/>
    <x v="1"/>
    <x v="4"/>
    <x v="6"/>
    <x v="2"/>
    <x v="8"/>
    <x v="0"/>
    <x v="2"/>
    <x v="148"/>
    <x v="94"/>
    <x v="1"/>
    <x v="0"/>
    <x v="0"/>
  </r>
  <r>
    <x v="181"/>
    <x v="0"/>
    <x v="2"/>
    <x v="161"/>
    <x v="177"/>
    <x v="0"/>
    <x v="0"/>
    <x v="4"/>
    <x v="1"/>
    <x v="0"/>
    <x v="1"/>
    <x v="0"/>
    <x v="1"/>
    <x v="164"/>
    <x v="105"/>
    <x v="2"/>
    <x v="0"/>
    <x v="1"/>
  </r>
  <r>
    <x v="182"/>
    <x v="0"/>
    <x v="0"/>
    <x v="24"/>
    <x v="178"/>
    <x v="3"/>
    <x v="0"/>
    <x v="52"/>
    <x v="3"/>
    <x v="2"/>
    <x v="4"/>
    <x v="0"/>
    <x v="2"/>
    <x v="24"/>
    <x v="22"/>
    <x v="2"/>
    <x v="0"/>
    <x v="0"/>
  </r>
  <r>
    <x v="183"/>
    <x v="1"/>
    <x v="2"/>
    <x v="162"/>
    <x v="179"/>
    <x v="3"/>
    <x v="0"/>
    <x v="58"/>
    <x v="4"/>
    <x v="1"/>
    <x v="6"/>
    <x v="1"/>
    <x v="2"/>
    <x v="165"/>
    <x v="106"/>
    <x v="2"/>
    <x v="33"/>
    <x v="0"/>
  </r>
  <r>
    <x v="184"/>
    <x v="1"/>
    <x v="0"/>
    <x v="163"/>
    <x v="180"/>
    <x v="2"/>
    <x v="1"/>
    <x v="9"/>
    <x v="1"/>
    <x v="2"/>
    <x v="3"/>
    <x v="1"/>
    <x v="0"/>
    <x v="166"/>
    <x v="107"/>
    <x v="2"/>
    <x v="0"/>
    <x v="0"/>
  </r>
  <r>
    <x v="185"/>
    <x v="0"/>
    <x v="1"/>
    <x v="164"/>
    <x v="181"/>
    <x v="0"/>
    <x v="0"/>
    <x v="4"/>
    <x v="1"/>
    <x v="0"/>
    <x v="1"/>
    <x v="0"/>
    <x v="1"/>
    <x v="167"/>
    <x v="108"/>
    <x v="1"/>
    <x v="34"/>
    <x v="0"/>
  </r>
  <r>
    <x v="186"/>
    <x v="1"/>
    <x v="0"/>
    <x v="165"/>
    <x v="182"/>
    <x v="1"/>
    <x v="1"/>
    <x v="4"/>
    <x v="0"/>
    <x v="0"/>
    <x v="0"/>
    <x v="1"/>
    <x v="0"/>
    <x v="168"/>
    <x v="37"/>
    <x v="2"/>
    <x v="0"/>
    <x v="2"/>
  </r>
  <r>
    <x v="187"/>
    <x v="1"/>
    <x v="1"/>
    <x v="166"/>
    <x v="183"/>
    <x v="0"/>
    <x v="0"/>
    <x v="33"/>
    <x v="1"/>
    <x v="0"/>
    <x v="1"/>
    <x v="1"/>
    <x v="1"/>
    <x v="169"/>
    <x v="11"/>
    <x v="2"/>
    <x v="0"/>
    <x v="0"/>
  </r>
  <r>
    <x v="188"/>
    <x v="0"/>
    <x v="0"/>
    <x v="167"/>
    <x v="184"/>
    <x v="0"/>
    <x v="0"/>
    <x v="20"/>
    <x v="0"/>
    <x v="1"/>
    <x v="3"/>
    <x v="0"/>
    <x v="0"/>
    <x v="170"/>
    <x v="37"/>
    <x v="2"/>
    <x v="0"/>
    <x v="2"/>
  </r>
  <r>
    <x v="189"/>
    <x v="0"/>
    <x v="0"/>
    <x v="168"/>
    <x v="185"/>
    <x v="0"/>
    <x v="0"/>
    <x v="62"/>
    <x v="1"/>
    <x v="0"/>
    <x v="1"/>
    <x v="0"/>
    <x v="1"/>
    <x v="171"/>
    <x v="25"/>
    <x v="0"/>
    <x v="0"/>
    <x v="0"/>
  </r>
  <r>
    <x v="190"/>
    <x v="1"/>
    <x v="2"/>
    <x v="169"/>
    <x v="186"/>
    <x v="1"/>
    <x v="1"/>
    <x v="35"/>
    <x v="1"/>
    <x v="0"/>
    <x v="1"/>
    <x v="1"/>
    <x v="1"/>
    <x v="172"/>
    <x v="16"/>
    <x v="2"/>
    <x v="0"/>
    <x v="0"/>
  </r>
  <r>
    <x v="191"/>
    <x v="0"/>
    <x v="2"/>
    <x v="170"/>
    <x v="187"/>
    <x v="0"/>
    <x v="0"/>
    <x v="19"/>
    <x v="1"/>
    <x v="0"/>
    <x v="1"/>
    <x v="0"/>
    <x v="1"/>
    <x v="173"/>
    <x v="16"/>
    <x v="2"/>
    <x v="0"/>
    <x v="0"/>
  </r>
  <r>
    <x v="192"/>
    <x v="1"/>
    <x v="0"/>
    <x v="171"/>
    <x v="188"/>
    <x v="2"/>
    <x v="1"/>
    <x v="19"/>
    <x v="0"/>
    <x v="0"/>
    <x v="0"/>
    <x v="1"/>
    <x v="0"/>
    <x v="174"/>
    <x v="13"/>
    <x v="0"/>
    <x v="0"/>
    <x v="0"/>
  </r>
  <r>
    <x v="193"/>
    <x v="1"/>
    <x v="2"/>
    <x v="134"/>
    <x v="189"/>
    <x v="3"/>
    <x v="0"/>
    <x v="25"/>
    <x v="0"/>
    <x v="1"/>
    <x v="3"/>
    <x v="1"/>
    <x v="0"/>
    <x v="137"/>
    <x v="19"/>
    <x v="2"/>
    <x v="27"/>
    <x v="0"/>
  </r>
  <r>
    <x v="194"/>
    <x v="1"/>
    <x v="1"/>
    <x v="172"/>
    <x v="190"/>
    <x v="1"/>
    <x v="1"/>
    <x v="57"/>
    <x v="1"/>
    <x v="0"/>
    <x v="1"/>
    <x v="1"/>
    <x v="1"/>
    <x v="175"/>
    <x v="26"/>
    <x v="2"/>
    <x v="35"/>
    <x v="1"/>
  </r>
  <r>
    <x v="195"/>
    <x v="1"/>
    <x v="1"/>
    <x v="173"/>
    <x v="191"/>
    <x v="2"/>
    <x v="1"/>
    <x v="10"/>
    <x v="1"/>
    <x v="0"/>
    <x v="1"/>
    <x v="1"/>
    <x v="1"/>
    <x v="30"/>
    <x v="27"/>
    <x v="1"/>
    <x v="36"/>
    <x v="1"/>
  </r>
  <r>
    <x v="196"/>
    <x v="0"/>
    <x v="0"/>
    <x v="174"/>
    <x v="192"/>
    <x v="0"/>
    <x v="0"/>
    <x v="4"/>
    <x v="1"/>
    <x v="0"/>
    <x v="1"/>
    <x v="0"/>
    <x v="1"/>
    <x v="176"/>
    <x v="28"/>
    <x v="0"/>
    <x v="0"/>
    <x v="2"/>
  </r>
  <r>
    <x v="197"/>
    <x v="0"/>
    <x v="0"/>
    <x v="140"/>
    <x v="193"/>
    <x v="0"/>
    <x v="0"/>
    <x v="22"/>
    <x v="1"/>
    <x v="1"/>
    <x v="0"/>
    <x v="0"/>
    <x v="0"/>
    <x v="177"/>
    <x v="109"/>
    <x v="0"/>
    <x v="0"/>
    <x v="0"/>
  </r>
  <r>
    <x v="198"/>
    <x v="1"/>
    <x v="0"/>
    <x v="175"/>
    <x v="194"/>
    <x v="2"/>
    <x v="1"/>
    <x v="4"/>
    <x v="1"/>
    <x v="0"/>
    <x v="1"/>
    <x v="1"/>
    <x v="1"/>
    <x v="178"/>
    <x v="28"/>
    <x v="0"/>
    <x v="0"/>
    <x v="2"/>
  </r>
  <r>
    <x v="199"/>
    <x v="0"/>
    <x v="2"/>
    <x v="176"/>
    <x v="195"/>
    <x v="2"/>
    <x v="1"/>
    <x v="42"/>
    <x v="1"/>
    <x v="0"/>
    <x v="1"/>
    <x v="0"/>
    <x v="1"/>
    <x v="179"/>
    <x v="16"/>
    <x v="2"/>
    <x v="0"/>
    <x v="0"/>
  </r>
  <r>
    <x v="200"/>
    <x v="0"/>
    <x v="0"/>
    <x v="177"/>
    <x v="196"/>
    <x v="0"/>
    <x v="0"/>
    <x v="17"/>
    <x v="1"/>
    <x v="0"/>
    <x v="1"/>
    <x v="0"/>
    <x v="1"/>
    <x v="180"/>
    <x v="59"/>
    <x v="0"/>
    <x v="0"/>
    <x v="0"/>
  </r>
  <r>
    <x v="201"/>
    <x v="0"/>
    <x v="0"/>
    <x v="144"/>
    <x v="197"/>
    <x v="0"/>
    <x v="0"/>
    <x v="4"/>
    <x v="6"/>
    <x v="2"/>
    <x v="8"/>
    <x v="0"/>
    <x v="2"/>
    <x v="148"/>
    <x v="94"/>
    <x v="1"/>
    <x v="0"/>
    <x v="0"/>
  </r>
  <r>
    <x v="202"/>
    <x v="0"/>
    <x v="0"/>
    <x v="178"/>
    <x v="198"/>
    <x v="0"/>
    <x v="0"/>
    <x v="15"/>
    <x v="1"/>
    <x v="0"/>
    <x v="1"/>
    <x v="0"/>
    <x v="1"/>
    <x v="181"/>
    <x v="110"/>
    <x v="0"/>
    <x v="0"/>
    <x v="0"/>
  </r>
  <r>
    <x v="203"/>
    <x v="0"/>
    <x v="0"/>
    <x v="179"/>
    <x v="199"/>
    <x v="0"/>
    <x v="0"/>
    <x v="63"/>
    <x v="1"/>
    <x v="0"/>
    <x v="1"/>
    <x v="0"/>
    <x v="1"/>
    <x v="182"/>
    <x v="18"/>
    <x v="0"/>
    <x v="0"/>
    <x v="1"/>
  </r>
  <r>
    <x v="204"/>
    <x v="1"/>
    <x v="0"/>
    <x v="180"/>
    <x v="200"/>
    <x v="0"/>
    <x v="0"/>
    <x v="24"/>
    <x v="1"/>
    <x v="0"/>
    <x v="1"/>
    <x v="1"/>
    <x v="1"/>
    <x v="183"/>
    <x v="4"/>
    <x v="0"/>
    <x v="0"/>
    <x v="0"/>
  </r>
  <r>
    <x v="205"/>
    <x v="0"/>
    <x v="0"/>
    <x v="181"/>
    <x v="201"/>
    <x v="2"/>
    <x v="1"/>
    <x v="6"/>
    <x v="1"/>
    <x v="1"/>
    <x v="0"/>
    <x v="0"/>
    <x v="0"/>
    <x v="184"/>
    <x v="111"/>
    <x v="2"/>
    <x v="4"/>
    <x v="0"/>
  </r>
  <r>
    <x v="206"/>
    <x v="0"/>
    <x v="0"/>
    <x v="81"/>
    <x v="202"/>
    <x v="0"/>
    <x v="0"/>
    <x v="35"/>
    <x v="0"/>
    <x v="0"/>
    <x v="0"/>
    <x v="0"/>
    <x v="0"/>
    <x v="83"/>
    <x v="62"/>
    <x v="2"/>
    <x v="0"/>
    <x v="0"/>
  </r>
  <r>
    <x v="207"/>
    <x v="1"/>
    <x v="0"/>
    <x v="182"/>
    <x v="203"/>
    <x v="0"/>
    <x v="0"/>
    <x v="2"/>
    <x v="1"/>
    <x v="0"/>
    <x v="1"/>
    <x v="1"/>
    <x v="1"/>
    <x v="185"/>
    <x v="112"/>
    <x v="2"/>
    <x v="0"/>
    <x v="1"/>
  </r>
  <r>
    <x v="208"/>
    <x v="1"/>
    <x v="0"/>
    <x v="183"/>
    <x v="204"/>
    <x v="2"/>
    <x v="1"/>
    <x v="36"/>
    <x v="1"/>
    <x v="0"/>
    <x v="1"/>
    <x v="1"/>
    <x v="1"/>
    <x v="186"/>
    <x v="28"/>
    <x v="0"/>
    <x v="0"/>
    <x v="2"/>
  </r>
  <r>
    <x v="209"/>
    <x v="1"/>
    <x v="1"/>
    <x v="184"/>
    <x v="205"/>
    <x v="0"/>
    <x v="0"/>
    <x v="20"/>
    <x v="1"/>
    <x v="0"/>
    <x v="1"/>
    <x v="1"/>
    <x v="1"/>
    <x v="187"/>
    <x v="113"/>
    <x v="2"/>
    <x v="37"/>
    <x v="1"/>
  </r>
  <r>
    <x v="210"/>
    <x v="0"/>
    <x v="0"/>
    <x v="185"/>
    <x v="206"/>
    <x v="0"/>
    <x v="0"/>
    <x v="42"/>
    <x v="1"/>
    <x v="0"/>
    <x v="1"/>
    <x v="0"/>
    <x v="1"/>
    <x v="188"/>
    <x v="79"/>
    <x v="0"/>
    <x v="0"/>
    <x v="0"/>
  </r>
  <r>
    <x v="211"/>
    <x v="1"/>
    <x v="2"/>
    <x v="186"/>
    <x v="207"/>
    <x v="2"/>
    <x v="1"/>
    <x v="3"/>
    <x v="1"/>
    <x v="0"/>
    <x v="1"/>
    <x v="1"/>
    <x v="1"/>
    <x v="189"/>
    <x v="35"/>
    <x v="2"/>
    <x v="0"/>
    <x v="0"/>
  </r>
  <r>
    <x v="212"/>
    <x v="0"/>
    <x v="0"/>
    <x v="187"/>
    <x v="208"/>
    <x v="0"/>
    <x v="0"/>
    <x v="0"/>
    <x v="1"/>
    <x v="0"/>
    <x v="1"/>
    <x v="0"/>
    <x v="1"/>
    <x v="190"/>
    <x v="0"/>
    <x v="0"/>
    <x v="0"/>
    <x v="0"/>
  </r>
  <r>
    <x v="213"/>
    <x v="0"/>
    <x v="2"/>
    <x v="188"/>
    <x v="209"/>
    <x v="0"/>
    <x v="0"/>
    <x v="39"/>
    <x v="1"/>
    <x v="0"/>
    <x v="1"/>
    <x v="0"/>
    <x v="1"/>
    <x v="191"/>
    <x v="16"/>
    <x v="2"/>
    <x v="0"/>
    <x v="0"/>
  </r>
  <r>
    <x v="214"/>
    <x v="0"/>
    <x v="0"/>
    <x v="189"/>
    <x v="210"/>
    <x v="0"/>
    <x v="0"/>
    <x v="4"/>
    <x v="0"/>
    <x v="0"/>
    <x v="0"/>
    <x v="0"/>
    <x v="0"/>
    <x v="192"/>
    <x v="28"/>
    <x v="0"/>
    <x v="0"/>
    <x v="2"/>
  </r>
  <r>
    <x v="215"/>
    <x v="1"/>
    <x v="1"/>
    <x v="190"/>
    <x v="211"/>
    <x v="2"/>
    <x v="1"/>
    <x v="14"/>
    <x v="0"/>
    <x v="0"/>
    <x v="0"/>
    <x v="1"/>
    <x v="0"/>
    <x v="193"/>
    <x v="114"/>
    <x v="1"/>
    <x v="38"/>
    <x v="1"/>
  </r>
  <r>
    <x v="216"/>
    <x v="1"/>
    <x v="0"/>
    <x v="191"/>
    <x v="212"/>
    <x v="2"/>
    <x v="1"/>
    <x v="7"/>
    <x v="1"/>
    <x v="0"/>
    <x v="1"/>
    <x v="1"/>
    <x v="1"/>
    <x v="194"/>
    <x v="2"/>
    <x v="0"/>
    <x v="0"/>
    <x v="0"/>
  </r>
  <r>
    <x v="217"/>
    <x v="0"/>
    <x v="2"/>
    <x v="192"/>
    <x v="213"/>
    <x v="0"/>
    <x v="0"/>
    <x v="22"/>
    <x v="0"/>
    <x v="0"/>
    <x v="0"/>
    <x v="0"/>
    <x v="0"/>
    <x v="195"/>
    <x v="115"/>
    <x v="2"/>
    <x v="0"/>
    <x v="0"/>
  </r>
  <r>
    <x v="218"/>
    <x v="1"/>
    <x v="1"/>
    <x v="193"/>
    <x v="214"/>
    <x v="2"/>
    <x v="1"/>
    <x v="35"/>
    <x v="1"/>
    <x v="0"/>
    <x v="1"/>
    <x v="1"/>
    <x v="1"/>
    <x v="196"/>
    <x v="116"/>
    <x v="1"/>
    <x v="39"/>
    <x v="1"/>
  </r>
  <r>
    <x v="219"/>
    <x v="0"/>
    <x v="2"/>
    <x v="60"/>
    <x v="215"/>
    <x v="0"/>
    <x v="0"/>
    <x v="39"/>
    <x v="1"/>
    <x v="0"/>
    <x v="1"/>
    <x v="0"/>
    <x v="1"/>
    <x v="197"/>
    <x v="29"/>
    <x v="2"/>
    <x v="0"/>
    <x v="0"/>
  </r>
  <r>
    <x v="220"/>
    <x v="1"/>
    <x v="0"/>
    <x v="194"/>
    <x v="216"/>
    <x v="0"/>
    <x v="0"/>
    <x v="36"/>
    <x v="1"/>
    <x v="0"/>
    <x v="1"/>
    <x v="1"/>
    <x v="1"/>
    <x v="198"/>
    <x v="4"/>
    <x v="0"/>
    <x v="0"/>
    <x v="0"/>
  </r>
  <r>
    <x v="221"/>
    <x v="0"/>
    <x v="2"/>
    <x v="195"/>
    <x v="217"/>
    <x v="0"/>
    <x v="0"/>
    <x v="7"/>
    <x v="1"/>
    <x v="0"/>
    <x v="1"/>
    <x v="0"/>
    <x v="1"/>
    <x v="199"/>
    <x v="16"/>
    <x v="2"/>
    <x v="0"/>
    <x v="0"/>
  </r>
  <r>
    <x v="222"/>
    <x v="0"/>
    <x v="0"/>
    <x v="196"/>
    <x v="218"/>
    <x v="0"/>
    <x v="0"/>
    <x v="54"/>
    <x v="1"/>
    <x v="0"/>
    <x v="1"/>
    <x v="0"/>
    <x v="1"/>
    <x v="200"/>
    <x v="4"/>
    <x v="0"/>
    <x v="0"/>
    <x v="0"/>
  </r>
  <r>
    <x v="223"/>
    <x v="0"/>
    <x v="0"/>
    <x v="197"/>
    <x v="219"/>
    <x v="0"/>
    <x v="0"/>
    <x v="4"/>
    <x v="1"/>
    <x v="0"/>
    <x v="1"/>
    <x v="0"/>
    <x v="1"/>
    <x v="201"/>
    <x v="25"/>
    <x v="0"/>
    <x v="0"/>
    <x v="0"/>
  </r>
  <r>
    <x v="224"/>
    <x v="1"/>
    <x v="1"/>
    <x v="198"/>
    <x v="220"/>
    <x v="0"/>
    <x v="0"/>
    <x v="1"/>
    <x v="0"/>
    <x v="0"/>
    <x v="0"/>
    <x v="1"/>
    <x v="0"/>
    <x v="202"/>
    <x v="117"/>
    <x v="1"/>
    <x v="40"/>
    <x v="0"/>
  </r>
  <r>
    <x v="225"/>
    <x v="0"/>
    <x v="0"/>
    <x v="199"/>
    <x v="221"/>
    <x v="0"/>
    <x v="0"/>
    <x v="0"/>
    <x v="1"/>
    <x v="0"/>
    <x v="1"/>
    <x v="0"/>
    <x v="1"/>
    <x v="203"/>
    <x v="118"/>
    <x v="0"/>
    <x v="0"/>
    <x v="0"/>
  </r>
  <r>
    <x v="226"/>
    <x v="1"/>
    <x v="2"/>
    <x v="200"/>
    <x v="44"/>
    <x v="0"/>
    <x v="0"/>
    <x v="19"/>
    <x v="1"/>
    <x v="0"/>
    <x v="1"/>
    <x v="1"/>
    <x v="1"/>
    <x v="204"/>
    <x v="29"/>
    <x v="2"/>
    <x v="0"/>
    <x v="0"/>
  </r>
  <r>
    <x v="227"/>
    <x v="0"/>
    <x v="0"/>
    <x v="201"/>
    <x v="222"/>
    <x v="0"/>
    <x v="0"/>
    <x v="64"/>
    <x v="1"/>
    <x v="0"/>
    <x v="1"/>
    <x v="0"/>
    <x v="1"/>
    <x v="205"/>
    <x v="0"/>
    <x v="0"/>
    <x v="0"/>
    <x v="0"/>
  </r>
  <r>
    <x v="228"/>
    <x v="0"/>
    <x v="2"/>
    <x v="202"/>
    <x v="223"/>
    <x v="0"/>
    <x v="0"/>
    <x v="24"/>
    <x v="1"/>
    <x v="0"/>
    <x v="1"/>
    <x v="0"/>
    <x v="1"/>
    <x v="206"/>
    <x v="16"/>
    <x v="2"/>
    <x v="0"/>
    <x v="0"/>
  </r>
  <r>
    <x v="229"/>
    <x v="0"/>
    <x v="0"/>
    <x v="157"/>
    <x v="224"/>
    <x v="2"/>
    <x v="1"/>
    <x v="4"/>
    <x v="2"/>
    <x v="1"/>
    <x v="2"/>
    <x v="0"/>
    <x v="2"/>
    <x v="160"/>
    <x v="102"/>
    <x v="2"/>
    <x v="0"/>
    <x v="0"/>
  </r>
  <r>
    <x v="230"/>
    <x v="1"/>
    <x v="1"/>
    <x v="60"/>
    <x v="225"/>
    <x v="1"/>
    <x v="1"/>
    <x v="3"/>
    <x v="0"/>
    <x v="0"/>
    <x v="0"/>
    <x v="1"/>
    <x v="0"/>
    <x v="61"/>
    <x v="47"/>
    <x v="1"/>
    <x v="14"/>
    <x v="0"/>
  </r>
  <r>
    <x v="231"/>
    <x v="0"/>
    <x v="0"/>
    <x v="203"/>
    <x v="226"/>
    <x v="0"/>
    <x v="0"/>
    <x v="28"/>
    <x v="1"/>
    <x v="0"/>
    <x v="1"/>
    <x v="0"/>
    <x v="1"/>
    <x v="207"/>
    <x v="71"/>
    <x v="0"/>
    <x v="0"/>
    <x v="0"/>
  </r>
  <r>
    <x v="232"/>
    <x v="0"/>
    <x v="2"/>
    <x v="204"/>
    <x v="227"/>
    <x v="0"/>
    <x v="0"/>
    <x v="44"/>
    <x v="1"/>
    <x v="0"/>
    <x v="1"/>
    <x v="0"/>
    <x v="1"/>
    <x v="208"/>
    <x v="119"/>
    <x v="2"/>
    <x v="0"/>
    <x v="0"/>
  </r>
  <r>
    <x v="233"/>
    <x v="1"/>
    <x v="0"/>
    <x v="24"/>
    <x v="228"/>
    <x v="2"/>
    <x v="1"/>
    <x v="31"/>
    <x v="3"/>
    <x v="2"/>
    <x v="4"/>
    <x v="1"/>
    <x v="2"/>
    <x v="24"/>
    <x v="22"/>
    <x v="2"/>
    <x v="0"/>
    <x v="0"/>
  </r>
  <r>
    <x v="234"/>
    <x v="0"/>
    <x v="2"/>
    <x v="205"/>
    <x v="229"/>
    <x v="0"/>
    <x v="0"/>
    <x v="42"/>
    <x v="1"/>
    <x v="0"/>
    <x v="1"/>
    <x v="0"/>
    <x v="1"/>
    <x v="209"/>
    <x v="29"/>
    <x v="2"/>
    <x v="0"/>
    <x v="0"/>
  </r>
  <r>
    <x v="235"/>
    <x v="0"/>
    <x v="0"/>
    <x v="206"/>
    <x v="230"/>
    <x v="2"/>
    <x v="1"/>
    <x v="4"/>
    <x v="1"/>
    <x v="0"/>
    <x v="1"/>
    <x v="0"/>
    <x v="1"/>
    <x v="210"/>
    <x v="120"/>
    <x v="0"/>
    <x v="0"/>
    <x v="0"/>
  </r>
  <r>
    <x v="236"/>
    <x v="0"/>
    <x v="2"/>
    <x v="207"/>
    <x v="231"/>
    <x v="0"/>
    <x v="0"/>
    <x v="57"/>
    <x v="0"/>
    <x v="0"/>
    <x v="0"/>
    <x v="0"/>
    <x v="0"/>
    <x v="211"/>
    <x v="19"/>
    <x v="2"/>
    <x v="0"/>
    <x v="0"/>
  </r>
  <r>
    <x v="237"/>
    <x v="1"/>
    <x v="2"/>
    <x v="208"/>
    <x v="232"/>
    <x v="2"/>
    <x v="1"/>
    <x v="18"/>
    <x v="1"/>
    <x v="2"/>
    <x v="3"/>
    <x v="1"/>
    <x v="0"/>
    <x v="212"/>
    <x v="121"/>
    <x v="2"/>
    <x v="0"/>
    <x v="0"/>
  </r>
  <r>
    <x v="238"/>
    <x v="0"/>
    <x v="2"/>
    <x v="209"/>
    <x v="233"/>
    <x v="0"/>
    <x v="0"/>
    <x v="19"/>
    <x v="1"/>
    <x v="0"/>
    <x v="1"/>
    <x v="0"/>
    <x v="1"/>
    <x v="213"/>
    <x v="29"/>
    <x v="2"/>
    <x v="0"/>
    <x v="0"/>
  </r>
  <r>
    <x v="239"/>
    <x v="0"/>
    <x v="2"/>
    <x v="210"/>
    <x v="218"/>
    <x v="0"/>
    <x v="0"/>
    <x v="40"/>
    <x v="1"/>
    <x v="0"/>
    <x v="1"/>
    <x v="0"/>
    <x v="1"/>
    <x v="214"/>
    <x v="122"/>
    <x v="2"/>
    <x v="0"/>
    <x v="0"/>
  </r>
  <r>
    <x v="240"/>
    <x v="0"/>
    <x v="0"/>
    <x v="105"/>
    <x v="234"/>
    <x v="2"/>
    <x v="1"/>
    <x v="4"/>
    <x v="0"/>
    <x v="0"/>
    <x v="0"/>
    <x v="0"/>
    <x v="0"/>
    <x v="108"/>
    <x v="53"/>
    <x v="2"/>
    <x v="0"/>
    <x v="1"/>
  </r>
  <r>
    <x v="241"/>
    <x v="1"/>
    <x v="0"/>
    <x v="211"/>
    <x v="235"/>
    <x v="2"/>
    <x v="1"/>
    <x v="4"/>
    <x v="0"/>
    <x v="0"/>
    <x v="0"/>
    <x v="1"/>
    <x v="0"/>
    <x v="215"/>
    <x v="37"/>
    <x v="2"/>
    <x v="0"/>
    <x v="2"/>
  </r>
  <r>
    <x v="242"/>
    <x v="0"/>
    <x v="2"/>
    <x v="212"/>
    <x v="236"/>
    <x v="0"/>
    <x v="0"/>
    <x v="28"/>
    <x v="1"/>
    <x v="0"/>
    <x v="1"/>
    <x v="0"/>
    <x v="1"/>
    <x v="216"/>
    <x v="29"/>
    <x v="2"/>
    <x v="0"/>
    <x v="0"/>
  </r>
  <r>
    <x v="243"/>
    <x v="0"/>
    <x v="0"/>
    <x v="213"/>
    <x v="237"/>
    <x v="0"/>
    <x v="0"/>
    <x v="0"/>
    <x v="1"/>
    <x v="0"/>
    <x v="1"/>
    <x v="0"/>
    <x v="1"/>
    <x v="217"/>
    <x v="123"/>
    <x v="0"/>
    <x v="0"/>
    <x v="0"/>
  </r>
  <r>
    <x v="244"/>
    <x v="0"/>
    <x v="0"/>
    <x v="108"/>
    <x v="238"/>
    <x v="0"/>
    <x v="0"/>
    <x v="39"/>
    <x v="1"/>
    <x v="0"/>
    <x v="1"/>
    <x v="0"/>
    <x v="1"/>
    <x v="218"/>
    <x v="18"/>
    <x v="0"/>
    <x v="0"/>
    <x v="1"/>
  </r>
  <r>
    <x v="245"/>
    <x v="0"/>
    <x v="1"/>
    <x v="214"/>
    <x v="239"/>
    <x v="6"/>
    <x v="0"/>
    <x v="57"/>
    <x v="4"/>
    <x v="0"/>
    <x v="3"/>
    <x v="0"/>
    <x v="0"/>
    <x v="219"/>
    <x v="117"/>
    <x v="1"/>
    <x v="41"/>
    <x v="2"/>
  </r>
  <r>
    <x v="246"/>
    <x v="0"/>
    <x v="0"/>
    <x v="215"/>
    <x v="240"/>
    <x v="2"/>
    <x v="1"/>
    <x v="37"/>
    <x v="1"/>
    <x v="0"/>
    <x v="1"/>
    <x v="0"/>
    <x v="1"/>
    <x v="220"/>
    <x v="71"/>
    <x v="0"/>
    <x v="0"/>
    <x v="0"/>
  </r>
  <r>
    <x v="247"/>
    <x v="1"/>
    <x v="2"/>
    <x v="216"/>
    <x v="241"/>
    <x v="1"/>
    <x v="1"/>
    <x v="42"/>
    <x v="1"/>
    <x v="2"/>
    <x v="3"/>
    <x v="1"/>
    <x v="0"/>
    <x v="221"/>
    <x v="80"/>
    <x v="2"/>
    <x v="0"/>
    <x v="0"/>
  </r>
  <r>
    <x v="248"/>
    <x v="1"/>
    <x v="1"/>
    <x v="217"/>
    <x v="242"/>
    <x v="0"/>
    <x v="0"/>
    <x v="46"/>
    <x v="0"/>
    <x v="1"/>
    <x v="3"/>
    <x v="1"/>
    <x v="0"/>
    <x v="222"/>
    <x v="124"/>
    <x v="1"/>
    <x v="42"/>
    <x v="0"/>
  </r>
  <r>
    <x v="249"/>
    <x v="0"/>
    <x v="2"/>
    <x v="218"/>
    <x v="243"/>
    <x v="5"/>
    <x v="0"/>
    <x v="5"/>
    <x v="0"/>
    <x v="0"/>
    <x v="0"/>
    <x v="0"/>
    <x v="0"/>
    <x v="223"/>
    <x v="19"/>
    <x v="2"/>
    <x v="0"/>
    <x v="0"/>
  </r>
  <r>
    <x v="250"/>
    <x v="0"/>
    <x v="0"/>
    <x v="219"/>
    <x v="244"/>
    <x v="0"/>
    <x v="0"/>
    <x v="4"/>
    <x v="1"/>
    <x v="0"/>
    <x v="1"/>
    <x v="0"/>
    <x v="1"/>
    <x v="224"/>
    <x v="0"/>
    <x v="0"/>
    <x v="0"/>
    <x v="0"/>
  </r>
  <r>
    <x v="251"/>
    <x v="0"/>
    <x v="0"/>
    <x v="181"/>
    <x v="245"/>
    <x v="1"/>
    <x v="1"/>
    <x v="28"/>
    <x v="0"/>
    <x v="1"/>
    <x v="3"/>
    <x v="0"/>
    <x v="0"/>
    <x v="184"/>
    <x v="111"/>
    <x v="2"/>
    <x v="4"/>
    <x v="0"/>
  </r>
  <r>
    <x v="252"/>
    <x v="0"/>
    <x v="1"/>
    <x v="220"/>
    <x v="246"/>
    <x v="0"/>
    <x v="0"/>
    <x v="65"/>
    <x v="1"/>
    <x v="0"/>
    <x v="1"/>
    <x v="0"/>
    <x v="1"/>
    <x v="225"/>
    <x v="11"/>
    <x v="2"/>
    <x v="43"/>
    <x v="0"/>
  </r>
  <r>
    <x v="253"/>
    <x v="0"/>
    <x v="0"/>
    <x v="221"/>
    <x v="247"/>
    <x v="0"/>
    <x v="0"/>
    <x v="39"/>
    <x v="0"/>
    <x v="0"/>
    <x v="0"/>
    <x v="0"/>
    <x v="0"/>
    <x v="226"/>
    <x v="95"/>
    <x v="2"/>
    <x v="0"/>
    <x v="0"/>
  </r>
  <r>
    <x v="254"/>
    <x v="0"/>
    <x v="0"/>
    <x v="222"/>
    <x v="248"/>
    <x v="1"/>
    <x v="1"/>
    <x v="66"/>
    <x v="1"/>
    <x v="2"/>
    <x v="3"/>
    <x v="0"/>
    <x v="0"/>
    <x v="227"/>
    <x v="125"/>
    <x v="2"/>
    <x v="0"/>
    <x v="0"/>
  </r>
  <r>
    <x v="255"/>
    <x v="1"/>
    <x v="0"/>
    <x v="223"/>
    <x v="249"/>
    <x v="1"/>
    <x v="1"/>
    <x v="28"/>
    <x v="1"/>
    <x v="2"/>
    <x v="3"/>
    <x v="1"/>
    <x v="0"/>
    <x v="228"/>
    <x v="49"/>
    <x v="2"/>
    <x v="0"/>
    <x v="1"/>
  </r>
  <r>
    <x v="256"/>
    <x v="1"/>
    <x v="1"/>
    <x v="224"/>
    <x v="250"/>
    <x v="1"/>
    <x v="1"/>
    <x v="4"/>
    <x v="1"/>
    <x v="0"/>
    <x v="1"/>
    <x v="1"/>
    <x v="1"/>
    <x v="229"/>
    <x v="84"/>
    <x v="1"/>
    <x v="0"/>
    <x v="1"/>
  </r>
  <r>
    <x v="257"/>
    <x v="1"/>
    <x v="1"/>
    <x v="225"/>
    <x v="251"/>
    <x v="2"/>
    <x v="1"/>
    <x v="39"/>
    <x v="1"/>
    <x v="0"/>
    <x v="1"/>
    <x v="1"/>
    <x v="1"/>
    <x v="230"/>
    <x v="126"/>
    <x v="1"/>
    <x v="44"/>
    <x v="0"/>
  </r>
  <r>
    <x v="258"/>
    <x v="1"/>
    <x v="1"/>
    <x v="226"/>
    <x v="125"/>
    <x v="2"/>
    <x v="1"/>
    <x v="3"/>
    <x v="1"/>
    <x v="0"/>
    <x v="1"/>
    <x v="1"/>
    <x v="1"/>
    <x v="231"/>
    <x v="127"/>
    <x v="1"/>
    <x v="0"/>
    <x v="1"/>
  </r>
  <r>
    <x v="259"/>
    <x v="1"/>
    <x v="2"/>
    <x v="227"/>
    <x v="252"/>
    <x v="1"/>
    <x v="1"/>
    <x v="61"/>
    <x v="1"/>
    <x v="1"/>
    <x v="0"/>
    <x v="1"/>
    <x v="0"/>
    <x v="232"/>
    <x v="19"/>
    <x v="2"/>
    <x v="0"/>
    <x v="0"/>
  </r>
  <r>
    <x v="260"/>
    <x v="0"/>
    <x v="0"/>
    <x v="155"/>
    <x v="253"/>
    <x v="0"/>
    <x v="0"/>
    <x v="4"/>
    <x v="1"/>
    <x v="0"/>
    <x v="1"/>
    <x v="0"/>
    <x v="1"/>
    <x v="233"/>
    <x v="28"/>
    <x v="0"/>
    <x v="0"/>
    <x v="2"/>
  </r>
  <r>
    <x v="261"/>
    <x v="1"/>
    <x v="0"/>
    <x v="24"/>
    <x v="254"/>
    <x v="3"/>
    <x v="0"/>
    <x v="25"/>
    <x v="3"/>
    <x v="2"/>
    <x v="4"/>
    <x v="1"/>
    <x v="2"/>
    <x v="24"/>
    <x v="22"/>
    <x v="2"/>
    <x v="0"/>
    <x v="0"/>
  </r>
  <r>
    <x v="262"/>
    <x v="0"/>
    <x v="1"/>
    <x v="228"/>
    <x v="88"/>
    <x v="0"/>
    <x v="0"/>
    <x v="67"/>
    <x v="0"/>
    <x v="1"/>
    <x v="3"/>
    <x v="0"/>
    <x v="0"/>
    <x v="234"/>
    <x v="128"/>
    <x v="1"/>
    <x v="45"/>
    <x v="0"/>
  </r>
  <r>
    <x v="263"/>
    <x v="0"/>
    <x v="1"/>
    <x v="229"/>
    <x v="187"/>
    <x v="0"/>
    <x v="0"/>
    <x v="20"/>
    <x v="1"/>
    <x v="0"/>
    <x v="1"/>
    <x v="0"/>
    <x v="1"/>
    <x v="235"/>
    <x v="104"/>
    <x v="0"/>
    <x v="46"/>
    <x v="0"/>
  </r>
  <r>
    <x v="264"/>
    <x v="0"/>
    <x v="0"/>
    <x v="230"/>
    <x v="255"/>
    <x v="2"/>
    <x v="1"/>
    <x v="4"/>
    <x v="1"/>
    <x v="0"/>
    <x v="1"/>
    <x v="0"/>
    <x v="1"/>
    <x v="236"/>
    <x v="28"/>
    <x v="0"/>
    <x v="0"/>
    <x v="2"/>
  </r>
  <r>
    <x v="265"/>
    <x v="0"/>
    <x v="2"/>
    <x v="231"/>
    <x v="256"/>
    <x v="0"/>
    <x v="0"/>
    <x v="62"/>
    <x v="1"/>
    <x v="0"/>
    <x v="1"/>
    <x v="0"/>
    <x v="1"/>
    <x v="237"/>
    <x v="29"/>
    <x v="2"/>
    <x v="0"/>
    <x v="0"/>
  </r>
  <r>
    <x v="266"/>
    <x v="0"/>
    <x v="0"/>
    <x v="48"/>
    <x v="257"/>
    <x v="0"/>
    <x v="0"/>
    <x v="36"/>
    <x v="3"/>
    <x v="1"/>
    <x v="5"/>
    <x v="0"/>
    <x v="2"/>
    <x v="49"/>
    <x v="40"/>
    <x v="2"/>
    <x v="0"/>
    <x v="0"/>
  </r>
  <r>
    <x v="267"/>
    <x v="1"/>
    <x v="0"/>
    <x v="232"/>
    <x v="258"/>
    <x v="0"/>
    <x v="0"/>
    <x v="37"/>
    <x v="0"/>
    <x v="0"/>
    <x v="0"/>
    <x v="1"/>
    <x v="0"/>
    <x v="238"/>
    <x v="71"/>
    <x v="0"/>
    <x v="0"/>
    <x v="0"/>
  </r>
  <r>
    <x v="268"/>
    <x v="1"/>
    <x v="1"/>
    <x v="233"/>
    <x v="259"/>
    <x v="1"/>
    <x v="1"/>
    <x v="10"/>
    <x v="1"/>
    <x v="1"/>
    <x v="0"/>
    <x v="1"/>
    <x v="0"/>
    <x v="239"/>
    <x v="129"/>
    <x v="1"/>
    <x v="47"/>
    <x v="0"/>
  </r>
  <r>
    <x v="269"/>
    <x v="1"/>
    <x v="1"/>
    <x v="234"/>
    <x v="260"/>
    <x v="2"/>
    <x v="1"/>
    <x v="3"/>
    <x v="1"/>
    <x v="0"/>
    <x v="1"/>
    <x v="1"/>
    <x v="1"/>
    <x v="240"/>
    <x v="130"/>
    <x v="1"/>
    <x v="48"/>
    <x v="0"/>
  </r>
  <r>
    <x v="270"/>
    <x v="0"/>
    <x v="1"/>
    <x v="235"/>
    <x v="261"/>
    <x v="0"/>
    <x v="0"/>
    <x v="4"/>
    <x v="1"/>
    <x v="0"/>
    <x v="1"/>
    <x v="0"/>
    <x v="1"/>
    <x v="241"/>
    <x v="113"/>
    <x v="2"/>
    <x v="0"/>
    <x v="0"/>
  </r>
  <r>
    <x v="271"/>
    <x v="1"/>
    <x v="0"/>
    <x v="236"/>
    <x v="4"/>
    <x v="0"/>
    <x v="0"/>
    <x v="37"/>
    <x v="1"/>
    <x v="0"/>
    <x v="1"/>
    <x v="1"/>
    <x v="1"/>
    <x v="163"/>
    <x v="104"/>
    <x v="0"/>
    <x v="0"/>
    <x v="0"/>
  </r>
  <r>
    <x v="272"/>
    <x v="1"/>
    <x v="2"/>
    <x v="237"/>
    <x v="262"/>
    <x v="1"/>
    <x v="1"/>
    <x v="66"/>
    <x v="1"/>
    <x v="1"/>
    <x v="0"/>
    <x v="1"/>
    <x v="0"/>
    <x v="242"/>
    <x v="131"/>
    <x v="2"/>
    <x v="0"/>
    <x v="0"/>
  </r>
  <r>
    <x v="273"/>
    <x v="0"/>
    <x v="1"/>
    <x v="238"/>
    <x v="263"/>
    <x v="0"/>
    <x v="0"/>
    <x v="46"/>
    <x v="1"/>
    <x v="1"/>
    <x v="0"/>
    <x v="0"/>
    <x v="0"/>
    <x v="243"/>
    <x v="132"/>
    <x v="2"/>
    <x v="49"/>
    <x v="1"/>
  </r>
  <r>
    <x v="274"/>
    <x v="1"/>
    <x v="0"/>
    <x v="239"/>
    <x v="264"/>
    <x v="2"/>
    <x v="1"/>
    <x v="4"/>
    <x v="1"/>
    <x v="0"/>
    <x v="1"/>
    <x v="1"/>
    <x v="1"/>
    <x v="244"/>
    <x v="28"/>
    <x v="0"/>
    <x v="0"/>
    <x v="2"/>
  </r>
  <r>
    <x v="275"/>
    <x v="1"/>
    <x v="1"/>
    <x v="240"/>
    <x v="265"/>
    <x v="2"/>
    <x v="1"/>
    <x v="68"/>
    <x v="0"/>
    <x v="0"/>
    <x v="0"/>
    <x v="1"/>
    <x v="0"/>
    <x v="245"/>
    <x v="133"/>
    <x v="1"/>
    <x v="50"/>
    <x v="0"/>
  </r>
  <r>
    <x v="276"/>
    <x v="0"/>
    <x v="0"/>
    <x v="241"/>
    <x v="266"/>
    <x v="2"/>
    <x v="1"/>
    <x v="33"/>
    <x v="1"/>
    <x v="0"/>
    <x v="1"/>
    <x v="0"/>
    <x v="1"/>
    <x v="246"/>
    <x v="28"/>
    <x v="0"/>
    <x v="0"/>
    <x v="0"/>
  </r>
  <r>
    <x v="277"/>
    <x v="0"/>
    <x v="2"/>
    <x v="242"/>
    <x v="267"/>
    <x v="0"/>
    <x v="0"/>
    <x v="4"/>
    <x v="1"/>
    <x v="0"/>
    <x v="1"/>
    <x v="0"/>
    <x v="1"/>
    <x v="247"/>
    <x v="104"/>
    <x v="0"/>
    <x v="0"/>
    <x v="0"/>
  </r>
  <r>
    <x v="278"/>
    <x v="0"/>
    <x v="0"/>
    <x v="16"/>
    <x v="268"/>
    <x v="3"/>
    <x v="0"/>
    <x v="26"/>
    <x v="3"/>
    <x v="1"/>
    <x v="5"/>
    <x v="0"/>
    <x v="2"/>
    <x v="16"/>
    <x v="15"/>
    <x v="2"/>
    <x v="0"/>
    <x v="2"/>
  </r>
  <r>
    <x v="279"/>
    <x v="1"/>
    <x v="0"/>
    <x v="243"/>
    <x v="269"/>
    <x v="1"/>
    <x v="1"/>
    <x v="3"/>
    <x v="0"/>
    <x v="1"/>
    <x v="3"/>
    <x v="1"/>
    <x v="0"/>
    <x v="248"/>
    <x v="134"/>
    <x v="2"/>
    <x v="0"/>
    <x v="0"/>
  </r>
  <r>
    <x v="280"/>
    <x v="0"/>
    <x v="0"/>
    <x v="244"/>
    <x v="270"/>
    <x v="0"/>
    <x v="0"/>
    <x v="29"/>
    <x v="1"/>
    <x v="0"/>
    <x v="1"/>
    <x v="0"/>
    <x v="1"/>
    <x v="249"/>
    <x v="28"/>
    <x v="0"/>
    <x v="0"/>
    <x v="2"/>
  </r>
  <r>
    <x v="281"/>
    <x v="0"/>
    <x v="0"/>
    <x v="245"/>
    <x v="271"/>
    <x v="0"/>
    <x v="0"/>
    <x v="17"/>
    <x v="1"/>
    <x v="0"/>
    <x v="1"/>
    <x v="0"/>
    <x v="1"/>
    <x v="250"/>
    <x v="13"/>
    <x v="0"/>
    <x v="0"/>
    <x v="0"/>
  </r>
  <r>
    <x v="282"/>
    <x v="0"/>
    <x v="0"/>
    <x v="246"/>
    <x v="272"/>
    <x v="0"/>
    <x v="0"/>
    <x v="36"/>
    <x v="1"/>
    <x v="0"/>
    <x v="1"/>
    <x v="0"/>
    <x v="1"/>
    <x v="251"/>
    <x v="59"/>
    <x v="0"/>
    <x v="0"/>
    <x v="0"/>
  </r>
  <r>
    <x v="283"/>
    <x v="1"/>
    <x v="0"/>
    <x v="247"/>
    <x v="273"/>
    <x v="0"/>
    <x v="0"/>
    <x v="19"/>
    <x v="1"/>
    <x v="0"/>
    <x v="1"/>
    <x v="1"/>
    <x v="1"/>
    <x v="252"/>
    <x v="4"/>
    <x v="0"/>
    <x v="0"/>
    <x v="0"/>
  </r>
  <r>
    <x v="284"/>
    <x v="0"/>
    <x v="1"/>
    <x v="155"/>
    <x v="274"/>
    <x v="0"/>
    <x v="0"/>
    <x v="4"/>
    <x v="1"/>
    <x v="0"/>
    <x v="1"/>
    <x v="0"/>
    <x v="1"/>
    <x v="253"/>
    <x v="19"/>
    <x v="2"/>
    <x v="51"/>
    <x v="0"/>
  </r>
  <r>
    <x v="285"/>
    <x v="0"/>
    <x v="0"/>
    <x v="248"/>
    <x v="75"/>
    <x v="0"/>
    <x v="0"/>
    <x v="40"/>
    <x v="1"/>
    <x v="0"/>
    <x v="1"/>
    <x v="0"/>
    <x v="1"/>
    <x v="254"/>
    <x v="51"/>
    <x v="0"/>
    <x v="0"/>
    <x v="1"/>
  </r>
  <r>
    <x v="286"/>
    <x v="1"/>
    <x v="0"/>
    <x v="249"/>
    <x v="275"/>
    <x v="0"/>
    <x v="0"/>
    <x v="39"/>
    <x v="1"/>
    <x v="0"/>
    <x v="1"/>
    <x v="1"/>
    <x v="1"/>
    <x v="255"/>
    <x v="59"/>
    <x v="0"/>
    <x v="0"/>
    <x v="0"/>
  </r>
  <r>
    <x v="287"/>
    <x v="0"/>
    <x v="0"/>
    <x v="250"/>
    <x v="276"/>
    <x v="0"/>
    <x v="0"/>
    <x v="0"/>
    <x v="1"/>
    <x v="0"/>
    <x v="1"/>
    <x v="0"/>
    <x v="1"/>
    <x v="256"/>
    <x v="25"/>
    <x v="0"/>
    <x v="0"/>
    <x v="0"/>
  </r>
  <r>
    <x v="288"/>
    <x v="1"/>
    <x v="2"/>
    <x v="251"/>
    <x v="277"/>
    <x v="0"/>
    <x v="0"/>
    <x v="22"/>
    <x v="1"/>
    <x v="0"/>
    <x v="1"/>
    <x v="1"/>
    <x v="1"/>
    <x v="257"/>
    <x v="16"/>
    <x v="2"/>
    <x v="0"/>
    <x v="0"/>
  </r>
  <r>
    <x v="289"/>
    <x v="1"/>
    <x v="0"/>
    <x v="252"/>
    <x v="278"/>
    <x v="2"/>
    <x v="1"/>
    <x v="0"/>
    <x v="1"/>
    <x v="0"/>
    <x v="1"/>
    <x v="1"/>
    <x v="1"/>
    <x v="258"/>
    <x v="28"/>
    <x v="0"/>
    <x v="0"/>
    <x v="2"/>
  </r>
  <r>
    <x v="290"/>
    <x v="1"/>
    <x v="1"/>
    <x v="253"/>
    <x v="27"/>
    <x v="2"/>
    <x v="1"/>
    <x v="2"/>
    <x v="1"/>
    <x v="0"/>
    <x v="1"/>
    <x v="1"/>
    <x v="1"/>
    <x v="259"/>
    <x v="135"/>
    <x v="1"/>
    <x v="0"/>
    <x v="0"/>
  </r>
  <r>
    <x v="291"/>
    <x v="1"/>
    <x v="1"/>
    <x v="254"/>
    <x v="279"/>
    <x v="1"/>
    <x v="1"/>
    <x v="19"/>
    <x v="0"/>
    <x v="0"/>
    <x v="0"/>
    <x v="1"/>
    <x v="0"/>
    <x v="260"/>
    <x v="136"/>
    <x v="1"/>
    <x v="52"/>
    <x v="1"/>
  </r>
  <r>
    <x v="292"/>
    <x v="0"/>
    <x v="2"/>
    <x v="255"/>
    <x v="280"/>
    <x v="0"/>
    <x v="0"/>
    <x v="62"/>
    <x v="1"/>
    <x v="0"/>
    <x v="1"/>
    <x v="0"/>
    <x v="1"/>
    <x v="261"/>
    <x v="137"/>
    <x v="2"/>
    <x v="53"/>
    <x v="1"/>
  </r>
  <r>
    <x v="293"/>
    <x v="0"/>
    <x v="0"/>
    <x v="256"/>
    <x v="281"/>
    <x v="2"/>
    <x v="1"/>
    <x v="42"/>
    <x v="1"/>
    <x v="0"/>
    <x v="1"/>
    <x v="0"/>
    <x v="1"/>
    <x v="262"/>
    <x v="138"/>
    <x v="0"/>
    <x v="0"/>
    <x v="0"/>
  </r>
  <r>
    <x v="294"/>
    <x v="0"/>
    <x v="0"/>
    <x v="257"/>
    <x v="75"/>
    <x v="0"/>
    <x v="0"/>
    <x v="42"/>
    <x v="1"/>
    <x v="0"/>
    <x v="1"/>
    <x v="0"/>
    <x v="1"/>
    <x v="263"/>
    <x v="25"/>
    <x v="0"/>
    <x v="0"/>
    <x v="0"/>
  </r>
  <r>
    <x v="295"/>
    <x v="0"/>
    <x v="1"/>
    <x v="258"/>
    <x v="282"/>
    <x v="0"/>
    <x v="0"/>
    <x v="4"/>
    <x v="1"/>
    <x v="0"/>
    <x v="1"/>
    <x v="0"/>
    <x v="1"/>
    <x v="264"/>
    <x v="26"/>
    <x v="2"/>
    <x v="0"/>
    <x v="1"/>
  </r>
  <r>
    <x v="296"/>
    <x v="0"/>
    <x v="0"/>
    <x v="259"/>
    <x v="283"/>
    <x v="0"/>
    <x v="0"/>
    <x v="69"/>
    <x v="1"/>
    <x v="0"/>
    <x v="1"/>
    <x v="0"/>
    <x v="1"/>
    <x v="265"/>
    <x v="32"/>
    <x v="0"/>
    <x v="0"/>
    <x v="1"/>
  </r>
  <r>
    <x v="297"/>
    <x v="0"/>
    <x v="1"/>
    <x v="260"/>
    <x v="284"/>
    <x v="2"/>
    <x v="1"/>
    <x v="6"/>
    <x v="0"/>
    <x v="2"/>
    <x v="6"/>
    <x v="0"/>
    <x v="2"/>
    <x v="266"/>
    <x v="139"/>
    <x v="1"/>
    <x v="54"/>
    <x v="0"/>
  </r>
  <r>
    <x v="298"/>
    <x v="1"/>
    <x v="1"/>
    <x v="261"/>
    <x v="285"/>
    <x v="0"/>
    <x v="0"/>
    <x v="4"/>
    <x v="1"/>
    <x v="0"/>
    <x v="1"/>
    <x v="1"/>
    <x v="1"/>
    <x v="267"/>
    <x v="140"/>
    <x v="2"/>
    <x v="55"/>
    <x v="0"/>
  </r>
  <r>
    <x v="299"/>
    <x v="1"/>
    <x v="1"/>
    <x v="111"/>
    <x v="286"/>
    <x v="1"/>
    <x v="1"/>
    <x v="61"/>
    <x v="1"/>
    <x v="1"/>
    <x v="0"/>
    <x v="1"/>
    <x v="0"/>
    <x v="114"/>
    <x v="75"/>
    <x v="1"/>
    <x v="22"/>
    <x v="1"/>
  </r>
  <r>
    <x v="300"/>
    <x v="1"/>
    <x v="0"/>
    <x v="262"/>
    <x v="287"/>
    <x v="2"/>
    <x v="1"/>
    <x v="4"/>
    <x v="1"/>
    <x v="0"/>
    <x v="1"/>
    <x v="1"/>
    <x v="1"/>
    <x v="268"/>
    <x v="28"/>
    <x v="0"/>
    <x v="0"/>
    <x v="2"/>
  </r>
  <r>
    <x v="301"/>
    <x v="1"/>
    <x v="0"/>
    <x v="263"/>
    <x v="288"/>
    <x v="0"/>
    <x v="0"/>
    <x v="4"/>
    <x v="4"/>
    <x v="0"/>
    <x v="3"/>
    <x v="1"/>
    <x v="0"/>
    <x v="269"/>
    <x v="141"/>
    <x v="2"/>
    <x v="0"/>
    <x v="2"/>
  </r>
  <r>
    <x v="302"/>
    <x v="0"/>
    <x v="0"/>
    <x v="8"/>
    <x v="289"/>
    <x v="0"/>
    <x v="0"/>
    <x v="19"/>
    <x v="1"/>
    <x v="0"/>
    <x v="1"/>
    <x v="0"/>
    <x v="1"/>
    <x v="163"/>
    <x v="104"/>
    <x v="0"/>
    <x v="0"/>
    <x v="0"/>
  </r>
  <r>
    <x v="303"/>
    <x v="1"/>
    <x v="2"/>
    <x v="264"/>
    <x v="290"/>
    <x v="2"/>
    <x v="1"/>
    <x v="4"/>
    <x v="1"/>
    <x v="0"/>
    <x v="1"/>
    <x v="1"/>
    <x v="1"/>
    <x v="270"/>
    <x v="142"/>
    <x v="2"/>
    <x v="23"/>
    <x v="2"/>
  </r>
  <r>
    <x v="304"/>
    <x v="0"/>
    <x v="0"/>
    <x v="17"/>
    <x v="291"/>
    <x v="0"/>
    <x v="0"/>
    <x v="4"/>
    <x v="1"/>
    <x v="0"/>
    <x v="1"/>
    <x v="0"/>
    <x v="1"/>
    <x v="271"/>
    <x v="4"/>
    <x v="0"/>
    <x v="0"/>
    <x v="0"/>
  </r>
  <r>
    <x v="305"/>
    <x v="1"/>
    <x v="1"/>
    <x v="260"/>
    <x v="292"/>
    <x v="3"/>
    <x v="0"/>
    <x v="70"/>
    <x v="0"/>
    <x v="2"/>
    <x v="6"/>
    <x v="1"/>
    <x v="2"/>
    <x v="266"/>
    <x v="139"/>
    <x v="1"/>
    <x v="54"/>
    <x v="0"/>
  </r>
  <r>
    <x v="306"/>
    <x v="1"/>
    <x v="1"/>
    <x v="265"/>
    <x v="293"/>
    <x v="2"/>
    <x v="1"/>
    <x v="4"/>
    <x v="1"/>
    <x v="0"/>
    <x v="1"/>
    <x v="1"/>
    <x v="1"/>
    <x v="272"/>
    <x v="143"/>
    <x v="1"/>
    <x v="0"/>
    <x v="1"/>
  </r>
  <r>
    <x v="307"/>
    <x v="1"/>
    <x v="1"/>
    <x v="266"/>
    <x v="294"/>
    <x v="1"/>
    <x v="1"/>
    <x v="34"/>
    <x v="0"/>
    <x v="0"/>
    <x v="0"/>
    <x v="1"/>
    <x v="0"/>
    <x v="273"/>
    <x v="144"/>
    <x v="1"/>
    <x v="56"/>
    <x v="1"/>
  </r>
  <r>
    <x v="308"/>
    <x v="0"/>
    <x v="2"/>
    <x v="267"/>
    <x v="295"/>
    <x v="0"/>
    <x v="0"/>
    <x v="39"/>
    <x v="0"/>
    <x v="0"/>
    <x v="0"/>
    <x v="0"/>
    <x v="0"/>
    <x v="274"/>
    <x v="145"/>
    <x v="2"/>
    <x v="0"/>
    <x v="1"/>
  </r>
  <r>
    <x v="309"/>
    <x v="1"/>
    <x v="1"/>
    <x v="268"/>
    <x v="296"/>
    <x v="2"/>
    <x v="1"/>
    <x v="39"/>
    <x v="1"/>
    <x v="0"/>
    <x v="1"/>
    <x v="1"/>
    <x v="1"/>
    <x v="275"/>
    <x v="146"/>
    <x v="1"/>
    <x v="57"/>
    <x v="1"/>
  </r>
  <r>
    <x v="310"/>
    <x v="1"/>
    <x v="1"/>
    <x v="269"/>
    <x v="297"/>
    <x v="2"/>
    <x v="1"/>
    <x v="42"/>
    <x v="1"/>
    <x v="0"/>
    <x v="1"/>
    <x v="1"/>
    <x v="1"/>
    <x v="276"/>
    <x v="147"/>
    <x v="1"/>
    <x v="58"/>
    <x v="1"/>
  </r>
  <r>
    <x v="311"/>
    <x v="1"/>
    <x v="1"/>
    <x v="270"/>
    <x v="298"/>
    <x v="2"/>
    <x v="1"/>
    <x v="24"/>
    <x v="4"/>
    <x v="2"/>
    <x v="2"/>
    <x v="1"/>
    <x v="2"/>
    <x v="277"/>
    <x v="148"/>
    <x v="1"/>
    <x v="59"/>
    <x v="1"/>
  </r>
  <r>
    <x v="312"/>
    <x v="0"/>
    <x v="2"/>
    <x v="271"/>
    <x v="299"/>
    <x v="1"/>
    <x v="1"/>
    <x v="2"/>
    <x v="0"/>
    <x v="1"/>
    <x v="3"/>
    <x v="0"/>
    <x v="0"/>
    <x v="278"/>
    <x v="19"/>
    <x v="2"/>
    <x v="0"/>
    <x v="0"/>
  </r>
  <r>
    <x v="313"/>
    <x v="0"/>
    <x v="0"/>
    <x v="272"/>
    <x v="300"/>
    <x v="0"/>
    <x v="0"/>
    <x v="17"/>
    <x v="1"/>
    <x v="0"/>
    <x v="1"/>
    <x v="0"/>
    <x v="1"/>
    <x v="279"/>
    <x v="25"/>
    <x v="0"/>
    <x v="0"/>
    <x v="0"/>
  </r>
  <r>
    <x v="314"/>
    <x v="0"/>
    <x v="2"/>
    <x v="273"/>
    <x v="301"/>
    <x v="0"/>
    <x v="0"/>
    <x v="71"/>
    <x v="0"/>
    <x v="1"/>
    <x v="3"/>
    <x v="0"/>
    <x v="0"/>
    <x v="280"/>
    <x v="121"/>
    <x v="2"/>
    <x v="0"/>
    <x v="0"/>
  </r>
  <r>
    <x v="315"/>
    <x v="1"/>
    <x v="0"/>
    <x v="274"/>
    <x v="302"/>
    <x v="2"/>
    <x v="1"/>
    <x v="2"/>
    <x v="1"/>
    <x v="0"/>
    <x v="1"/>
    <x v="1"/>
    <x v="1"/>
    <x v="281"/>
    <x v="13"/>
    <x v="0"/>
    <x v="0"/>
    <x v="0"/>
  </r>
  <r>
    <x v="316"/>
    <x v="1"/>
    <x v="2"/>
    <x v="94"/>
    <x v="303"/>
    <x v="1"/>
    <x v="1"/>
    <x v="42"/>
    <x v="0"/>
    <x v="0"/>
    <x v="0"/>
    <x v="1"/>
    <x v="0"/>
    <x v="96"/>
    <x v="19"/>
    <x v="2"/>
    <x v="0"/>
    <x v="0"/>
  </r>
  <r>
    <x v="317"/>
    <x v="0"/>
    <x v="2"/>
    <x v="275"/>
    <x v="304"/>
    <x v="6"/>
    <x v="0"/>
    <x v="5"/>
    <x v="1"/>
    <x v="0"/>
    <x v="1"/>
    <x v="0"/>
    <x v="1"/>
    <x v="282"/>
    <x v="149"/>
    <x v="2"/>
    <x v="0"/>
    <x v="0"/>
  </r>
  <r>
    <x v="318"/>
    <x v="1"/>
    <x v="1"/>
    <x v="276"/>
    <x v="305"/>
    <x v="2"/>
    <x v="1"/>
    <x v="14"/>
    <x v="1"/>
    <x v="2"/>
    <x v="3"/>
    <x v="1"/>
    <x v="0"/>
    <x v="283"/>
    <x v="150"/>
    <x v="1"/>
    <x v="60"/>
    <x v="0"/>
  </r>
  <r>
    <x v="319"/>
    <x v="1"/>
    <x v="1"/>
    <x v="277"/>
    <x v="306"/>
    <x v="1"/>
    <x v="1"/>
    <x v="20"/>
    <x v="0"/>
    <x v="1"/>
    <x v="3"/>
    <x v="1"/>
    <x v="0"/>
    <x v="284"/>
    <x v="151"/>
    <x v="1"/>
    <x v="61"/>
    <x v="1"/>
  </r>
  <r>
    <x v="320"/>
    <x v="0"/>
    <x v="0"/>
    <x v="278"/>
    <x v="295"/>
    <x v="0"/>
    <x v="0"/>
    <x v="0"/>
    <x v="1"/>
    <x v="0"/>
    <x v="1"/>
    <x v="0"/>
    <x v="1"/>
    <x v="285"/>
    <x v="0"/>
    <x v="0"/>
    <x v="0"/>
    <x v="0"/>
  </r>
  <r>
    <x v="321"/>
    <x v="0"/>
    <x v="0"/>
    <x v="279"/>
    <x v="307"/>
    <x v="0"/>
    <x v="0"/>
    <x v="7"/>
    <x v="1"/>
    <x v="0"/>
    <x v="1"/>
    <x v="0"/>
    <x v="1"/>
    <x v="286"/>
    <x v="25"/>
    <x v="0"/>
    <x v="0"/>
    <x v="0"/>
  </r>
  <r>
    <x v="322"/>
    <x v="1"/>
    <x v="2"/>
    <x v="280"/>
    <x v="308"/>
    <x v="2"/>
    <x v="1"/>
    <x v="39"/>
    <x v="1"/>
    <x v="0"/>
    <x v="1"/>
    <x v="1"/>
    <x v="1"/>
    <x v="287"/>
    <x v="142"/>
    <x v="2"/>
    <x v="0"/>
    <x v="2"/>
  </r>
  <r>
    <x v="323"/>
    <x v="1"/>
    <x v="2"/>
    <x v="74"/>
    <x v="309"/>
    <x v="1"/>
    <x v="1"/>
    <x v="0"/>
    <x v="0"/>
    <x v="1"/>
    <x v="3"/>
    <x v="1"/>
    <x v="0"/>
    <x v="76"/>
    <x v="56"/>
    <x v="2"/>
    <x v="0"/>
    <x v="0"/>
  </r>
  <r>
    <x v="324"/>
    <x v="0"/>
    <x v="0"/>
    <x v="144"/>
    <x v="310"/>
    <x v="0"/>
    <x v="0"/>
    <x v="4"/>
    <x v="6"/>
    <x v="2"/>
    <x v="8"/>
    <x v="0"/>
    <x v="2"/>
    <x v="148"/>
    <x v="94"/>
    <x v="1"/>
    <x v="0"/>
    <x v="0"/>
  </r>
  <r>
    <x v="325"/>
    <x v="1"/>
    <x v="1"/>
    <x v="281"/>
    <x v="311"/>
    <x v="2"/>
    <x v="1"/>
    <x v="62"/>
    <x v="1"/>
    <x v="0"/>
    <x v="1"/>
    <x v="1"/>
    <x v="1"/>
    <x v="240"/>
    <x v="130"/>
    <x v="1"/>
    <x v="62"/>
    <x v="1"/>
  </r>
  <r>
    <x v="326"/>
    <x v="0"/>
    <x v="0"/>
    <x v="282"/>
    <x v="312"/>
    <x v="0"/>
    <x v="0"/>
    <x v="59"/>
    <x v="1"/>
    <x v="0"/>
    <x v="1"/>
    <x v="0"/>
    <x v="1"/>
    <x v="288"/>
    <x v="152"/>
    <x v="0"/>
    <x v="0"/>
    <x v="0"/>
  </r>
  <r>
    <x v="327"/>
    <x v="1"/>
    <x v="2"/>
    <x v="283"/>
    <x v="313"/>
    <x v="1"/>
    <x v="1"/>
    <x v="62"/>
    <x v="1"/>
    <x v="0"/>
    <x v="1"/>
    <x v="1"/>
    <x v="1"/>
    <x v="289"/>
    <x v="16"/>
    <x v="2"/>
    <x v="53"/>
    <x v="0"/>
  </r>
  <r>
    <x v="328"/>
    <x v="1"/>
    <x v="0"/>
    <x v="149"/>
    <x v="314"/>
    <x v="1"/>
    <x v="1"/>
    <x v="14"/>
    <x v="0"/>
    <x v="1"/>
    <x v="3"/>
    <x v="1"/>
    <x v="0"/>
    <x v="153"/>
    <x v="97"/>
    <x v="2"/>
    <x v="0"/>
    <x v="0"/>
  </r>
  <r>
    <x v="329"/>
    <x v="1"/>
    <x v="1"/>
    <x v="284"/>
    <x v="315"/>
    <x v="2"/>
    <x v="1"/>
    <x v="36"/>
    <x v="1"/>
    <x v="1"/>
    <x v="0"/>
    <x v="1"/>
    <x v="0"/>
    <x v="290"/>
    <x v="153"/>
    <x v="1"/>
    <x v="63"/>
    <x v="1"/>
  </r>
  <r>
    <x v="330"/>
    <x v="1"/>
    <x v="0"/>
    <x v="263"/>
    <x v="316"/>
    <x v="2"/>
    <x v="1"/>
    <x v="4"/>
    <x v="4"/>
    <x v="0"/>
    <x v="3"/>
    <x v="1"/>
    <x v="0"/>
    <x v="269"/>
    <x v="141"/>
    <x v="2"/>
    <x v="0"/>
    <x v="2"/>
  </r>
  <r>
    <x v="331"/>
    <x v="0"/>
    <x v="1"/>
    <x v="285"/>
    <x v="317"/>
    <x v="0"/>
    <x v="0"/>
    <x v="63"/>
    <x v="1"/>
    <x v="0"/>
    <x v="1"/>
    <x v="0"/>
    <x v="1"/>
    <x v="291"/>
    <x v="154"/>
    <x v="2"/>
    <x v="64"/>
    <x v="0"/>
  </r>
  <r>
    <x v="332"/>
    <x v="0"/>
    <x v="1"/>
    <x v="233"/>
    <x v="318"/>
    <x v="0"/>
    <x v="0"/>
    <x v="1"/>
    <x v="1"/>
    <x v="1"/>
    <x v="0"/>
    <x v="0"/>
    <x v="0"/>
    <x v="239"/>
    <x v="129"/>
    <x v="1"/>
    <x v="65"/>
    <x v="0"/>
  </r>
  <r>
    <x v="333"/>
    <x v="0"/>
    <x v="0"/>
    <x v="18"/>
    <x v="319"/>
    <x v="0"/>
    <x v="0"/>
    <x v="36"/>
    <x v="4"/>
    <x v="0"/>
    <x v="3"/>
    <x v="0"/>
    <x v="0"/>
    <x v="37"/>
    <x v="17"/>
    <x v="2"/>
    <x v="0"/>
    <x v="0"/>
  </r>
  <r>
    <x v="334"/>
    <x v="1"/>
    <x v="1"/>
    <x v="286"/>
    <x v="320"/>
    <x v="1"/>
    <x v="1"/>
    <x v="4"/>
    <x v="0"/>
    <x v="0"/>
    <x v="0"/>
    <x v="1"/>
    <x v="0"/>
    <x v="292"/>
    <x v="155"/>
    <x v="1"/>
    <x v="0"/>
    <x v="0"/>
  </r>
  <r>
    <x v="335"/>
    <x v="0"/>
    <x v="0"/>
    <x v="287"/>
    <x v="321"/>
    <x v="0"/>
    <x v="0"/>
    <x v="4"/>
    <x v="1"/>
    <x v="0"/>
    <x v="1"/>
    <x v="0"/>
    <x v="1"/>
    <x v="293"/>
    <x v="25"/>
    <x v="0"/>
    <x v="0"/>
    <x v="0"/>
  </r>
  <r>
    <x v="336"/>
    <x v="0"/>
    <x v="1"/>
    <x v="137"/>
    <x v="322"/>
    <x v="0"/>
    <x v="0"/>
    <x v="28"/>
    <x v="0"/>
    <x v="0"/>
    <x v="0"/>
    <x v="0"/>
    <x v="0"/>
    <x v="140"/>
    <x v="90"/>
    <x v="1"/>
    <x v="28"/>
    <x v="0"/>
  </r>
  <r>
    <x v="337"/>
    <x v="1"/>
    <x v="1"/>
    <x v="288"/>
    <x v="323"/>
    <x v="2"/>
    <x v="1"/>
    <x v="66"/>
    <x v="1"/>
    <x v="0"/>
    <x v="1"/>
    <x v="1"/>
    <x v="1"/>
    <x v="284"/>
    <x v="151"/>
    <x v="1"/>
    <x v="66"/>
    <x v="1"/>
  </r>
  <r>
    <x v="338"/>
    <x v="1"/>
    <x v="0"/>
    <x v="289"/>
    <x v="324"/>
    <x v="0"/>
    <x v="0"/>
    <x v="33"/>
    <x v="1"/>
    <x v="0"/>
    <x v="1"/>
    <x v="1"/>
    <x v="1"/>
    <x v="294"/>
    <x v="4"/>
    <x v="0"/>
    <x v="0"/>
    <x v="0"/>
  </r>
  <r>
    <x v="339"/>
    <x v="0"/>
    <x v="1"/>
    <x v="290"/>
    <x v="325"/>
    <x v="0"/>
    <x v="0"/>
    <x v="33"/>
    <x v="1"/>
    <x v="0"/>
    <x v="1"/>
    <x v="0"/>
    <x v="1"/>
    <x v="295"/>
    <x v="21"/>
    <x v="2"/>
    <x v="67"/>
    <x v="0"/>
  </r>
  <r>
    <x v="340"/>
    <x v="1"/>
    <x v="2"/>
    <x v="134"/>
    <x v="326"/>
    <x v="3"/>
    <x v="0"/>
    <x v="6"/>
    <x v="0"/>
    <x v="1"/>
    <x v="3"/>
    <x v="1"/>
    <x v="0"/>
    <x v="137"/>
    <x v="19"/>
    <x v="2"/>
    <x v="27"/>
    <x v="0"/>
  </r>
  <r>
    <x v="341"/>
    <x v="1"/>
    <x v="1"/>
    <x v="26"/>
    <x v="327"/>
    <x v="2"/>
    <x v="1"/>
    <x v="42"/>
    <x v="2"/>
    <x v="2"/>
    <x v="5"/>
    <x v="1"/>
    <x v="2"/>
    <x v="26"/>
    <x v="23"/>
    <x v="1"/>
    <x v="8"/>
    <x v="0"/>
  </r>
  <r>
    <x v="342"/>
    <x v="0"/>
    <x v="2"/>
    <x v="291"/>
    <x v="328"/>
    <x v="0"/>
    <x v="0"/>
    <x v="17"/>
    <x v="1"/>
    <x v="0"/>
    <x v="1"/>
    <x v="0"/>
    <x v="1"/>
    <x v="296"/>
    <x v="16"/>
    <x v="2"/>
    <x v="0"/>
    <x v="0"/>
  </r>
  <r>
    <x v="343"/>
    <x v="0"/>
    <x v="2"/>
    <x v="292"/>
    <x v="329"/>
    <x v="0"/>
    <x v="0"/>
    <x v="37"/>
    <x v="1"/>
    <x v="0"/>
    <x v="1"/>
    <x v="0"/>
    <x v="1"/>
    <x v="297"/>
    <x v="16"/>
    <x v="2"/>
    <x v="0"/>
    <x v="0"/>
  </r>
  <r>
    <x v="344"/>
    <x v="0"/>
    <x v="2"/>
    <x v="293"/>
    <x v="330"/>
    <x v="0"/>
    <x v="0"/>
    <x v="62"/>
    <x v="1"/>
    <x v="0"/>
    <x v="1"/>
    <x v="0"/>
    <x v="1"/>
    <x v="298"/>
    <x v="16"/>
    <x v="2"/>
    <x v="0"/>
    <x v="0"/>
  </r>
  <r>
    <x v="345"/>
    <x v="1"/>
    <x v="2"/>
    <x v="172"/>
    <x v="331"/>
    <x v="2"/>
    <x v="1"/>
    <x v="42"/>
    <x v="1"/>
    <x v="0"/>
    <x v="1"/>
    <x v="1"/>
    <x v="1"/>
    <x v="299"/>
    <x v="16"/>
    <x v="2"/>
    <x v="15"/>
    <x v="0"/>
  </r>
  <r>
    <x v="346"/>
    <x v="1"/>
    <x v="2"/>
    <x v="155"/>
    <x v="332"/>
    <x v="2"/>
    <x v="1"/>
    <x v="20"/>
    <x v="1"/>
    <x v="0"/>
    <x v="1"/>
    <x v="1"/>
    <x v="1"/>
    <x v="300"/>
    <x v="16"/>
    <x v="2"/>
    <x v="0"/>
    <x v="0"/>
  </r>
  <r>
    <x v="347"/>
    <x v="1"/>
    <x v="0"/>
    <x v="294"/>
    <x v="333"/>
    <x v="1"/>
    <x v="1"/>
    <x v="4"/>
    <x v="0"/>
    <x v="0"/>
    <x v="0"/>
    <x v="1"/>
    <x v="0"/>
    <x v="301"/>
    <x v="95"/>
    <x v="2"/>
    <x v="0"/>
    <x v="0"/>
  </r>
  <r>
    <x v="348"/>
    <x v="1"/>
    <x v="0"/>
    <x v="295"/>
    <x v="334"/>
    <x v="3"/>
    <x v="0"/>
    <x v="25"/>
    <x v="0"/>
    <x v="1"/>
    <x v="3"/>
    <x v="1"/>
    <x v="0"/>
    <x v="302"/>
    <x v="156"/>
    <x v="2"/>
    <x v="0"/>
    <x v="0"/>
  </r>
  <r>
    <x v="349"/>
    <x v="0"/>
    <x v="0"/>
    <x v="296"/>
    <x v="335"/>
    <x v="0"/>
    <x v="0"/>
    <x v="22"/>
    <x v="1"/>
    <x v="0"/>
    <x v="1"/>
    <x v="0"/>
    <x v="1"/>
    <x v="303"/>
    <x v="51"/>
    <x v="0"/>
    <x v="0"/>
    <x v="0"/>
  </r>
  <r>
    <x v="350"/>
    <x v="0"/>
    <x v="0"/>
    <x v="297"/>
    <x v="336"/>
    <x v="0"/>
    <x v="0"/>
    <x v="41"/>
    <x v="1"/>
    <x v="0"/>
    <x v="1"/>
    <x v="0"/>
    <x v="1"/>
    <x v="304"/>
    <x v="157"/>
    <x v="0"/>
    <x v="0"/>
    <x v="0"/>
  </r>
  <r>
    <x v="351"/>
    <x v="0"/>
    <x v="1"/>
    <x v="298"/>
    <x v="337"/>
    <x v="0"/>
    <x v="0"/>
    <x v="4"/>
    <x v="1"/>
    <x v="0"/>
    <x v="1"/>
    <x v="0"/>
    <x v="1"/>
    <x v="305"/>
    <x v="158"/>
    <x v="2"/>
    <x v="68"/>
    <x v="0"/>
  </r>
  <r>
    <x v="352"/>
    <x v="0"/>
    <x v="0"/>
    <x v="299"/>
    <x v="338"/>
    <x v="0"/>
    <x v="0"/>
    <x v="16"/>
    <x v="0"/>
    <x v="1"/>
    <x v="3"/>
    <x v="0"/>
    <x v="0"/>
    <x v="306"/>
    <x v="32"/>
    <x v="0"/>
    <x v="0"/>
    <x v="1"/>
  </r>
  <r>
    <x v="353"/>
    <x v="0"/>
    <x v="0"/>
    <x v="47"/>
    <x v="339"/>
    <x v="0"/>
    <x v="0"/>
    <x v="37"/>
    <x v="0"/>
    <x v="0"/>
    <x v="0"/>
    <x v="0"/>
    <x v="0"/>
    <x v="48"/>
    <x v="39"/>
    <x v="2"/>
    <x v="0"/>
    <x v="0"/>
  </r>
  <r>
    <x v="354"/>
    <x v="0"/>
    <x v="0"/>
    <x v="300"/>
    <x v="340"/>
    <x v="0"/>
    <x v="0"/>
    <x v="4"/>
    <x v="1"/>
    <x v="0"/>
    <x v="1"/>
    <x v="0"/>
    <x v="1"/>
    <x v="307"/>
    <x v="18"/>
    <x v="0"/>
    <x v="0"/>
    <x v="1"/>
  </r>
  <r>
    <x v="355"/>
    <x v="0"/>
    <x v="0"/>
    <x v="301"/>
    <x v="341"/>
    <x v="0"/>
    <x v="0"/>
    <x v="17"/>
    <x v="1"/>
    <x v="0"/>
    <x v="1"/>
    <x v="0"/>
    <x v="1"/>
    <x v="308"/>
    <x v="59"/>
    <x v="0"/>
    <x v="0"/>
    <x v="0"/>
  </r>
  <r>
    <x v="356"/>
    <x v="1"/>
    <x v="1"/>
    <x v="302"/>
    <x v="342"/>
    <x v="2"/>
    <x v="1"/>
    <x v="0"/>
    <x v="1"/>
    <x v="1"/>
    <x v="0"/>
    <x v="1"/>
    <x v="0"/>
    <x v="154"/>
    <x v="98"/>
    <x v="1"/>
    <x v="29"/>
    <x v="0"/>
  </r>
  <r>
    <x v="357"/>
    <x v="0"/>
    <x v="2"/>
    <x v="303"/>
    <x v="343"/>
    <x v="2"/>
    <x v="1"/>
    <x v="1"/>
    <x v="1"/>
    <x v="0"/>
    <x v="1"/>
    <x v="0"/>
    <x v="1"/>
    <x v="309"/>
    <x v="16"/>
    <x v="2"/>
    <x v="0"/>
    <x v="0"/>
  </r>
  <r>
    <x v="358"/>
    <x v="1"/>
    <x v="0"/>
    <x v="304"/>
    <x v="344"/>
    <x v="2"/>
    <x v="1"/>
    <x v="4"/>
    <x v="1"/>
    <x v="0"/>
    <x v="1"/>
    <x v="1"/>
    <x v="1"/>
    <x v="310"/>
    <x v="24"/>
    <x v="0"/>
    <x v="0"/>
    <x v="2"/>
  </r>
  <r>
    <x v="359"/>
    <x v="1"/>
    <x v="0"/>
    <x v="305"/>
    <x v="345"/>
    <x v="2"/>
    <x v="1"/>
    <x v="4"/>
    <x v="1"/>
    <x v="0"/>
    <x v="1"/>
    <x v="1"/>
    <x v="1"/>
    <x v="311"/>
    <x v="24"/>
    <x v="0"/>
    <x v="0"/>
    <x v="2"/>
  </r>
  <r>
    <x v="360"/>
    <x v="0"/>
    <x v="0"/>
    <x v="61"/>
    <x v="346"/>
    <x v="0"/>
    <x v="0"/>
    <x v="20"/>
    <x v="0"/>
    <x v="5"/>
    <x v="5"/>
    <x v="0"/>
    <x v="2"/>
    <x v="62"/>
    <x v="48"/>
    <x v="2"/>
    <x v="0"/>
    <x v="0"/>
  </r>
  <r>
    <x v="361"/>
    <x v="0"/>
    <x v="2"/>
    <x v="306"/>
    <x v="347"/>
    <x v="0"/>
    <x v="0"/>
    <x v="28"/>
    <x v="0"/>
    <x v="0"/>
    <x v="0"/>
    <x v="0"/>
    <x v="0"/>
    <x v="312"/>
    <x v="26"/>
    <x v="2"/>
    <x v="0"/>
    <x v="1"/>
  </r>
  <r>
    <x v="362"/>
    <x v="0"/>
    <x v="0"/>
    <x v="307"/>
    <x v="348"/>
    <x v="1"/>
    <x v="1"/>
    <x v="33"/>
    <x v="1"/>
    <x v="1"/>
    <x v="0"/>
    <x v="0"/>
    <x v="0"/>
    <x v="313"/>
    <x v="53"/>
    <x v="2"/>
    <x v="0"/>
    <x v="1"/>
  </r>
  <r>
    <x v="363"/>
    <x v="0"/>
    <x v="0"/>
    <x v="308"/>
    <x v="349"/>
    <x v="0"/>
    <x v="0"/>
    <x v="3"/>
    <x v="1"/>
    <x v="0"/>
    <x v="1"/>
    <x v="0"/>
    <x v="1"/>
    <x v="314"/>
    <x v="79"/>
    <x v="0"/>
    <x v="0"/>
    <x v="0"/>
  </r>
  <r>
    <x v="364"/>
    <x v="0"/>
    <x v="0"/>
    <x v="165"/>
    <x v="253"/>
    <x v="0"/>
    <x v="0"/>
    <x v="4"/>
    <x v="0"/>
    <x v="0"/>
    <x v="0"/>
    <x v="0"/>
    <x v="0"/>
    <x v="168"/>
    <x v="37"/>
    <x v="2"/>
    <x v="0"/>
    <x v="2"/>
  </r>
  <r>
    <x v="365"/>
    <x v="0"/>
    <x v="0"/>
    <x v="309"/>
    <x v="350"/>
    <x v="0"/>
    <x v="0"/>
    <x v="39"/>
    <x v="1"/>
    <x v="0"/>
    <x v="1"/>
    <x v="0"/>
    <x v="1"/>
    <x v="315"/>
    <x v="0"/>
    <x v="0"/>
    <x v="0"/>
    <x v="0"/>
  </r>
  <r>
    <x v="366"/>
    <x v="1"/>
    <x v="1"/>
    <x v="310"/>
    <x v="351"/>
    <x v="1"/>
    <x v="1"/>
    <x v="72"/>
    <x v="0"/>
    <x v="0"/>
    <x v="0"/>
    <x v="1"/>
    <x v="0"/>
    <x v="316"/>
    <x v="159"/>
    <x v="1"/>
    <x v="69"/>
    <x v="1"/>
  </r>
  <r>
    <x v="367"/>
    <x v="1"/>
    <x v="0"/>
    <x v="311"/>
    <x v="352"/>
    <x v="1"/>
    <x v="1"/>
    <x v="4"/>
    <x v="1"/>
    <x v="0"/>
    <x v="1"/>
    <x v="1"/>
    <x v="1"/>
    <x v="317"/>
    <x v="32"/>
    <x v="0"/>
    <x v="0"/>
    <x v="1"/>
  </r>
  <r>
    <x v="368"/>
    <x v="1"/>
    <x v="0"/>
    <x v="312"/>
    <x v="353"/>
    <x v="2"/>
    <x v="1"/>
    <x v="4"/>
    <x v="1"/>
    <x v="0"/>
    <x v="1"/>
    <x v="1"/>
    <x v="1"/>
    <x v="318"/>
    <x v="28"/>
    <x v="0"/>
    <x v="0"/>
    <x v="2"/>
  </r>
  <r>
    <x v="369"/>
    <x v="1"/>
    <x v="1"/>
    <x v="313"/>
    <x v="354"/>
    <x v="7"/>
    <x v="2"/>
    <x v="42"/>
    <x v="1"/>
    <x v="0"/>
    <x v="1"/>
    <x v="1"/>
    <x v="1"/>
    <x v="319"/>
    <x v="160"/>
    <x v="1"/>
    <x v="70"/>
    <x v="1"/>
  </r>
  <r>
    <x v="370"/>
    <x v="1"/>
    <x v="1"/>
    <x v="314"/>
    <x v="355"/>
    <x v="0"/>
    <x v="0"/>
    <x v="37"/>
    <x v="0"/>
    <x v="0"/>
    <x v="0"/>
    <x v="1"/>
    <x v="0"/>
    <x v="320"/>
    <x v="161"/>
    <x v="1"/>
    <x v="71"/>
    <x v="1"/>
  </r>
  <r>
    <x v="371"/>
    <x v="0"/>
    <x v="0"/>
    <x v="315"/>
    <x v="198"/>
    <x v="0"/>
    <x v="0"/>
    <x v="24"/>
    <x v="0"/>
    <x v="0"/>
    <x v="0"/>
    <x v="0"/>
    <x v="0"/>
    <x v="321"/>
    <x v="110"/>
    <x v="0"/>
    <x v="0"/>
    <x v="0"/>
  </r>
  <r>
    <x v="372"/>
    <x v="0"/>
    <x v="0"/>
    <x v="316"/>
    <x v="246"/>
    <x v="0"/>
    <x v="0"/>
    <x v="19"/>
    <x v="1"/>
    <x v="0"/>
    <x v="1"/>
    <x v="0"/>
    <x v="1"/>
    <x v="322"/>
    <x v="4"/>
    <x v="0"/>
    <x v="0"/>
    <x v="0"/>
  </r>
  <r>
    <x v="373"/>
    <x v="0"/>
    <x v="1"/>
    <x v="317"/>
    <x v="356"/>
    <x v="0"/>
    <x v="0"/>
    <x v="0"/>
    <x v="1"/>
    <x v="0"/>
    <x v="1"/>
    <x v="0"/>
    <x v="1"/>
    <x v="240"/>
    <x v="130"/>
    <x v="1"/>
    <x v="0"/>
    <x v="1"/>
  </r>
  <r>
    <x v="374"/>
    <x v="0"/>
    <x v="0"/>
    <x v="7"/>
    <x v="357"/>
    <x v="2"/>
    <x v="1"/>
    <x v="25"/>
    <x v="2"/>
    <x v="1"/>
    <x v="2"/>
    <x v="0"/>
    <x v="2"/>
    <x v="7"/>
    <x v="7"/>
    <x v="2"/>
    <x v="0"/>
    <x v="0"/>
  </r>
  <r>
    <x v="375"/>
    <x v="1"/>
    <x v="1"/>
    <x v="33"/>
    <x v="358"/>
    <x v="1"/>
    <x v="1"/>
    <x v="4"/>
    <x v="0"/>
    <x v="0"/>
    <x v="0"/>
    <x v="1"/>
    <x v="0"/>
    <x v="33"/>
    <x v="30"/>
    <x v="1"/>
    <x v="0"/>
    <x v="1"/>
  </r>
  <r>
    <x v="376"/>
    <x v="1"/>
    <x v="0"/>
    <x v="318"/>
    <x v="359"/>
    <x v="2"/>
    <x v="1"/>
    <x v="0"/>
    <x v="1"/>
    <x v="0"/>
    <x v="1"/>
    <x v="1"/>
    <x v="1"/>
    <x v="323"/>
    <x v="0"/>
    <x v="0"/>
    <x v="0"/>
    <x v="0"/>
  </r>
  <r>
    <x v="377"/>
    <x v="0"/>
    <x v="1"/>
    <x v="319"/>
    <x v="360"/>
    <x v="0"/>
    <x v="0"/>
    <x v="7"/>
    <x v="1"/>
    <x v="2"/>
    <x v="3"/>
    <x v="0"/>
    <x v="0"/>
    <x v="324"/>
    <x v="162"/>
    <x v="1"/>
    <x v="72"/>
    <x v="1"/>
  </r>
  <r>
    <x v="378"/>
    <x v="0"/>
    <x v="0"/>
    <x v="320"/>
    <x v="338"/>
    <x v="0"/>
    <x v="0"/>
    <x v="11"/>
    <x v="1"/>
    <x v="0"/>
    <x v="1"/>
    <x v="0"/>
    <x v="1"/>
    <x v="325"/>
    <x v="163"/>
    <x v="0"/>
    <x v="0"/>
    <x v="1"/>
  </r>
  <r>
    <x v="379"/>
    <x v="0"/>
    <x v="0"/>
    <x v="99"/>
    <x v="361"/>
    <x v="0"/>
    <x v="0"/>
    <x v="19"/>
    <x v="1"/>
    <x v="0"/>
    <x v="1"/>
    <x v="0"/>
    <x v="1"/>
    <x v="326"/>
    <x v="71"/>
    <x v="0"/>
    <x v="0"/>
    <x v="0"/>
  </r>
  <r>
    <x v="380"/>
    <x v="1"/>
    <x v="1"/>
    <x v="321"/>
    <x v="362"/>
    <x v="2"/>
    <x v="1"/>
    <x v="22"/>
    <x v="1"/>
    <x v="0"/>
    <x v="1"/>
    <x v="1"/>
    <x v="1"/>
    <x v="327"/>
    <x v="164"/>
    <x v="1"/>
    <x v="0"/>
    <x v="1"/>
  </r>
  <r>
    <x v="381"/>
    <x v="1"/>
    <x v="0"/>
    <x v="322"/>
    <x v="363"/>
    <x v="2"/>
    <x v="1"/>
    <x v="58"/>
    <x v="1"/>
    <x v="2"/>
    <x v="3"/>
    <x v="1"/>
    <x v="0"/>
    <x v="328"/>
    <x v="165"/>
    <x v="2"/>
    <x v="0"/>
    <x v="1"/>
  </r>
  <r>
    <x v="382"/>
    <x v="0"/>
    <x v="0"/>
    <x v="323"/>
    <x v="364"/>
    <x v="0"/>
    <x v="0"/>
    <x v="35"/>
    <x v="1"/>
    <x v="0"/>
    <x v="1"/>
    <x v="0"/>
    <x v="1"/>
    <x v="329"/>
    <x v="2"/>
    <x v="0"/>
    <x v="0"/>
    <x v="0"/>
  </r>
  <r>
    <x v="383"/>
    <x v="1"/>
    <x v="1"/>
    <x v="34"/>
    <x v="365"/>
    <x v="1"/>
    <x v="1"/>
    <x v="3"/>
    <x v="0"/>
    <x v="0"/>
    <x v="0"/>
    <x v="1"/>
    <x v="0"/>
    <x v="34"/>
    <x v="31"/>
    <x v="1"/>
    <x v="0"/>
    <x v="0"/>
  </r>
  <r>
    <x v="384"/>
    <x v="0"/>
    <x v="0"/>
    <x v="324"/>
    <x v="366"/>
    <x v="0"/>
    <x v="0"/>
    <x v="4"/>
    <x v="1"/>
    <x v="0"/>
    <x v="1"/>
    <x v="0"/>
    <x v="1"/>
    <x v="330"/>
    <x v="25"/>
    <x v="0"/>
    <x v="0"/>
    <x v="0"/>
  </r>
  <r>
    <x v="385"/>
    <x v="0"/>
    <x v="2"/>
    <x v="325"/>
    <x v="367"/>
    <x v="0"/>
    <x v="0"/>
    <x v="24"/>
    <x v="1"/>
    <x v="0"/>
    <x v="1"/>
    <x v="0"/>
    <x v="1"/>
    <x v="70"/>
    <x v="52"/>
    <x v="1"/>
    <x v="0"/>
    <x v="0"/>
  </r>
  <r>
    <x v="386"/>
    <x v="0"/>
    <x v="0"/>
    <x v="57"/>
    <x v="368"/>
    <x v="3"/>
    <x v="0"/>
    <x v="58"/>
    <x v="5"/>
    <x v="2"/>
    <x v="7"/>
    <x v="0"/>
    <x v="2"/>
    <x v="58"/>
    <x v="45"/>
    <x v="2"/>
    <x v="0"/>
    <x v="0"/>
  </r>
  <r>
    <x v="387"/>
    <x v="1"/>
    <x v="2"/>
    <x v="326"/>
    <x v="278"/>
    <x v="2"/>
    <x v="1"/>
    <x v="62"/>
    <x v="1"/>
    <x v="0"/>
    <x v="1"/>
    <x v="1"/>
    <x v="1"/>
    <x v="331"/>
    <x v="16"/>
    <x v="2"/>
    <x v="0"/>
    <x v="0"/>
  </r>
  <r>
    <x v="388"/>
    <x v="0"/>
    <x v="0"/>
    <x v="327"/>
    <x v="369"/>
    <x v="0"/>
    <x v="0"/>
    <x v="4"/>
    <x v="1"/>
    <x v="0"/>
    <x v="1"/>
    <x v="0"/>
    <x v="1"/>
    <x v="332"/>
    <x v="166"/>
    <x v="0"/>
    <x v="0"/>
    <x v="2"/>
  </r>
  <r>
    <x v="389"/>
    <x v="1"/>
    <x v="2"/>
    <x v="328"/>
    <x v="82"/>
    <x v="2"/>
    <x v="1"/>
    <x v="34"/>
    <x v="1"/>
    <x v="0"/>
    <x v="1"/>
    <x v="1"/>
    <x v="1"/>
    <x v="333"/>
    <x v="167"/>
    <x v="2"/>
    <x v="0"/>
    <x v="1"/>
  </r>
  <r>
    <x v="390"/>
    <x v="1"/>
    <x v="1"/>
    <x v="218"/>
    <x v="370"/>
    <x v="0"/>
    <x v="0"/>
    <x v="62"/>
    <x v="0"/>
    <x v="2"/>
    <x v="6"/>
    <x v="1"/>
    <x v="2"/>
    <x v="334"/>
    <x v="168"/>
    <x v="1"/>
    <x v="73"/>
    <x v="0"/>
  </r>
  <r>
    <x v="391"/>
    <x v="1"/>
    <x v="0"/>
    <x v="329"/>
    <x v="371"/>
    <x v="0"/>
    <x v="0"/>
    <x v="23"/>
    <x v="1"/>
    <x v="0"/>
    <x v="1"/>
    <x v="1"/>
    <x v="1"/>
    <x v="335"/>
    <x v="88"/>
    <x v="0"/>
    <x v="0"/>
    <x v="0"/>
  </r>
  <r>
    <x v="392"/>
    <x v="0"/>
    <x v="0"/>
    <x v="99"/>
    <x v="372"/>
    <x v="0"/>
    <x v="0"/>
    <x v="17"/>
    <x v="4"/>
    <x v="0"/>
    <x v="3"/>
    <x v="0"/>
    <x v="0"/>
    <x v="336"/>
    <x v="2"/>
    <x v="0"/>
    <x v="0"/>
    <x v="0"/>
  </r>
  <r>
    <x v="393"/>
    <x v="1"/>
    <x v="1"/>
    <x v="190"/>
    <x v="373"/>
    <x v="2"/>
    <x v="1"/>
    <x v="41"/>
    <x v="0"/>
    <x v="0"/>
    <x v="0"/>
    <x v="1"/>
    <x v="0"/>
    <x v="193"/>
    <x v="114"/>
    <x v="1"/>
    <x v="38"/>
    <x v="1"/>
  </r>
  <r>
    <x v="394"/>
    <x v="1"/>
    <x v="0"/>
    <x v="10"/>
    <x v="374"/>
    <x v="1"/>
    <x v="1"/>
    <x v="42"/>
    <x v="1"/>
    <x v="2"/>
    <x v="3"/>
    <x v="1"/>
    <x v="0"/>
    <x v="10"/>
    <x v="10"/>
    <x v="2"/>
    <x v="4"/>
    <x v="0"/>
  </r>
  <r>
    <x v="395"/>
    <x v="0"/>
    <x v="0"/>
    <x v="98"/>
    <x v="375"/>
    <x v="0"/>
    <x v="0"/>
    <x v="0"/>
    <x v="1"/>
    <x v="0"/>
    <x v="1"/>
    <x v="0"/>
    <x v="1"/>
    <x v="337"/>
    <x v="88"/>
    <x v="0"/>
    <x v="0"/>
    <x v="0"/>
  </r>
  <r>
    <x v="396"/>
    <x v="0"/>
    <x v="0"/>
    <x v="245"/>
    <x v="376"/>
    <x v="2"/>
    <x v="1"/>
    <x v="14"/>
    <x v="1"/>
    <x v="0"/>
    <x v="1"/>
    <x v="0"/>
    <x v="1"/>
    <x v="338"/>
    <x v="13"/>
    <x v="0"/>
    <x v="0"/>
    <x v="0"/>
  </r>
  <r>
    <x v="397"/>
    <x v="0"/>
    <x v="2"/>
    <x v="330"/>
    <x v="377"/>
    <x v="0"/>
    <x v="0"/>
    <x v="43"/>
    <x v="1"/>
    <x v="0"/>
    <x v="1"/>
    <x v="0"/>
    <x v="1"/>
    <x v="339"/>
    <x v="19"/>
    <x v="2"/>
    <x v="0"/>
    <x v="0"/>
  </r>
  <r>
    <x v="398"/>
    <x v="0"/>
    <x v="2"/>
    <x v="331"/>
    <x v="378"/>
    <x v="6"/>
    <x v="0"/>
    <x v="41"/>
    <x v="1"/>
    <x v="0"/>
    <x v="1"/>
    <x v="0"/>
    <x v="1"/>
    <x v="340"/>
    <x v="29"/>
    <x v="2"/>
    <x v="0"/>
    <x v="0"/>
  </r>
  <r>
    <x v="399"/>
    <x v="1"/>
    <x v="2"/>
    <x v="332"/>
    <x v="379"/>
    <x v="1"/>
    <x v="1"/>
    <x v="17"/>
    <x v="1"/>
    <x v="0"/>
    <x v="1"/>
    <x v="1"/>
    <x v="1"/>
    <x v="341"/>
    <x v="169"/>
    <x v="2"/>
    <x v="0"/>
    <x v="0"/>
  </r>
  <r>
    <x v="400"/>
    <x v="1"/>
    <x v="0"/>
    <x v="333"/>
    <x v="380"/>
    <x v="0"/>
    <x v="0"/>
    <x v="12"/>
    <x v="1"/>
    <x v="0"/>
    <x v="1"/>
    <x v="1"/>
    <x v="1"/>
    <x v="342"/>
    <x v="2"/>
    <x v="0"/>
    <x v="0"/>
    <x v="0"/>
  </r>
  <r>
    <x v="401"/>
    <x v="0"/>
    <x v="0"/>
    <x v="334"/>
    <x v="184"/>
    <x v="0"/>
    <x v="0"/>
    <x v="2"/>
    <x v="1"/>
    <x v="0"/>
    <x v="1"/>
    <x v="0"/>
    <x v="1"/>
    <x v="343"/>
    <x v="4"/>
    <x v="0"/>
    <x v="0"/>
    <x v="0"/>
  </r>
  <r>
    <x v="402"/>
    <x v="0"/>
    <x v="0"/>
    <x v="107"/>
    <x v="381"/>
    <x v="2"/>
    <x v="1"/>
    <x v="23"/>
    <x v="0"/>
    <x v="0"/>
    <x v="0"/>
    <x v="0"/>
    <x v="0"/>
    <x v="344"/>
    <x v="73"/>
    <x v="0"/>
    <x v="0"/>
    <x v="0"/>
  </r>
  <r>
    <x v="403"/>
    <x v="0"/>
    <x v="0"/>
    <x v="130"/>
    <x v="382"/>
    <x v="0"/>
    <x v="0"/>
    <x v="17"/>
    <x v="0"/>
    <x v="0"/>
    <x v="0"/>
    <x v="0"/>
    <x v="0"/>
    <x v="132"/>
    <x v="62"/>
    <x v="2"/>
    <x v="0"/>
    <x v="0"/>
  </r>
  <r>
    <x v="404"/>
    <x v="0"/>
    <x v="0"/>
    <x v="335"/>
    <x v="383"/>
    <x v="2"/>
    <x v="1"/>
    <x v="11"/>
    <x v="1"/>
    <x v="0"/>
    <x v="1"/>
    <x v="0"/>
    <x v="1"/>
    <x v="345"/>
    <x v="51"/>
    <x v="0"/>
    <x v="0"/>
    <x v="0"/>
  </r>
  <r>
    <x v="405"/>
    <x v="0"/>
    <x v="2"/>
    <x v="336"/>
    <x v="384"/>
    <x v="0"/>
    <x v="0"/>
    <x v="15"/>
    <x v="0"/>
    <x v="0"/>
    <x v="0"/>
    <x v="0"/>
    <x v="0"/>
    <x v="346"/>
    <x v="35"/>
    <x v="2"/>
    <x v="0"/>
    <x v="0"/>
  </r>
  <r>
    <x v="406"/>
    <x v="0"/>
    <x v="0"/>
    <x v="337"/>
    <x v="385"/>
    <x v="0"/>
    <x v="0"/>
    <x v="54"/>
    <x v="1"/>
    <x v="0"/>
    <x v="1"/>
    <x v="0"/>
    <x v="1"/>
    <x v="347"/>
    <x v="28"/>
    <x v="0"/>
    <x v="0"/>
    <x v="0"/>
  </r>
  <r>
    <x v="407"/>
    <x v="1"/>
    <x v="2"/>
    <x v="338"/>
    <x v="386"/>
    <x v="3"/>
    <x v="0"/>
    <x v="25"/>
    <x v="0"/>
    <x v="1"/>
    <x v="3"/>
    <x v="1"/>
    <x v="0"/>
    <x v="348"/>
    <x v="170"/>
    <x v="2"/>
    <x v="0"/>
    <x v="0"/>
  </r>
  <r>
    <x v="408"/>
    <x v="0"/>
    <x v="0"/>
    <x v="339"/>
    <x v="387"/>
    <x v="0"/>
    <x v="0"/>
    <x v="23"/>
    <x v="1"/>
    <x v="0"/>
    <x v="1"/>
    <x v="0"/>
    <x v="1"/>
    <x v="349"/>
    <x v="71"/>
    <x v="0"/>
    <x v="0"/>
    <x v="0"/>
  </r>
  <r>
    <x v="409"/>
    <x v="0"/>
    <x v="0"/>
    <x v="157"/>
    <x v="388"/>
    <x v="2"/>
    <x v="1"/>
    <x v="4"/>
    <x v="2"/>
    <x v="1"/>
    <x v="2"/>
    <x v="0"/>
    <x v="2"/>
    <x v="160"/>
    <x v="102"/>
    <x v="2"/>
    <x v="0"/>
    <x v="0"/>
  </r>
  <r>
    <x v="410"/>
    <x v="0"/>
    <x v="0"/>
    <x v="340"/>
    <x v="389"/>
    <x v="0"/>
    <x v="0"/>
    <x v="4"/>
    <x v="1"/>
    <x v="0"/>
    <x v="1"/>
    <x v="0"/>
    <x v="1"/>
    <x v="350"/>
    <x v="25"/>
    <x v="0"/>
    <x v="0"/>
    <x v="0"/>
  </r>
  <r>
    <x v="411"/>
    <x v="0"/>
    <x v="0"/>
    <x v="273"/>
    <x v="205"/>
    <x v="0"/>
    <x v="0"/>
    <x v="4"/>
    <x v="1"/>
    <x v="0"/>
    <x v="1"/>
    <x v="0"/>
    <x v="1"/>
    <x v="351"/>
    <x v="171"/>
    <x v="0"/>
    <x v="0"/>
    <x v="2"/>
  </r>
  <r>
    <x v="412"/>
    <x v="1"/>
    <x v="1"/>
    <x v="214"/>
    <x v="390"/>
    <x v="2"/>
    <x v="1"/>
    <x v="40"/>
    <x v="0"/>
    <x v="0"/>
    <x v="0"/>
    <x v="1"/>
    <x v="0"/>
    <x v="219"/>
    <x v="117"/>
    <x v="1"/>
    <x v="41"/>
    <x v="2"/>
  </r>
  <r>
    <x v="413"/>
    <x v="0"/>
    <x v="2"/>
    <x v="341"/>
    <x v="391"/>
    <x v="0"/>
    <x v="0"/>
    <x v="4"/>
    <x v="1"/>
    <x v="0"/>
    <x v="1"/>
    <x v="0"/>
    <x v="1"/>
    <x v="247"/>
    <x v="104"/>
    <x v="0"/>
    <x v="0"/>
    <x v="0"/>
  </r>
  <r>
    <x v="414"/>
    <x v="1"/>
    <x v="0"/>
    <x v="342"/>
    <x v="392"/>
    <x v="0"/>
    <x v="0"/>
    <x v="57"/>
    <x v="1"/>
    <x v="0"/>
    <x v="1"/>
    <x v="1"/>
    <x v="1"/>
    <x v="352"/>
    <x v="2"/>
    <x v="0"/>
    <x v="0"/>
    <x v="0"/>
  </r>
  <r>
    <x v="415"/>
    <x v="0"/>
    <x v="0"/>
    <x v="343"/>
    <x v="393"/>
    <x v="1"/>
    <x v="1"/>
    <x v="4"/>
    <x v="1"/>
    <x v="0"/>
    <x v="1"/>
    <x v="0"/>
    <x v="1"/>
    <x v="353"/>
    <x v="4"/>
    <x v="0"/>
    <x v="0"/>
    <x v="0"/>
  </r>
  <r>
    <x v="416"/>
    <x v="1"/>
    <x v="2"/>
    <x v="344"/>
    <x v="394"/>
    <x v="1"/>
    <x v="1"/>
    <x v="15"/>
    <x v="0"/>
    <x v="1"/>
    <x v="3"/>
    <x v="1"/>
    <x v="0"/>
    <x v="354"/>
    <x v="172"/>
    <x v="2"/>
    <x v="0"/>
    <x v="0"/>
  </r>
  <r>
    <x v="417"/>
    <x v="1"/>
    <x v="2"/>
    <x v="345"/>
    <x v="395"/>
    <x v="2"/>
    <x v="1"/>
    <x v="24"/>
    <x v="1"/>
    <x v="2"/>
    <x v="3"/>
    <x v="1"/>
    <x v="0"/>
    <x v="355"/>
    <x v="16"/>
    <x v="2"/>
    <x v="0"/>
    <x v="0"/>
  </r>
  <r>
    <x v="418"/>
    <x v="0"/>
    <x v="2"/>
    <x v="346"/>
    <x v="44"/>
    <x v="0"/>
    <x v="0"/>
    <x v="39"/>
    <x v="1"/>
    <x v="0"/>
    <x v="1"/>
    <x v="0"/>
    <x v="1"/>
    <x v="356"/>
    <x v="16"/>
    <x v="2"/>
    <x v="0"/>
    <x v="0"/>
  </r>
  <r>
    <x v="419"/>
    <x v="0"/>
    <x v="0"/>
    <x v="347"/>
    <x v="396"/>
    <x v="2"/>
    <x v="1"/>
    <x v="73"/>
    <x v="1"/>
    <x v="2"/>
    <x v="3"/>
    <x v="0"/>
    <x v="0"/>
    <x v="357"/>
    <x v="72"/>
    <x v="2"/>
    <x v="0"/>
    <x v="0"/>
  </r>
  <r>
    <x v="420"/>
    <x v="0"/>
    <x v="0"/>
    <x v="348"/>
    <x v="397"/>
    <x v="0"/>
    <x v="0"/>
    <x v="4"/>
    <x v="1"/>
    <x v="0"/>
    <x v="1"/>
    <x v="0"/>
    <x v="1"/>
    <x v="358"/>
    <x v="25"/>
    <x v="0"/>
    <x v="0"/>
    <x v="1"/>
  </r>
  <r>
    <x v="421"/>
    <x v="0"/>
    <x v="0"/>
    <x v="349"/>
    <x v="256"/>
    <x v="0"/>
    <x v="0"/>
    <x v="23"/>
    <x v="1"/>
    <x v="0"/>
    <x v="1"/>
    <x v="0"/>
    <x v="1"/>
    <x v="359"/>
    <x v="93"/>
    <x v="0"/>
    <x v="0"/>
    <x v="2"/>
  </r>
  <r>
    <x v="422"/>
    <x v="0"/>
    <x v="0"/>
    <x v="350"/>
    <x v="398"/>
    <x v="0"/>
    <x v="0"/>
    <x v="28"/>
    <x v="1"/>
    <x v="0"/>
    <x v="1"/>
    <x v="0"/>
    <x v="1"/>
    <x v="360"/>
    <x v="173"/>
    <x v="0"/>
    <x v="0"/>
    <x v="0"/>
  </r>
  <r>
    <x v="423"/>
    <x v="0"/>
    <x v="0"/>
    <x v="351"/>
    <x v="399"/>
    <x v="1"/>
    <x v="1"/>
    <x v="17"/>
    <x v="0"/>
    <x v="1"/>
    <x v="3"/>
    <x v="0"/>
    <x v="0"/>
    <x v="361"/>
    <x v="174"/>
    <x v="2"/>
    <x v="0"/>
    <x v="0"/>
  </r>
  <r>
    <x v="424"/>
    <x v="0"/>
    <x v="0"/>
    <x v="222"/>
    <x v="400"/>
    <x v="0"/>
    <x v="0"/>
    <x v="24"/>
    <x v="0"/>
    <x v="1"/>
    <x v="3"/>
    <x v="0"/>
    <x v="0"/>
    <x v="227"/>
    <x v="125"/>
    <x v="2"/>
    <x v="0"/>
    <x v="0"/>
  </r>
  <r>
    <x v="425"/>
    <x v="0"/>
    <x v="0"/>
    <x v="352"/>
    <x v="401"/>
    <x v="0"/>
    <x v="0"/>
    <x v="4"/>
    <x v="1"/>
    <x v="0"/>
    <x v="1"/>
    <x v="0"/>
    <x v="1"/>
    <x v="362"/>
    <x v="0"/>
    <x v="0"/>
    <x v="0"/>
    <x v="0"/>
  </r>
  <r>
    <x v="426"/>
    <x v="1"/>
    <x v="2"/>
    <x v="353"/>
    <x v="402"/>
    <x v="1"/>
    <x v="1"/>
    <x v="17"/>
    <x v="0"/>
    <x v="0"/>
    <x v="0"/>
    <x v="1"/>
    <x v="0"/>
    <x v="363"/>
    <x v="19"/>
    <x v="2"/>
    <x v="0"/>
    <x v="0"/>
  </r>
  <r>
    <x v="427"/>
    <x v="1"/>
    <x v="2"/>
    <x v="354"/>
    <x v="403"/>
    <x v="2"/>
    <x v="1"/>
    <x v="19"/>
    <x v="1"/>
    <x v="0"/>
    <x v="1"/>
    <x v="1"/>
    <x v="1"/>
    <x v="364"/>
    <x v="19"/>
    <x v="2"/>
    <x v="0"/>
    <x v="0"/>
  </r>
  <r>
    <x v="428"/>
    <x v="0"/>
    <x v="0"/>
    <x v="355"/>
    <x v="5"/>
    <x v="0"/>
    <x v="0"/>
    <x v="4"/>
    <x v="1"/>
    <x v="0"/>
    <x v="1"/>
    <x v="0"/>
    <x v="1"/>
    <x v="365"/>
    <x v="28"/>
    <x v="0"/>
    <x v="0"/>
    <x v="2"/>
  </r>
  <r>
    <x v="429"/>
    <x v="1"/>
    <x v="0"/>
    <x v="356"/>
    <x v="404"/>
    <x v="0"/>
    <x v="0"/>
    <x v="35"/>
    <x v="1"/>
    <x v="0"/>
    <x v="1"/>
    <x v="1"/>
    <x v="1"/>
    <x v="366"/>
    <x v="4"/>
    <x v="0"/>
    <x v="74"/>
    <x v="0"/>
  </r>
  <r>
    <x v="430"/>
    <x v="1"/>
    <x v="1"/>
    <x v="357"/>
    <x v="405"/>
    <x v="0"/>
    <x v="0"/>
    <x v="17"/>
    <x v="1"/>
    <x v="0"/>
    <x v="1"/>
    <x v="1"/>
    <x v="1"/>
    <x v="367"/>
    <x v="11"/>
    <x v="2"/>
    <x v="12"/>
    <x v="0"/>
  </r>
  <r>
    <x v="431"/>
    <x v="1"/>
    <x v="0"/>
    <x v="358"/>
    <x v="406"/>
    <x v="1"/>
    <x v="1"/>
    <x v="4"/>
    <x v="0"/>
    <x v="0"/>
    <x v="0"/>
    <x v="1"/>
    <x v="0"/>
    <x v="368"/>
    <x v="95"/>
    <x v="2"/>
    <x v="0"/>
    <x v="0"/>
  </r>
  <r>
    <x v="432"/>
    <x v="1"/>
    <x v="2"/>
    <x v="359"/>
    <x v="407"/>
    <x v="1"/>
    <x v="1"/>
    <x v="22"/>
    <x v="0"/>
    <x v="0"/>
    <x v="0"/>
    <x v="1"/>
    <x v="0"/>
    <x v="369"/>
    <x v="19"/>
    <x v="2"/>
    <x v="0"/>
    <x v="0"/>
  </r>
  <r>
    <x v="433"/>
    <x v="0"/>
    <x v="0"/>
    <x v="360"/>
    <x v="408"/>
    <x v="0"/>
    <x v="0"/>
    <x v="34"/>
    <x v="1"/>
    <x v="0"/>
    <x v="1"/>
    <x v="0"/>
    <x v="1"/>
    <x v="370"/>
    <x v="123"/>
    <x v="0"/>
    <x v="0"/>
    <x v="0"/>
  </r>
  <r>
    <x v="434"/>
    <x v="0"/>
    <x v="1"/>
    <x v="361"/>
    <x v="409"/>
    <x v="0"/>
    <x v="0"/>
    <x v="61"/>
    <x v="0"/>
    <x v="0"/>
    <x v="0"/>
    <x v="0"/>
    <x v="0"/>
    <x v="371"/>
    <x v="175"/>
    <x v="1"/>
    <x v="75"/>
    <x v="0"/>
  </r>
  <r>
    <x v="435"/>
    <x v="1"/>
    <x v="1"/>
    <x v="218"/>
    <x v="410"/>
    <x v="2"/>
    <x v="1"/>
    <x v="8"/>
    <x v="0"/>
    <x v="2"/>
    <x v="6"/>
    <x v="1"/>
    <x v="2"/>
    <x v="334"/>
    <x v="168"/>
    <x v="1"/>
    <x v="73"/>
    <x v="0"/>
  </r>
  <r>
    <x v="436"/>
    <x v="0"/>
    <x v="0"/>
    <x v="82"/>
    <x v="411"/>
    <x v="2"/>
    <x v="1"/>
    <x v="23"/>
    <x v="4"/>
    <x v="2"/>
    <x v="2"/>
    <x v="0"/>
    <x v="2"/>
    <x v="84"/>
    <x v="63"/>
    <x v="2"/>
    <x v="0"/>
    <x v="0"/>
  </r>
  <r>
    <x v="437"/>
    <x v="1"/>
    <x v="2"/>
    <x v="338"/>
    <x v="412"/>
    <x v="1"/>
    <x v="1"/>
    <x v="42"/>
    <x v="4"/>
    <x v="4"/>
    <x v="5"/>
    <x v="1"/>
    <x v="2"/>
    <x v="348"/>
    <x v="170"/>
    <x v="2"/>
    <x v="0"/>
    <x v="0"/>
  </r>
  <r>
    <x v="438"/>
    <x v="0"/>
    <x v="1"/>
    <x v="26"/>
    <x v="413"/>
    <x v="0"/>
    <x v="0"/>
    <x v="74"/>
    <x v="0"/>
    <x v="5"/>
    <x v="5"/>
    <x v="0"/>
    <x v="2"/>
    <x v="26"/>
    <x v="23"/>
    <x v="1"/>
    <x v="8"/>
    <x v="0"/>
  </r>
  <r>
    <x v="439"/>
    <x v="0"/>
    <x v="2"/>
    <x v="362"/>
    <x v="414"/>
    <x v="0"/>
    <x v="0"/>
    <x v="14"/>
    <x v="1"/>
    <x v="0"/>
    <x v="1"/>
    <x v="0"/>
    <x v="1"/>
    <x v="372"/>
    <x v="29"/>
    <x v="2"/>
    <x v="0"/>
    <x v="0"/>
  </r>
  <r>
    <x v="440"/>
    <x v="1"/>
    <x v="2"/>
    <x v="273"/>
    <x v="415"/>
    <x v="1"/>
    <x v="1"/>
    <x v="33"/>
    <x v="0"/>
    <x v="1"/>
    <x v="3"/>
    <x v="1"/>
    <x v="0"/>
    <x v="280"/>
    <x v="121"/>
    <x v="2"/>
    <x v="0"/>
    <x v="0"/>
  </r>
  <r>
    <x v="441"/>
    <x v="0"/>
    <x v="0"/>
    <x v="363"/>
    <x v="416"/>
    <x v="0"/>
    <x v="0"/>
    <x v="11"/>
    <x v="1"/>
    <x v="0"/>
    <x v="1"/>
    <x v="0"/>
    <x v="1"/>
    <x v="373"/>
    <x v="59"/>
    <x v="0"/>
    <x v="0"/>
    <x v="0"/>
  </r>
  <r>
    <x v="442"/>
    <x v="0"/>
    <x v="0"/>
    <x v="364"/>
    <x v="417"/>
    <x v="0"/>
    <x v="0"/>
    <x v="37"/>
    <x v="0"/>
    <x v="0"/>
    <x v="0"/>
    <x v="0"/>
    <x v="0"/>
    <x v="374"/>
    <x v="71"/>
    <x v="0"/>
    <x v="0"/>
    <x v="0"/>
  </r>
  <r>
    <x v="443"/>
    <x v="1"/>
    <x v="2"/>
    <x v="365"/>
    <x v="418"/>
    <x v="8"/>
    <x v="2"/>
    <x v="17"/>
    <x v="1"/>
    <x v="0"/>
    <x v="1"/>
    <x v="1"/>
    <x v="1"/>
    <x v="375"/>
    <x v="16"/>
    <x v="2"/>
    <x v="0"/>
    <x v="0"/>
  </r>
  <r>
    <x v="444"/>
    <x v="1"/>
    <x v="0"/>
    <x v="366"/>
    <x v="419"/>
    <x v="0"/>
    <x v="0"/>
    <x v="4"/>
    <x v="1"/>
    <x v="0"/>
    <x v="1"/>
    <x v="1"/>
    <x v="1"/>
    <x v="376"/>
    <x v="176"/>
    <x v="0"/>
    <x v="0"/>
    <x v="0"/>
  </r>
  <r>
    <x v="445"/>
    <x v="1"/>
    <x v="1"/>
    <x v="367"/>
    <x v="420"/>
    <x v="3"/>
    <x v="0"/>
    <x v="9"/>
    <x v="1"/>
    <x v="2"/>
    <x v="3"/>
    <x v="1"/>
    <x v="0"/>
    <x v="377"/>
    <x v="177"/>
    <x v="1"/>
    <x v="76"/>
    <x v="0"/>
  </r>
  <r>
    <x v="446"/>
    <x v="1"/>
    <x v="2"/>
    <x v="237"/>
    <x v="421"/>
    <x v="2"/>
    <x v="1"/>
    <x v="75"/>
    <x v="1"/>
    <x v="1"/>
    <x v="0"/>
    <x v="1"/>
    <x v="0"/>
    <x v="242"/>
    <x v="131"/>
    <x v="2"/>
    <x v="0"/>
    <x v="0"/>
  </r>
  <r>
    <x v="447"/>
    <x v="1"/>
    <x v="1"/>
    <x v="368"/>
    <x v="422"/>
    <x v="0"/>
    <x v="0"/>
    <x v="15"/>
    <x v="1"/>
    <x v="0"/>
    <x v="1"/>
    <x v="1"/>
    <x v="1"/>
    <x v="378"/>
    <x v="11"/>
    <x v="2"/>
    <x v="0"/>
    <x v="0"/>
  </r>
  <r>
    <x v="448"/>
    <x v="1"/>
    <x v="0"/>
    <x v="369"/>
    <x v="423"/>
    <x v="2"/>
    <x v="1"/>
    <x v="31"/>
    <x v="4"/>
    <x v="1"/>
    <x v="6"/>
    <x v="1"/>
    <x v="2"/>
    <x v="379"/>
    <x v="178"/>
    <x v="2"/>
    <x v="0"/>
    <x v="1"/>
  </r>
  <r>
    <x v="449"/>
    <x v="1"/>
    <x v="1"/>
    <x v="370"/>
    <x v="424"/>
    <x v="9"/>
    <x v="2"/>
    <x v="67"/>
    <x v="1"/>
    <x v="0"/>
    <x v="1"/>
    <x v="1"/>
    <x v="1"/>
    <x v="380"/>
    <x v="140"/>
    <x v="2"/>
    <x v="77"/>
    <x v="0"/>
  </r>
  <r>
    <x v="450"/>
    <x v="0"/>
    <x v="2"/>
    <x v="56"/>
    <x v="425"/>
    <x v="0"/>
    <x v="0"/>
    <x v="62"/>
    <x v="0"/>
    <x v="2"/>
    <x v="6"/>
    <x v="0"/>
    <x v="2"/>
    <x v="57"/>
    <x v="44"/>
    <x v="2"/>
    <x v="0"/>
    <x v="0"/>
  </r>
  <r>
    <x v="451"/>
    <x v="0"/>
    <x v="0"/>
    <x v="371"/>
    <x v="426"/>
    <x v="0"/>
    <x v="0"/>
    <x v="4"/>
    <x v="0"/>
    <x v="0"/>
    <x v="0"/>
    <x v="0"/>
    <x v="0"/>
    <x v="381"/>
    <x v="179"/>
    <x v="2"/>
    <x v="0"/>
    <x v="0"/>
  </r>
  <r>
    <x v="452"/>
    <x v="0"/>
    <x v="1"/>
    <x v="372"/>
    <x v="427"/>
    <x v="0"/>
    <x v="0"/>
    <x v="39"/>
    <x v="1"/>
    <x v="0"/>
    <x v="1"/>
    <x v="0"/>
    <x v="1"/>
    <x v="382"/>
    <x v="44"/>
    <x v="2"/>
    <x v="78"/>
    <x v="1"/>
  </r>
  <r>
    <x v="453"/>
    <x v="1"/>
    <x v="1"/>
    <x v="373"/>
    <x v="428"/>
    <x v="0"/>
    <x v="0"/>
    <x v="27"/>
    <x v="0"/>
    <x v="0"/>
    <x v="0"/>
    <x v="1"/>
    <x v="0"/>
    <x v="383"/>
    <x v="180"/>
    <x v="1"/>
    <x v="79"/>
    <x v="1"/>
  </r>
  <r>
    <x v="454"/>
    <x v="0"/>
    <x v="0"/>
    <x v="374"/>
    <x v="429"/>
    <x v="0"/>
    <x v="0"/>
    <x v="4"/>
    <x v="1"/>
    <x v="0"/>
    <x v="1"/>
    <x v="0"/>
    <x v="1"/>
    <x v="384"/>
    <x v="4"/>
    <x v="0"/>
    <x v="0"/>
    <x v="0"/>
  </r>
  <r>
    <x v="455"/>
    <x v="1"/>
    <x v="0"/>
    <x v="375"/>
    <x v="75"/>
    <x v="0"/>
    <x v="0"/>
    <x v="28"/>
    <x v="1"/>
    <x v="0"/>
    <x v="1"/>
    <x v="1"/>
    <x v="1"/>
    <x v="385"/>
    <x v="25"/>
    <x v="0"/>
    <x v="0"/>
    <x v="1"/>
  </r>
  <r>
    <x v="456"/>
    <x v="0"/>
    <x v="1"/>
    <x v="376"/>
    <x v="430"/>
    <x v="0"/>
    <x v="0"/>
    <x v="29"/>
    <x v="1"/>
    <x v="0"/>
    <x v="1"/>
    <x v="0"/>
    <x v="1"/>
    <x v="386"/>
    <x v="11"/>
    <x v="2"/>
    <x v="80"/>
    <x v="0"/>
  </r>
  <r>
    <x v="457"/>
    <x v="1"/>
    <x v="1"/>
    <x v="377"/>
    <x v="431"/>
    <x v="1"/>
    <x v="1"/>
    <x v="4"/>
    <x v="0"/>
    <x v="0"/>
    <x v="0"/>
    <x v="1"/>
    <x v="0"/>
    <x v="387"/>
    <x v="6"/>
    <x v="1"/>
    <x v="81"/>
    <x v="0"/>
  </r>
  <r>
    <x v="458"/>
    <x v="1"/>
    <x v="2"/>
    <x v="378"/>
    <x v="432"/>
    <x v="2"/>
    <x v="1"/>
    <x v="61"/>
    <x v="1"/>
    <x v="0"/>
    <x v="1"/>
    <x v="1"/>
    <x v="1"/>
    <x v="388"/>
    <x v="29"/>
    <x v="2"/>
    <x v="0"/>
    <x v="0"/>
  </r>
  <r>
    <x v="459"/>
    <x v="0"/>
    <x v="0"/>
    <x v="379"/>
    <x v="433"/>
    <x v="0"/>
    <x v="0"/>
    <x v="4"/>
    <x v="1"/>
    <x v="0"/>
    <x v="1"/>
    <x v="0"/>
    <x v="1"/>
    <x v="389"/>
    <x v="28"/>
    <x v="0"/>
    <x v="0"/>
    <x v="2"/>
  </r>
  <r>
    <x v="460"/>
    <x v="1"/>
    <x v="1"/>
    <x v="380"/>
    <x v="154"/>
    <x v="0"/>
    <x v="0"/>
    <x v="76"/>
    <x v="1"/>
    <x v="0"/>
    <x v="1"/>
    <x v="1"/>
    <x v="1"/>
    <x v="390"/>
    <x v="11"/>
    <x v="2"/>
    <x v="82"/>
    <x v="0"/>
  </r>
  <r>
    <x v="461"/>
    <x v="0"/>
    <x v="0"/>
    <x v="381"/>
    <x v="187"/>
    <x v="0"/>
    <x v="0"/>
    <x v="15"/>
    <x v="1"/>
    <x v="0"/>
    <x v="1"/>
    <x v="0"/>
    <x v="1"/>
    <x v="391"/>
    <x v="4"/>
    <x v="0"/>
    <x v="0"/>
    <x v="0"/>
  </r>
  <r>
    <x v="462"/>
    <x v="0"/>
    <x v="1"/>
    <x v="382"/>
    <x v="434"/>
    <x v="0"/>
    <x v="0"/>
    <x v="47"/>
    <x v="1"/>
    <x v="0"/>
    <x v="1"/>
    <x v="0"/>
    <x v="1"/>
    <x v="392"/>
    <x v="181"/>
    <x v="2"/>
    <x v="83"/>
    <x v="0"/>
  </r>
  <r>
    <x v="463"/>
    <x v="0"/>
    <x v="2"/>
    <x v="383"/>
    <x v="435"/>
    <x v="0"/>
    <x v="0"/>
    <x v="76"/>
    <x v="1"/>
    <x v="0"/>
    <x v="1"/>
    <x v="0"/>
    <x v="1"/>
    <x v="393"/>
    <x v="16"/>
    <x v="2"/>
    <x v="0"/>
    <x v="0"/>
  </r>
  <r>
    <x v="464"/>
    <x v="0"/>
    <x v="0"/>
    <x v="384"/>
    <x v="436"/>
    <x v="0"/>
    <x v="0"/>
    <x v="4"/>
    <x v="1"/>
    <x v="0"/>
    <x v="1"/>
    <x v="0"/>
    <x v="1"/>
    <x v="394"/>
    <x v="4"/>
    <x v="0"/>
    <x v="0"/>
    <x v="0"/>
  </r>
  <r>
    <x v="465"/>
    <x v="0"/>
    <x v="0"/>
    <x v="385"/>
    <x v="437"/>
    <x v="0"/>
    <x v="0"/>
    <x v="1"/>
    <x v="1"/>
    <x v="0"/>
    <x v="1"/>
    <x v="0"/>
    <x v="1"/>
    <x v="395"/>
    <x v="79"/>
    <x v="0"/>
    <x v="0"/>
    <x v="0"/>
  </r>
  <r>
    <x v="466"/>
    <x v="0"/>
    <x v="2"/>
    <x v="386"/>
    <x v="187"/>
    <x v="0"/>
    <x v="0"/>
    <x v="4"/>
    <x v="1"/>
    <x v="0"/>
    <x v="1"/>
    <x v="0"/>
    <x v="1"/>
    <x v="247"/>
    <x v="104"/>
    <x v="0"/>
    <x v="0"/>
    <x v="0"/>
  </r>
  <r>
    <x v="467"/>
    <x v="0"/>
    <x v="1"/>
    <x v="387"/>
    <x v="438"/>
    <x v="0"/>
    <x v="0"/>
    <x v="60"/>
    <x v="1"/>
    <x v="0"/>
    <x v="1"/>
    <x v="0"/>
    <x v="1"/>
    <x v="396"/>
    <x v="11"/>
    <x v="2"/>
    <x v="0"/>
    <x v="0"/>
  </r>
  <r>
    <x v="468"/>
    <x v="0"/>
    <x v="0"/>
    <x v="388"/>
    <x v="5"/>
    <x v="0"/>
    <x v="0"/>
    <x v="4"/>
    <x v="1"/>
    <x v="0"/>
    <x v="1"/>
    <x v="0"/>
    <x v="1"/>
    <x v="397"/>
    <x v="182"/>
    <x v="0"/>
    <x v="0"/>
    <x v="2"/>
  </r>
  <r>
    <x v="469"/>
    <x v="1"/>
    <x v="0"/>
    <x v="369"/>
    <x v="439"/>
    <x v="2"/>
    <x v="1"/>
    <x v="77"/>
    <x v="4"/>
    <x v="1"/>
    <x v="6"/>
    <x v="1"/>
    <x v="2"/>
    <x v="379"/>
    <x v="178"/>
    <x v="2"/>
    <x v="0"/>
    <x v="1"/>
  </r>
  <r>
    <x v="470"/>
    <x v="0"/>
    <x v="0"/>
    <x v="389"/>
    <x v="167"/>
    <x v="0"/>
    <x v="0"/>
    <x v="4"/>
    <x v="1"/>
    <x v="0"/>
    <x v="1"/>
    <x v="0"/>
    <x v="1"/>
    <x v="398"/>
    <x v="0"/>
    <x v="0"/>
    <x v="0"/>
    <x v="0"/>
  </r>
  <r>
    <x v="471"/>
    <x v="0"/>
    <x v="0"/>
    <x v="390"/>
    <x v="440"/>
    <x v="0"/>
    <x v="0"/>
    <x v="1"/>
    <x v="1"/>
    <x v="0"/>
    <x v="1"/>
    <x v="0"/>
    <x v="1"/>
    <x v="399"/>
    <x v="51"/>
    <x v="0"/>
    <x v="0"/>
    <x v="0"/>
  </r>
  <r>
    <x v="472"/>
    <x v="1"/>
    <x v="2"/>
    <x v="56"/>
    <x v="441"/>
    <x v="1"/>
    <x v="1"/>
    <x v="40"/>
    <x v="0"/>
    <x v="2"/>
    <x v="6"/>
    <x v="1"/>
    <x v="2"/>
    <x v="57"/>
    <x v="44"/>
    <x v="2"/>
    <x v="0"/>
    <x v="0"/>
  </r>
  <r>
    <x v="473"/>
    <x v="1"/>
    <x v="2"/>
    <x v="391"/>
    <x v="442"/>
    <x v="1"/>
    <x v="1"/>
    <x v="41"/>
    <x v="1"/>
    <x v="0"/>
    <x v="1"/>
    <x v="1"/>
    <x v="1"/>
    <x v="400"/>
    <x v="183"/>
    <x v="2"/>
    <x v="53"/>
    <x v="1"/>
  </r>
  <r>
    <x v="474"/>
    <x v="0"/>
    <x v="0"/>
    <x v="392"/>
    <x v="443"/>
    <x v="2"/>
    <x v="1"/>
    <x v="0"/>
    <x v="1"/>
    <x v="0"/>
    <x v="1"/>
    <x v="0"/>
    <x v="1"/>
    <x v="401"/>
    <x v="184"/>
    <x v="0"/>
    <x v="0"/>
    <x v="0"/>
  </r>
  <r>
    <x v="475"/>
    <x v="0"/>
    <x v="1"/>
    <x v="393"/>
    <x v="444"/>
    <x v="0"/>
    <x v="0"/>
    <x v="4"/>
    <x v="1"/>
    <x v="0"/>
    <x v="1"/>
    <x v="0"/>
    <x v="1"/>
    <x v="107"/>
    <x v="31"/>
    <x v="1"/>
    <x v="84"/>
    <x v="0"/>
  </r>
  <r>
    <x v="476"/>
    <x v="0"/>
    <x v="2"/>
    <x v="394"/>
    <x v="445"/>
    <x v="0"/>
    <x v="0"/>
    <x v="15"/>
    <x v="0"/>
    <x v="0"/>
    <x v="0"/>
    <x v="0"/>
    <x v="0"/>
    <x v="402"/>
    <x v="35"/>
    <x v="2"/>
    <x v="0"/>
    <x v="0"/>
  </r>
  <r>
    <x v="477"/>
    <x v="0"/>
    <x v="0"/>
    <x v="0"/>
    <x v="446"/>
    <x v="0"/>
    <x v="0"/>
    <x v="28"/>
    <x v="0"/>
    <x v="0"/>
    <x v="0"/>
    <x v="0"/>
    <x v="0"/>
    <x v="403"/>
    <x v="185"/>
    <x v="0"/>
    <x v="0"/>
    <x v="0"/>
  </r>
  <r>
    <x v="478"/>
    <x v="0"/>
    <x v="0"/>
    <x v="395"/>
    <x v="447"/>
    <x v="0"/>
    <x v="0"/>
    <x v="0"/>
    <x v="1"/>
    <x v="0"/>
    <x v="1"/>
    <x v="0"/>
    <x v="1"/>
    <x v="404"/>
    <x v="186"/>
    <x v="0"/>
    <x v="0"/>
    <x v="0"/>
  </r>
  <r>
    <x v="479"/>
    <x v="1"/>
    <x v="0"/>
    <x v="396"/>
    <x v="448"/>
    <x v="2"/>
    <x v="1"/>
    <x v="6"/>
    <x v="1"/>
    <x v="1"/>
    <x v="0"/>
    <x v="1"/>
    <x v="0"/>
    <x v="405"/>
    <x v="187"/>
    <x v="2"/>
    <x v="0"/>
    <x v="0"/>
  </r>
  <r>
    <x v="480"/>
    <x v="0"/>
    <x v="0"/>
    <x v="57"/>
    <x v="449"/>
    <x v="3"/>
    <x v="0"/>
    <x v="52"/>
    <x v="5"/>
    <x v="2"/>
    <x v="7"/>
    <x v="0"/>
    <x v="2"/>
    <x v="58"/>
    <x v="45"/>
    <x v="2"/>
    <x v="0"/>
    <x v="0"/>
  </r>
  <r>
    <x v="481"/>
    <x v="0"/>
    <x v="2"/>
    <x v="397"/>
    <x v="450"/>
    <x v="0"/>
    <x v="0"/>
    <x v="4"/>
    <x v="1"/>
    <x v="0"/>
    <x v="1"/>
    <x v="0"/>
    <x v="1"/>
    <x v="406"/>
    <x v="104"/>
    <x v="0"/>
    <x v="0"/>
    <x v="0"/>
  </r>
  <r>
    <x v="482"/>
    <x v="0"/>
    <x v="0"/>
    <x v="398"/>
    <x v="451"/>
    <x v="0"/>
    <x v="0"/>
    <x v="61"/>
    <x v="1"/>
    <x v="0"/>
    <x v="1"/>
    <x v="0"/>
    <x v="1"/>
    <x v="407"/>
    <x v="4"/>
    <x v="0"/>
    <x v="0"/>
    <x v="0"/>
  </r>
  <r>
    <x v="483"/>
    <x v="1"/>
    <x v="0"/>
    <x v="399"/>
    <x v="452"/>
    <x v="1"/>
    <x v="1"/>
    <x v="68"/>
    <x v="1"/>
    <x v="0"/>
    <x v="1"/>
    <x v="1"/>
    <x v="1"/>
    <x v="408"/>
    <x v="188"/>
    <x v="0"/>
    <x v="0"/>
    <x v="0"/>
  </r>
  <r>
    <x v="484"/>
    <x v="1"/>
    <x v="1"/>
    <x v="254"/>
    <x v="453"/>
    <x v="0"/>
    <x v="0"/>
    <x v="37"/>
    <x v="0"/>
    <x v="0"/>
    <x v="0"/>
    <x v="1"/>
    <x v="0"/>
    <x v="260"/>
    <x v="136"/>
    <x v="1"/>
    <x v="52"/>
    <x v="1"/>
  </r>
  <r>
    <x v="485"/>
    <x v="0"/>
    <x v="0"/>
    <x v="157"/>
    <x v="454"/>
    <x v="2"/>
    <x v="1"/>
    <x v="4"/>
    <x v="2"/>
    <x v="1"/>
    <x v="2"/>
    <x v="0"/>
    <x v="2"/>
    <x v="160"/>
    <x v="102"/>
    <x v="2"/>
    <x v="0"/>
    <x v="0"/>
  </r>
  <r>
    <x v="486"/>
    <x v="1"/>
    <x v="1"/>
    <x v="198"/>
    <x v="455"/>
    <x v="1"/>
    <x v="1"/>
    <x v="3"/>
    <x v="0"/>
    <x v="0"/>
    <x v="0"/>
    <x v="1"/>
    <x v="0"/>
    <x v="202"/>
    <x v="117"/>
    <x v="1"/>
    <x v="40"/>
    <x v="0"/>
  </r>
  <r>
    <x v="487"/>
    <x v="0"/>
    <x v="1"/>
    <x v="400"/>
    <x v="456"/>
    <x v="0"/>
    <x v="0"/>
    <x v="10"/>
    <x v="1"/>
    <x v="0"/>
    <x v="1"/>
    <x v="0"/>
    <x v="1"/>
    <x v="409"/>
    <x v="132"/>
    <x v="2"/>
    <x v="85"/>
    <x v="1"/>
  </r>
  <r>
    <x v="488"/>
    <x v="0"/>
    <x v="0"/>
    <x v="401"/>
    <x v="457"/>
    <x v="0"/>
    <x v="0"/>
    <x v="39"/>
    <x v="1"/>
    <x v="0"/>
    <x v="1"/>
    <x v="0"/>
    <x v="1"/>
    <x v="410"/>
    <x v="4"/>
    <x v="0"/>
    <x v="0"/>
    <x v="0"/>
  </r>
  <r>
    <x v="489"/>
    <x v="1"/>
    <x v="0"/>
    <x v="295"/>
    <x v="458"/>
    <x v="3"/>
    <x v="0"/>
    <x v="52"/>
    <x v="0"/>
    <x v="1"/>
    <x v="3"/>
    <x v="1"/>
    <x v="0"/>
    <x v="302"/>
    <x v="156"/>
    <x v="2"/>
    <x v="0"/>
    <x v="0"/>
  </r>
  <r>
    <x v="490"/>
    <x v="0"/>
    <x v="0"/>
    <x v="371"/>
    <x v="459"/>
    <x v="0"/>
    <x v="0"/>
    <x v="4"/>
    <x v="0"/>
    <x v="0"/>
    <x v="0"/>
    <x v="0"/>
    <x v="0"/>
    <x v="411"/>
    <x v="179"/>
    <x v="2"/>
    <x v="0"/>
    <x v="0"/>
  </r>
  <r>
    <x v="491"/>
    <x v="0"/>
    <x v="0"/>
    <x v="402"/>
    <x v="460"/>
    <x v="0"/>
    <x v="0"/>
    <x v="23"/>
    <x v="1"/>
    <x v="0"/>
    <x v="1"/>
    <x v="0"/>
    <x v="1"/>
    <x v="412"/>
    <x v="0"/>
    <x v="0"/>
    <x v="0"/>
    <x v="0"/>
  </r>
  <r>
    <x v="492"/>
    <x v="0"/>
    <x v="1"/>
    <x v="403"/>
    <x v="461"/>
    <x v="0"/>
    <x v="0"/>
    <x v="13"/>
    <x v="1"/>
    <x v="0"/>
    <x v="1"/>
    <x v="0"/>
    <x v="1"/>
    <x v="413"/>
    <x v="140"/>
    <x v="2"/>
    <x v="86"/>
    <x v="0"/>
  </r>
  <r>
    <x v="493"/>
    <x v="0"/>
    <x v="1"/>
    <x v="404"/>
    <x v="462"/>
    <x v="0"/>
    <x v="0"/>
    <x v="45"/>
    <x v="1"/>
    <x v="0"/>
    <x v="1"/>
    <x v="0"/>
    <x v="1"/>
    <x v="414"/>
    <x v="189"/>
    <x v="2"/>
    <x v="0"/>
    <x v="1"/>
  </r>
  <r>
    <x v="494"/>
    <x v="0"/>
    <x v="0"/>
    <x v="405"/>
    <x v="463"/>
    <x v="0"/>
    <x v="0"/>
    <x v="23"/>
    <x v="1"/>
    <x v="0"/>
    <x v="1"/>
    <x v="0"/>
    <x v="1"/>
    <x v="415"/>
    <x v="4"/>
    <x v="0"/>
    <x v="0"/>
    <x v="0"/>
  </r>
  <r>
    <x v="495"/>
    <x v="0"/>
    <x v="0"/>
    <x v="406"/>
    <x v="199"/>
    <x v="0"/>
    <x v="0"/>
    <x v="4"/>
    <x v="1"/>
    <x v="0"/>
    <x v="1"/>
    <x v="0"/>
    <x v="1"/>
    <x v="111"/>
    <x v="74"/>
    <x v="2"/>
    <x v="0"/>
    <x v="1"/>
  </r>
  <r>
    <x v="496"/>
    <x v="1"/>
    <x v="1"/>
    <x v="407"/>
    <x v="464"/>
    <x v="2"/>
    <x v="1"/>
    <x v="5"/>
    <x v="0"/>
    <x v="0"/>
    <x v="0"/>
    <x v="1"/>
    <x v="0"/>
    <x v="416"/>
    <x v="190"/>
    <x v="1"/>
    <x v="87"/>
    <x v="1"/>
  </r>
  <r>
    <x v="497"/>
    <x v="0"/>
    <x v="0"/>
    <x v="408"/>
    <x v="233"/>
    <x v="0"/>
    <x v="0"/>
    <x v="4"/>
    <x v="1"/>
    <x v="0"/>
    <x v="1"/>
    <x v="0"/>
    <x v="1"/>
    <x v="417"/>
    <x v="191"/>
    <x v="2"/>
    <x v="0"/>
    <x v="0"/>
  </r>
  <r>
    <x v="498"/>
    <x v="0"/>
    <x v="1"/>
    <x v="260"/>
    <x v="465"/>
    <x v="1"/>
    <x v="1"/>
    <x v="37"/>
    <x v="0"/>
    <x v="2"/>
    <x v="6"/>
    <x v="0"/>
    <x v="2"/>
    <x v="266"/>
    <x v="139"/>
    <x v="1"/>
    <x v="54"/>
    <x v="0"/>
  </r>
  <r>
    <x v="499"/>
    <x v="0"/>
    <x v="0"/>
    <x v="409"/>
    <x v="466"/>
    <x v="0"/>
    <x v="0"/>
    <x v="42"/>
    <x v="1"/>
    <x v="0"/>
    <x v="1"/>
    <x v="0"/>
    <x v="1"/>
    <x v="418"/>
    <x v="88"/>
    <x v="0"/>
    <x v="0"/>
    <x v="0"/>
  </r>
  <r>
    <x v="500"/>
    <x v="0"/>
    <x v="0"/>
    <x v="148"/>
    <x v="467"/>
    <x v="0"/>
    <x v="0"/>
    <x v="34"/>
    <x v="1"/>
    <x v="0"/>
    <x v="1"/>
    <x v="0"/>
    <x v="1"/>
    <x v="419"/>
    <x v="51"/>
    <x v="0"/>
    <x v="0"/>
    <x v="0"/>
  </r>
  <r>
    <x v="501"/>
    <x v="0"/>
    <x v="0"/>
    <x v="410"/>
    <x v="344"/>
    <x v="2"/>
    <x v="1"/>
    <x v="23"/>
    <x v="1"/>
    <x v="0"/>
    <x v="1"/>
    <x v="0"/>
    <x v="1"/>
    <x v="420"/>
    <x v="28"/>
    <x v="0"/>
    <x v="0"/>
    <x v="2"/>
  </r>
  <r>
    <x v="502"/>
    <x v="0"/>
    <x v="0"/>
    <x v="411"/>
    <x v="468"/>
    <x v="2"/>
    <x v="1"/>
    <x v="4"/>
    <x v="1"/>
    <x v="0"/>
    <x v="1"/>
    <x v="0"/>
    <x v="1"/>
    <x v="421"/>
    <x v="192"/>
    <x v="0"/>
    <x v="0"/>
    <x v="2"/>
  </r>
  <r>
    <x v="503"/>
    <x v="0"/>
    <x v="0"/>
    <x v="412"/>
    <x v="469"/>
    <x v="2"/>
    <x v="1"/>
    <x v="46"/>
    <x v="1"/>
    <x v="0"/>
    <x v="1"/>
    <x v="0"/>
    <x v="1"/>
    <x v="422"/>
    <x v="188"/>
    <x v="0"/>
    <x v="0"/>
    <x v="0"/>
  </r>
  <r>
    <x v="504"/>
    <x v="1"/>
    <x v="1"/>
    <x v="413"/>
    <x v="470"/>
    <x v="2"/>
    <x v="1"/>
    <x v="36"/>
    <x v="1"/>
    <x v="0"/>
    <x v="1"/>
    <x v="1"/>
    <x v="1"/>
    <x v="230"/>
    <x v="126"/>
    <x v="1"/>
    <x v="88"/>
    <x v="0"/>
  </r>
  <r>
    <x v="505"/>
    <x v="0"/>
    <x v="1"/>
    <x v="266"/>
    <x v="471"/>
    <x v="0"/>
    <x v="0"/>
    <x v="24"/>
    <x v="0"/>
    <x v="0"/>
    <x v="0"/>
    <x v="0"/>
    <x v="0"/>
    <x v="273"/>
    <x v="144"/>
    <x v="1"/>
    <x v="56"/>
    <x v="1"/>
  </r>
  <r>
    <x v="506"/>
    <x v="1"/>
    <x v="2"/>
    <x v="414"/>
    <x v="472"/>
    <x v="1"/>
    <x v="1"/>
    <x v="40"/>
    <x v="1"/>
    <x v="2"/>
    <x v="3"/>
    <x v="1"/>
    <x v="0"/>
    <x v="423"/>
    <x v="19"/>
    <x v="2"/>
    <x v="0"/>
    <x v="0"/>
  </r>
  <r>
    <x v="507"/>
    <x v="1"/>
    <x v="1"/>
    <x v="415"/>
    <x v="473"/>
    <x v="0"/>
    <x v="0"/>
    <x v="4"/>
    <x v="1"/>
    <x v="0"/>
    <x v="1"/>
    <x v="1"/>
    <x v="1"/>
    <x v="424"/>
    <x v="11"/>
    <x v="2"/>
    <x v="0"/>
    <x v="0"/>
  </r>
  <r>
    <x v="508"/>
    <x v="0"/>
    <x v="0"/>
    <x v="140"/>
    <x v="474"/>
    <x v="0"/>
    <x v="0"/>
    <x v="17"/>
    <x v="1"/>
    <x v="0"/>
    <x v="1"/>
    <x v="0"/>
    <x v="1"/>
    <x v="425"/>
    <x v="193"/>
    <x v="2"/>
    <x v="0"/>
    <x v="0"/>
  </r>
  <r>
    <x v="509"/>
    <x v="1"/>
    <x v="0"/>
    <x v="416"/>
    <x v="475"/>
    <x v="0"/>
    <x v="0"/>
    <x v="2"/>
    <x v="1"/>
    <x v="0"/>
    <x v="1"/>
    <x v="1"/>
    <x v="1"/>
    <x v="72"/>
    <x v="54"/>
    <x v="1"/>
    <x v="0"/>
    <x v="0"/>
  </r>
  <r>
    <x v="510"/>
    <x v="1"/>
    <x v="0"/>
    <x v="417"/>
    <x v="476"/>
    <x v="0"/>
    <x v="0"/>
    <x v="28"/>
    <x v="1"/>
    <x v="0"/>
    <x v="1"/>
    <x v="1"/>
    <x v="1"/>
    <x v="426"/>
    <x v="28"/>
    <x v="0"/>
    <x v="0"/>
    <x v="2"/>
  </r>
  <r>
    <x v="511"/>
    <x v="0"/>
    <x v="0"/>
    <x v="114"/>
    <x v="5"/>
    <x v="0"/>
    <x v="0"/>
    <x v="4"/>
    <x v="1"/>
    <x v="0"/>
    <x v="1"/>
    <x v="0"/>
    <x v="1"/>
    <x v="427"/>
    <x v="4"/>
    <x v="0"/>
    <x v="0"/>
    <x v="0"/>
  </r>
  <r>
    <x v="512"/>
    <x v="1"/>
    <x v="1"/>
    <x v="418"/>
    <x v="477"/>
    <x v="0"/>
    <x v="0"/>
    <x v="62"/>
    <x v="1"/>
    <x v="0"/>
    <x v="1"/>
    <x v="1"/>
    <x v="1"/>
    <x v="428"/>
    <x v="194"/>
    <x v="2"/>
    <x v="89"/>
    <x v="0"/>
  </r>
  <r>
    <x v="513"/>
    <x v="1"/>
    <x v="1"/>
    <x v="419"/>
    <x v="478"/>
    <x v="1"/>
    <x v="1"/>
    <x v="5"/>
    <x v="0"/>
    <x v="0"/>
    <x v="0"/>
    <x v="1"/>
    <x v="0"/>
    <x v="429"/>
    <x v="195"/>
    <x v="1"/>
    <x v="0"/>
    <x v="1"/>
  </r>
  <r>
    <x v="514"/>
    <x v="0"/>
    <x v="0"/>
    <x v="420"/>
    <x v="479"/>
    <x v="0"/>
    <x v="0"/>
    <x v="42"/>
    <x v="1"/>
    <x v="0"/>
    <x v="1"/>
    <x v="0"/>
    <x v="1"/>
    <x v="430"/>
    <x v="196"/>
    <x v="0"/>
    <x v="0"/>
    <x v="0"/>
  </r>
  <r>
    <x v="515"/>
    <x v="0"/>
    <x v="1"/>
    <x v="421"/>
    <x v="480"/>
    <x v="0"/>
    <x v="0"/>
    <x v="47"/>
    <x v="1"/>
    <x v="0"/>
    <x v="1"/>
    <x v="0"/>
    <x v="1"/>
    <x v="431"/>
    <x v="197"/>
    <x v="2"/>
    <x v="90"/>
    <x v="0"/>
  </r>
  <r>
    <x v="516"/>
    <x v="1"/>
    <x v="2"/>
    <x v="422"/>
    <x v="481"/>
    <x v="1"/>
    <x v="1"/>
    <x v="15"/>
    <x v="1"/>
    <x v="0"/>
    <x v="1"/>
    <x v="1"/>
    <x v="1"/>
    <x v="432"/>
    <x v="29"/>
    <x v="2"/>
    <x v="15"/>
    <x v="0"/>
  </r>
  <r>
    <x v="517"/>
    <x v="0"/>
    <x v="0"/>
    <x v="423"/>
    <x v="113"/>
    <x v="0"/>
    <x v="0"/>
    <x v="4"/>
    <x v="1"/>
    <x v="0"/>
    <x v="1"/>
    <x v="0"/>
    <x v="1"/>
    <x v="106"/>
    <x v="72"/>
    <x v="2"/>
    <x v="0"/>
    <x v="2"/>
  </r>
  <r>
    <x v="518"/>
    <x v="1"/>
    <x v="2"/>
    <x v="424"/>
    <x v="482"/>
    <x v="1"/>
    <x v="1"/>
    <x v="62"/>
    <x v="0"/>
    <x v="0"/>
    <x v="0"/>
    <x v="1"/>
    <x v="0"/>
    <x v="433"/>
    <x v="19"/>
    <x v="2"/>
    <x v="0"/>
    <x v="0"/>
  </r>
  <r>
    <x v="519"/>
    <x v="0"/>
    <x v="0"/>
    <x v="425"/>
    <x v="483"/>
    <x v="0"/>
    <x v="0"/>
    <x v="35"/>
    <x v="1"/>
    <x v="0"/>
    <x v="1"/>
    <x v="0"/>
    <x v="1"/>
    <x v="434"/>
    <x v="25"/>
    <x v="0"/>
    <x v="0"/>
    <x v="0"/>
  </r>
  <r>
    <x v="520"/>
    <x v="1"/>
    <x v="1"/>
    <x v="426"/>
    <x v="484"/>
    <x v="2"/>
    <x v="1"/>
    <x v="39"/>
    <x v="1"/>
    <x v="0"/>
    <x v="1"/>
    <x v="1"/>
    <x v="1"/>
    <x v="435"/>
    <x v="198"/>
    <x v="1"/>
    <x v="91"/>
    <x v="0"/>
  </r>
  <r>
    <x v="521"/>
    <x v="0"/>
    <x v="0"/>
    <x v="427"/>
    <x v="485"/>
    <x v="0"/>
    <x v="0"/>
    <x v="0"/>
    <x v="1"/>
    <x v="0"/>
    <x v="1"/>
    <x v="0"/>
    <x v="1"/>
    <x v="436"/>
    <x v="25"/>
    <x v="0"/>
    <x v="0"/>
    <x v="0"/>
  </r>
  <r>
    <x v="522"/>
    <x v="0"/>
    <x v="0"/>
    <x v="428"/>
    <x v="486"/>
    <x v="0"/>
    <x v="0"/>
    <x v="4"/>
    <x v="1"/>
    <x v="0"/>
    <x v="1"/>
    <x v="0"/>
    <x v="1"/>
    <x v="437"/>
    <x v="18"/>
    <x v="0"/>
    <x v="0"/>
    <x v="1"/>
  </r>
  <r>
    <x v="523"/>
    <x v="1"/>
    <x v="1"/>
    <x v="284"/>
    <x v="487"/>
    <x v="1"/>
    <x v="1"/>
    <x v="57"/>
    <x v="1"/>
    <x v="1"/>
    <x v="0"/>
    <x v="1"/>
    <x v="0"/>
    <x v="290"/>
    <x v="153"/>
    <x v="1"/>
    <x v="63"/>
    <x v="1"/>
  </r>
  <r>
    <x v="524"/>
    <x v="0"/>
    <x v="0"/>
    <x v="429"/>
    <x v="488"/>
    <x v="0"/>
    <x v="0"/>
    <x v="4"/>
    <x v="1"/>
    <x v="0"/>
    <x v="1"/>
    <x v="0"/>
    <x v="1"/>
    <x v="438"/>
    <x v="32"/>
    <x v="0"/>
    <x v="0"/>
    <x v="1"/>
  </r>
  <r>
    <x v="525"/>
    <x v="0"/>
    <x v="0"/>
    <x v="430"/>
    <x v="5"/>
    <x v="0"/>
    <x v="0"/>
    <x v="56"/>
    <x v="1"/>
    <x v="0"/>
    <x v="1"/>
    <x v="0"/>
    <x v="1"/>
    <x v="439"/>
    <x v="28"/>
    <x v="0"/>
    <x v="0"/>
    <x v="2"/>
  </r>
  <r>
    <x v="526"/>
    <x v="1"/>
    <x v="2"/>
    <x v="431"/>
    <x v="489"/>
    <x v="2"/>
    <x v="1"/>
    <x v="61"/>
    <x v="1"/>
    <x v="0"/>
    <x v="1"/>
    <x v="1"/>
    <x v="1"/>
    <x v="440"/>
    <x v="29"/>
    <x v="2"/>
    <x v="0"/>
    <x v="0"/>
  </r>
  <r>
    <x v="527"/>
    <x v="0"/>
    <x v="1"/>
    <x v="432"/>
    <x v="184"/>
    <x v="0"/>
    <x v="0"/>
    <x v="4"/>
    <x v="1"/>
    <x v="0"/>
    <x v="1"/>
    <x v="0"/>
    <x v="1"/>
    <x v="441"/>
    <x v="199"/>
    <x v="1"/>
    <x v="92"/>
    <x v="0"/>
  </r>
  <r>
    <x v="528"/>
    <x v="0"/>
    <x v="0"/>
    <x v="433"/>
    <x v="490"/>
    <x v="0"/>
    <x v="0"/>
    <x v="12"/>
    <x v="1"/>
    <x v="0"/>
    <x v="1"/>
    <x v="0"/>
    <x v="1"/>
    <x v="442"/>
    <x v="2"/>
    <x v="0"/>
    <x v="0"/>
    <x v="0"/>
  </r>
  <r>
    <x v="529"/>
    <x v="0"/>
    <x v="2"/>
    <x v="434"/>
    <x v="491"/>
    <x v="0"/>
    <x v="0"/>
    <x v="41"/>
    <x v="4"/>
    <x v="1"/>
    <x v="6"/>
    <x v="0"/>
    <x v="2"/>
    <x v="443"/>
    <x v="86"/>
    <x v="2"/>
    <x v="0"/>
    <x v="0"/>
  </r>
  <r>
    <x v="530"/>
    <x v="1"/>
    <x v="2"/>
    <x v="414"/>
    <x v="492"/>
    <x v="2"/>
    <x v="1"/>
    <x v="6"/>
    <x v="0"/>
    <x v="1"/>
    <x v="3"/>
    <x v="1"/>
    <x v="0"/>
    <x v="423"/>
    <x v="19"/>
    <x v="2"/>
    <x v="0"/>
    <x v="0"/>
  </r>
  <r>
    <x v="531"/>
    <x v="0"/>
    <x v="0"/>
    <x v="435"/>
    <x v="493"/>
    <x v="0"/>
    <x v="0"/>
    <x v="4"/>
    <x v="1"/>
    <x v="0"/>
    <x v="1"/>
    <x v="0"/>
    <x v="1"/>
    <x v="444"/>
    <x v="32"/>
    <x v="0"/>
    <x v="0"/>
    <x v="1"/>
  </r>
  <r>
    <x v="532"/>
    <x v="0"/>
    <x v="0"/>
    <x v="299"/>
    <x v="494"/>
    <x v="0"/>
    <x v="0"/>
    <x v="34"/>
    <x v="0"/>
    <x v="1"/>
    <x v="3"/>
    <x v="0"/>
    <x v="0"/>
    <x v="445"/>
    <x v="32"/>
    <x v="0"/>
    <x v="0"/>
    <x v="1"/>
  </r>
  <r>
    <x v="533"/>
    <x v="1"/>
    <x v="0"/>
    <x v="117"/>
    <x v="495"/>
    <x v="1"/>
    <x v="1"/>
    <x v="4"/>
    <x v="1"/>
    <x v="2"/>
    <x v="3"/>
    <x v="1"/>
    <x v="0"/>
    <x v="119"/>
    <x v="77"/>
    <x v="2"/>
    <x v="0"/>
    <x v="1"/>
  </r>
  <r>
    <x v="534"/>
    <x v="0"/>
    <x v="0"/>
    <x v="390"/>
    <x v="383"/>
    <x v="2"/>
    <x v="1"/>
    <x v="39"/>
    <x v="1"/>
    <x v="0"/>
    <x v="1"/>
    <x v="0"/>
    <x v="1"/>
    <x v="446"/>
    <x v="51"/>
    <x v="0"/>
    <x v="0"/>
    <x v="0"/>
  </r>
  <r>
    <x v="535"/>
    <x v="1"/>
    <x v="2"/>
    <x v="273"/>
    <x v="496"/>
    <x v="2"/>
    <x v="1"/>
    <x v="26"/>
    <x v="1"/>
    <x v="2"/>
    <x v="3"/>
    <x v="1"/>
    <x v="0"/>
    <x v="280"/>
    <x v="121"/>
    <x v="2"/>
    <x v="0"/>
    <x v="0"/>
  </r>
  <r>
    <x v="536"/>
    <x v="0"/>
    <x v="1"/>
    <x v="436"/>
    <x v="497"/>
    <x v="9"/>
    <x v="2"/>
    <x v="33"/>
    <x v="1"/>
    <x v="0"/>
    <x v="1"/>
    <x v="0"/>
    <x v="1"/>
    <x v="447"/>
    <x v="11"/>
    <x v="2"/>
    <x v="93"/>
    <x v="0"/>
  </r>
  <r>
    <x v="537"/>
    <x v="1"/>
    <x v="1"/>
    <x v="437"/>
    <x v="82"/>
    <x v="2"/>
    <x v="1"/>
    <x v="39"/>
    <x v="1"/>
    <x v="0"/>
    <x v="1"/>
    <x v="1"/>
    <x v="1"/>
    <x v="448"/>
    <x v="200"/>
    <x v="1"/>
    <x v="0"/>
    <x v="1"/>
  </r>
  <r>
    <x v="538"/>
    <x v="0"/>
    <x v="0"/>
    <x v="438"/>
    <x v="498"/>
    <x v="0"/>
    <x v="0"/>
    <x v="4"/>
    <x v="1"/>
    <x v="0"/>
    <x v="1"/>
    <x v="0"/>
    <x v="1"/>
    <x v="449"/>
    <x v="80"/>
    <x v="2"/>
    <x v="0"/>
    <x v="0"/>
  </r>
  <r>
    <x v="539"/>
    <x v="1"/>
    <x v="1"/>
    <x v="439"/>
    <x v="499"/>
    <x v="2"/>
    <x v="1"/>
    <x v="0"/>
    <x v="1"/>
    <x v="2"/>
    <x v="3"/>
    <x v="1"/>
    <x v="0"/>
    <x v="450"/>
    <x v="201"/>
    <x v="2"/>
    <x v="94"/>
    <x v="1"/>
  </r>
  <r>
    <x v="540"/>
    <x v="1"/>
    <x v="1"/>
    <x v="440"/>
    <x v="500"/>
    <x v="2"/>
    <x v="1"/>
    <x v="62"/>
    <x v="1"/>
    <x v="2"/>
    <x v="3"/>
    <x v="1"/>
    <x v="0"/>
    <x v="451"/>
    <x v="202"/>
    <x v="1"/>
    <x v="95"/>
    <x v="0"/>
  </r>
  <r>
    <x v="541"/>
    <x v="0"/>
    <x v="0"/>
    <x v="13"/>
    <x v="501"/>
    <x v="2"/>
    <x v="1"/>
    <x v="52"/>
    <x v="3"/>
    <x v="2"/>
    <x v="4"/>
    <x v="0"/>
    <x v="2"/>
    <x v="13"/>
    <x v="12"/>
    <x v="2"/>
    <x v="0"/>
    <x v="0"/>
  </r>
  <r>
    <x v="542"/>
    <x v="0"/>
    <x v="0"/>
    <x v="13"/>
    <x v="502"/>
    <x v="2"/>
    <x v="1"/>
    <x v="32"/>
    <x v="3"/>
    <x v="2"/>
    <x v="4"/>
    <x v="0"/>
    <x v="2"/>
    <x v="13"/>
    <x v="12"/>
    <x v="2"/>
    <x v="0"/>
    <x v="0"/>
  </r>
  <r>
    <x v="543"/>
    <x v="1"/>
    <x v="2"/>
    <x v="441"/>
    <x v="503"/>
    <x v="0"/>
    <x v="0"/>
    <x v="35"/>
    <x v="0"/>
    <x v="0"/>
    <x v="0"/>
    <x v="1"/>
    <x v="0"/>
    <x v="452"/>
    <x v="19"/>
    <x v="2"/>
    <x v="0"/>
    <x v="0"/>
  </r>
  <r>
    <x v="544"/>
    <x v="0"/>
    <x v="1"/>
    <x v="442"/>
    <x v="504"/>
    <x v="0"/>
    <x v="0"/>
    <x v="61"/>
    <x v="0"/>
    <x v="0"/>
    <x v="0"/>
    <x v="0"/>
    <x v="0"/>
    <x v="448"/>
    <x v="200"/>
    <x v="1"/>
    <x v="96"/>
    <x v="1"/>
  </r>
  <r>
    <x v="545"/>
    <x v="0"/>
    <x v="1"/>
    <x v="443"/>
    <x v="505"/>
    <x v="0"/>
    <x v="0"/>
    <x v="74"/>
    <x v="1"/>
    <x v="0"/>
    <x v="1"/>
    <x v="0"/>
    <x v="1"/>
    <x v="453"/>
    <x v="19"/>
    <x v="2"/>
    <x v="0"/>
    <x v="0"/>
  </r>
  <r>
    <x v="546"/>
    <x v="1"/>
    <x v="2"/>
    <x v="441"/>
    <x v="506"/>
    <x v="1"/>
    <x v="1"/>
    <x v="19"/>
    <x v="0"/>
    <x v="0"/>
    <x v="0"/>
    <x v="1"/>
    <x v="0"/>
    <x v="452"/>
    <x v="19"/>
    <x v="2"/>
    <x v="0"/>
    <x v="0"/>
  </r>
  <r>
    <x v="547"/>
    <x v="1"/>
    <x v="2"/>
    <x v="444"/>
    <x v="507"/>
    <x v="0"/>
    <x v="0"/>
    <x v="4"/>
    <x v="1"/>
    <x v="0"/>
    <x v="1"/>
    <x v="1"/>
    <x v="1"/>
    <x v="454"/>
    <x v="203"/>
    <x v="2"/>
    <x v="0"/>
    <x v="1"/>
  </r>
  <r>
    <x v="548"/>
    <x v="0"/>
    <x v="0"/>
    <x v="149"/>
    <x v="508"/>
    <x v="0"/>
    <x v="0"/>
    <x v="40"/>
    <x v="0"/>
    <x v="1"/>
    <x v="3"/>
    <x v="0"/>
    <x v="0"/>
    <x v="153"/>
    <x v="97"/>
    <x v="2"/>
    <x v="0"/>
    <x v="0"/>
  </r>
  <r>
    <x v="549"/>
    <x v="1"/>
    <x v="2"/>
    <x v="325"/>
    <x v="509"/>
    <x v="3"/>
    <x v="0"/>
    <x v="18"/>
    <x v="0"/>
    <x v="1"/>
    <x v="3"/>
    <x v="1"/>
    <x v="0"/>
    <x v="135"/>
    <x v="87"/>
    <x v="2"/>
    <x v="0"/>
    <x v="0"/>
  </r>
  <r>
    <x v="550"/>
    <x v="1"/>
    <x v="1"/>
    <x v="445"/>
    <x v="510"/>
    <x v="0"/>
    <x v="0"/>
    <x v="34"/>
    <x v="1"/>
    <x v="2"/>
    <x v="3"/>
    <x v="1"/>
    <x v="0"/>
    <x v="272"/>
    <x v="143"/>
    <x v="1"/>
    <x v="97"/>
    <x v="1"/>
  </r>
  <r>
    <x v="551"/>
    <x v="0"/>
    <x v="2"/>
    <x v="446"/>
    <x v="511"/>
    <x v="0"/>
    <x v="0"/>
    <x v="7"/>
    <x v="1"/>
    <x v="0"/>
    <x v="1"/>
    <x v="0"/>
    <x v="1"/>
    <x v="455"/>
    <x v="19"/>
    <x v="2"/>
    <x v="0"/>
    <x v="0"/>
  </r>
  <r>
    <x v="552"/>
    <x v="0"/>
    <x v="0"/>
    <x v="165"/>
    <x v="512"/>
    <x v="0"/>
    <x v="0"/>
    <x v="4"/>
    <x v="1"/>
    <x v="0"/>
    <x v="1"/>
    <x v="0"/>
    <x v="1"/>
    <x v="456"/>
    <x v="204"/>
    <x v="0"/>
    <x v="0"/>
    <x v="2"/>
  </r>
  <r>
    <x v="553"/>
    <x v="1"/>
    <x v="0"/>
    <x v="447"/>
    <x v="513"/>
    <x v="0"/>
    <x v="0"/>
    <x v="0"/>
    <x v="1"/>
    <x v="0"/>
    <x v="1"/>
    <x v="1"/>
    <x v="1"/>
    <x v="457"/>
    <x v="18"/>
    <x v="0"/>
    <x v="0"/>
    <x v="1"/>
  </r>
  <r>
    <x v="554"/>
    <x v="1"/>
    <x v="0"/>
    <x v="448"/>
    <x v="514"/>
    <x v="2"/>
    <x v="1"/>
    <x v="0"/>
    <x v="1"/>
    <x v="0"/>
    <x v="1"/>
    <x v="1"/>
    <x v="1"/>
    <x v="458"/>
    <x v="71"/>
    <x v="0"/>
    <x v="0"/>
    <x v="0"/>
  </r>
  <r>
    <x v="555"/>
    <x v="0"/>
    <x v="1"/>
    <x v="449"/>
    <x v="515"/>
    <x v="0"/>
    <x v="0"/>
    <x v="65"/>
    <x v="1"/>
    <x v="0"/>
    <x v="1"/>
    <x v="0"/>
    <x v="1"/>
    <x v="459"/>
    <x v="11"/>
    <x v="2"/>
    <x v="0"/>
    <x v="0"/>
  </r>
  <r>
    <x v="556"/>
    <x v="1"/>
    <x v="1"/>
    <x v="450"/>
    <x v="516"/>
    <x v="10"/>
    <x v="2"/>
    <x v="76"/>
    <x v="0"/>
    <x v="0"/>
    <x v="0"/>
    <x v="1"/>
    <x v="0"/>
    <x v="460"/>
    <x v="205"/>
    <x v="2"/>
    <x v="98"/>
    <x v="1"/>
  </r>
  <r>
    <x v="557"/>
    <x v="0"/>
    <x v="1"/>
    <x v="451"/>
    <x v="136"/>
    <x v="0"/>
    <x v="0"/>
    <x v="4"/>
    <x v="1"/>
    <x v="0"/>
    <x v="1"/>
    <x v="0"/>
    <x v="1"/>
    <x v="327"/>
    <x v="164"/>
    <x v="1"/>
    <x v="0"/>
    <x v="1"/>
  </r>
  <r>
    <x v="558"/>
    <x v="1"/>
    <x v="1"/>
    <x v="228"/>
    <x v="517"/>
    <x v="1"/>
    <x v="1"/>
    <x v="12"/>
    <x v="0"/>
    <x v="1"/>
    <x v="3"/>
    <x v="1"/>
    <x v="0"/>
    <x v="234"/>
    <x v="128"/>
    <x v="1"/>
    <x v="45"/>
    <x v="0"/>
  </r>
  <r>
    <x v="559"/>
    <x v="1"/>
    <x v="0"/>
    <x v="452"/>
    <x v="518"/>
    <x v="1"/>
    <x v="1"/>
    <x v="62"/>
    <x v="0"/>
    <x v="0"/>
    <x v="0"/>
    <x v="1"/>
    <x v="0"/>
    <x v="461"/>
    <x v="206"/>
    <x v="2"/>
    <x v="0"/>
    <x v="0"/>
  </r>
  <r>
    <x v="560"/>
    <x v="0"/>
    <x v="0"/>
    <x v="453"/>
    <x v="519"/>
    <x v="0"/>
    <x v="0"/>
    <x v="4"/>
    <x v="1"/>
    <x v="0"/>
    <x v="1"/>
    <x v="0"/>
    <x v="1"/>
    <x v="462"/>
    <x v="28"/>
    <x v="0"/>
    <x v="0"/>
    <x v="2"/>
  </r>
  <r>
    <x v="561"/>
    <x v="0"/>
    <x v="0"/>
    <x v="454"/>
    <x v="520"/>
    <x v="0"/>
    <x v="0"/>
    <x v="20"/>
    <x v="1"/>
    <x v="0"/>
    <x v="1"/>
    <x v="0"/>
    <x v="1"/>
    <x v="463"/>
    <x v="25"/>
    <x v="0"/>
    <x v="0"/>
    <x v="0"/>
  </r>
  <r>
    <x v="562"/>
    <x v="0"/>
    <x v="2"/>
    <x v="455"/>
    <x v="521"/>
    <x v="0"/>
    <x v="0"/>
    <x v="17"/>
    <x v="1"/>
    <x v="0"/>
    <x v="1"/>
    <x v="0"/>
    <x v="1"/>
    <x v="464"/>
    <x v="119"/>
    <x v="2"/>
    <x v="0"/>
    <x v="0"/>
  </r>
  <r>
    <x v="563"/>
    <x v="0"/>
    <x v="0"/>
    <x v="456"/>
    <x v="184"/>
    <x v="0"/>
    <x v="0"/>
    <x v="4"/>
    <x v="1"/>
    <x v="0"/>
    <x v="1"/>
    <x v="0"/>
    <x v="1"/>
    <x v="465"/>
    <x v="4"/>
    <x v="0"/>
    <x v="0"/>
    <x v="0"/>
  </r>
  <r>
    <x v="564"/>
    <x v="0"/>
    <x v="0"/>
    <x v="457"/>
    <x v="522"/>
    <x v="2"/>
    <x v="1"/>
    <x v="4"/>
    <x v="1"/>
    <x v="0"/>
    <x v="1"/>
    <x v="0"/>
    <x v="1"/>
    <x v="466"/>
    <x v="4"/>
    <x v="0"/>
    <x v="0"/>
    <x v="0"/>
  </r>
  <r>
    <x v="565"/>
    <x v="0"/>
    <x v="0"/>
    <x v="325"/>
    <x v="523"/>
    <x v="0"/>
    <x v="0"/>
    <x v="42"/>
    <x v="4"/>
    <x v="0"/>
    <x v="3"/>
    <x v="0"/>
    <x v="0"/>
    <x v="467"/>
    <x v="72"/>
    <x v="2"/>
    <x v="0"/>
    <x v="0"/>
  </r>
  <r>
    <x v="566"/>
    <x v="0"/>
    <x v="0"/>
    <x v="458"/>
    <x v="524"/>
    <x v="0"/>
    <x v="0"/>
    <x v="19"/>
    <x v="1"/>
    <x v="0"/>
    <x v="1"/>
    <x v="0"/>
    <x v="1"/>
    <x v="468"/>
    <x v="25"/>
    <x v="0"/>
    <x v="0"/>
    <x v="0"/>
  </r>
  <r>
    <x v="567"/>
    <x v="0"/>
    <x v="0"/>
    <x v="7"/>
    <x v="525"/>
    <x v="1"/>
    <x v="1"/>
    <x v="28"/>
    <x v="1"/>
    <x v="5"/>
    <x v="2"/>
    <x v="0"/>
    <x v="2"/>
    <x v="7"/>
    <x v="7"/>
    <x v="2"/>
    <x v="0"/>
    <x v="0"/>
  </r>
  <r>
    <x v="568"/>
    <x v="0"/>
    <x v="0"/>
    <x v="459"/>
    <x v="338"/>
    <x v="0"/>
    <x v="0"/>
    <x v="4"/>
    <x v="1"/>
    <x v="0"/>
    <x v="1"/>
    <x v="0"/>
    <x v="1"/>
    <x v="469"/>
    <x v="32"/>
    <x v="0"/>
    <x v="0"/>
    <x v="1"/>
  </r>
  <r>
    <x v="569"/>
    <x v="1"/>
    <x v="0"/>
    <x v="460"/>
    <x v="526"/>
    <x v="0"/>
    <x v="0"/>
    <x v="35"/>
    <x v="1"/>
    <x v="0"/>
    <x v="1"/>
    <x v="1"/>
    <x v="1"/>
    <x v="470"/>
    <x v="13"/>
    <x v="0"/>
    <x v="0"/>
    <x v="0"/>
  </r>
  <r>
    <x v="570"/>
    <x v="1"/>
    <x v="2"/>
    <x v="60"/>
    <x v="515"/>
    <x v="0"/>
    <x v="0"/>
    <x v="65"/>
    <x v="1"/>
    <x v="0"/>
    <x v="1"/>
    <x v="1"/>
    <x v="1"/>
    <x v="471"/>
    <x v="29"/>
    <x v="2"/>
    <x v="0"/>
    <x v="0"/>
  </r>
  <r>
    <x v="571"/>
    <x v="1"/>
    <x v="1"/>
    <x v="461"/>
    <x v="527"/>
    <x v="1"/>
    <x v="1"/>
    <x v="78"/>
    <x v="4"/>
    <x v="0"/>
    <x v="3"/>
    <x v="1"/>
    <x v="0"/>
    <x v="472"/>
    <x v="207"/>
    <x v="1"/>
    <x v="99"/>
    <x v="0"/>
  </r>
  <r>
    <x v="572"/>
    <x v="1"/>
    <x v="1"/>
    <x v="355"/>
    <x v="528"/>
    <x v="0"/>
    <x v="0"/>
    <x v="62"/>
    <x v="1"/>
    <x v="0"/>
    <x v="1"/>
    <x v="1"/>
    <x v="1"/>
    <x v="473"/>
    <x v="208"/>
    <x v="2"/>
    <x v="89"/>
    <x v="0"/>
  </r>
  <r>
    <x v="573"/>
    <x v="1"/>
    <x v="0"/>
    <x v="262"/>
    <x v="344"/>
    <x v="2"/>
    <x v="1"/>
    <x v="4"/>
    <x v="1"/>
    <x v="0"/>
    <x v="1"/>
    <x v="1"/>
    <x v="1"/>
    <x v="474"/>
    <x v="28"/>
    <x v="0"/>
    <x v="0"/>
    <x v="2"/>
  </r>
  <r>
    <x v="574"/>
    <x v="0"/>
    <x v="0"/>
    <x v="462"/>
    <x v="529"/>
    <x v="0"/>
    <x v="0"/>
    <x v="36"/>
    <x v="1"/>
    <x v="0"/>
    <x v="1"/>
    <x v="0"/>
    <x v="1"/>
    <x v="475"/>
    <x v="4"/>
    <x v="0"/>
    <x v="0"/>
    <x v="0"/>
  </r>
  <r>
    <x v="575"/>
    <x v="0"/>
    <x v="0"/>
    <x v="463"/>
    <x v="515"/>
    <x v="0"/>
    <x v="0"/>
    <x v="19"/>
    <x v="1"/>
    <x v="0"/>
    <x v="1"/>
    <x v="0"/>
    <x v="1"/>
    <x v="476"/>
    <x v="80"/>
    <x v="2"/>
    <x v="0"/>
    <x v="0"/>
  </r>
  <r>
    <x v="576"/>
    <x v="1"/>
    <x v="2"/>
    <x v="464"/>
    <x v="530"/>
    <x v="2"/>
    <x v="1"/>
    <x v="15"/>
    <x v="1"/>
    <x v="0"/>
    <x v="1"/>
    <x v="1"/>
    <x v="1"/>
    <x v="477"/>
    <x v="16"/>
    <x v="2"/>
    <x v="0"/>
    <x v="0"/>
  </r>
  <r>
    <x v="577"/>
    <x v="1"/>
    <x v="1"/>
    <x v="361"/>
    <x v="531"/>
    <x v="1"/>
    <x v="1"/>
    <x v="12"/>
    <x v="0"/>
    <x v="0"/>
    <x v="0"/>
    <x v="1"/>
    <x v="0"/>
    <x v="371"/>
    <x v="175"/>
    <x v="1"/>
    <x v="75"/>
    <x v="0"/>
  </r>
  <r>
    <x v="578"/>
    <x v="0"/>
    <x v="0"/>
    <x v="465"/>
    <x v="532"/>
    <x v="1"/>
    <x v="1"/>
    <x v="4"/>
    <x v="0"/>
    <x v="0"/>
    <x v="0"/>
    <x v="0"/>
    <x v="0"/>
    <x v="478"/>
    <x v="74"/>
    <x v="2"/>
    <x v="0"/>
    <x v="1"/>
  </r>
  <r>
    <x v="579"/>
    <x v="1"/>
    <x v="0"/>
    <x v="107"/>
    <x v="533"/>
    <x v="0"/>
    <x v="0"/>
    <x v="35"/>
    <x v="1"/>
    <x v="0"/>
    <x v="1"/>
    <x v="1"/>
    <x v="1"/>
    <x v="479"/>
    <x v="2"/>
    <x v="0"/>
    <x v="0"/>
    <x v="0"/>
  </r>
  <r>
    <x v="580"/>
    <x v="1"/>
    <x v="2"/>
    <x v="466"/>
    <x v="534"/>
    <x v="2"/>
    <x v="1"/>
    <x v="37"/>
    <x v="0"/>
    <x v="1"/>
    <x v="3"/>
    <x v="1"/>
    <x v="0"/>
    <x v="480"/>
    <x v="209"/>
    <x v="2"/>
    <x v="0"/>
    <x v="0"/>
  </r>
  <r>
    <x v="581"/>
    <x v="1"/>
    <x v="1"/>
    <x v="445"/>
    <x v="535"/>
    <x v="1"/>
    <x v="1"/>
    <x v="12"/>
    <x v="0"/>
    <x v="1"/>
    <x v="3"/>
    <x v="1"/>
    <x v="0"/>
    <x v="272"/>
    <x v="143"/>
    <x v="1"/>
    <x v="100"/>
    <x v="1"/>
  </r>
  <r>
    <x v="582"/>
    <x v="0"/>
    <x v="2"/>
    <x v="467"/>
    <x v="536"/>
    <x v="0"/>
    <x v="0"/>
    <x v="5"/>
    <x v="1"/>
    <x v="0"/>
    <x v="1"/>
    <x v="0"/>
    <x v="1"/>
    <x v="339"/>
    <x v="19"/>
    <x v="2"/>
    <x v="0"/>
    <x v="0"/>
  </r>
  <r>
    <x v="583"/>
    <x v="0"/>
    <x v="1"/>
    <x v="468"/>
    <x v="537"/>
    <x v="0"/>
    <x v="0"/>
    <x v="62"/>
    <x v="1"/>
    <x v="0"/>
    <x v="1"/>
    <x v="0"/>
    <x v="1"/>
    <x v="481"/>
    <x v="210"/>
    <x v="2"/>
    <x v="101"/>
    <x v="1"/>
  </r>
  <r>
    <x v="584"/>
    <x v="0"/>
    <x v="0"/>
    <x v="469"/>
    <x v="538"/>
    <x v="0"/>
    <x v="0"/>
    <x v="4"/>
    <x v="1"/>
    <x v="0"/>
    <x v="1"/>
    <x v="0"/>
    <x v="1"/>
    <x v="482"/>
    <x v="211"/>
    <x v="0"/>
    <x v="0"/>
    <x v="1"/>
  </r>
  <r>
    <x v="585"/>
    <x v="1"/>
    <x v="1"/>
    <x v="228"/>
    <x v="539"/>
    <x v="2"/>
    <x v="1"/>
    <x v="24"/>
    <x v="1"/>
    <x v="2"/>
    <x v="3"/>
    <x v="1"/>
    <x v="0"/>
    <x v="234"/>
    <x v="128"/>
    <x v="1"/>
    <x v="102"/>
    <x v="0"/>
  </r>
  <r>
    <x v="586"/>
    <x v="0"/>
    <x v="2"/>
    <x v="470"/>
    <x v="540"/>
    <x v="0"/>
    <x v="0"/>
    <x v="47"/>
    <x v="1"/>
    <x v="0"/>
    <x v="1"/>
    <x v="0"/>
    <x v="1"/>
    <x v="483"/>
    <x v="212"/>
    <x v="2"/>
    <x v="0"/>
    <x v="0"/>
  </r>
  <r>
    <x v="587"/>
    <x v="1"/>
    <x v="1"/>
    <x v="471"/>
    <x v="541"/>
    <x v="0"/>
    <x v="0"/>
    <x v="72"/>
    <x v="0"/>
    <x v="1"/>
    <x v="3"/>
    <x v="1"/>
    <x v="0"/>
    <x v="484"/>
    <x v="84"/>
    <x v="1"/>
    <x v="103"/>
    <x v="1"/>
  </r>
  <r>
    <x v="588"/>
    <x v="0"/>
    <x v="0"/>
    <x v="472"/>
    <x v="542"/>
    <x v="0"/>
    <x v="0"/>
    <x v="0"/>
    <x v="1"/>
    <x v="0"/>
    <x v="1"/>
    <x v="0"/>
    <x v="1"/>
    <x v="485"/>
    <x v="4"/>
    <x v="0"/>
    <x v="0"/>
    <x v="0"/>
  </r>
  <r>
    <x v="589"/>
    <x v="0"/>
    <x v="0"/>
    <x v="473"/>
    <x v="429"/>
    <x v="0"/>
    <x v="0"/>
    <x v="4"/>
    <x v="1"/>
    <x v="0"/>
    <x v="1"/>
    <x v="0"/>
    <x v="1"/>
    <x v="486"/>
    <x v="4"/>
    <x v="0"/>
    <x v="0"/>
    <x v="0"/>
  </r>
  <r>
    <x v="590"/>
    <x v="0"/>
    <x v="0"/>
    <x v="474"/>
    <x v="543"/>
    <x v="0"/>
    <x v="0"/>
    <x v="3"/>
    <x v="1"/>
    <x v="0"/>
    <x v="1"/>
    <x v="0"/>
    <x v="1"/>
    <x v="487"/>
    <x v="123"/>
    <x v="0"/>
    <x v="0"/>
    <x v="0"/>
  </r>
  <r>
    <x v="591"/>
    <x v="1"/>
    <x v="1"/>
    <x v="475"/>
    <x v="544"/>
    <x v="1"/>
    <x v="1"/>
    <x v="67"/>
    <x v="0"/>
    <x v="0"/>
    <x v="0"/>
    <x v="1"/>
    <x v="0"/>
    <x v="416"/>
    <x v="190"/>
    <x v="1"/>
    <x v="87"/>
    <x v="1"/>
  </r>
  <r>
    <x v="592"/>
    <x v="0"/>
    <x v="0"/>
    <x v="476"/>
    <x v="536"/>
    <x v="0"/>
    <x v="0"/>
    <x v="47"/>
    <x v="1"/>
    <x v="0"/>
    <x v="1"/>
    <x v="0"/>
    <x v="1"/>
    <x v="488"/>
    <x v="0"/>
    <x v="0"/>
    <x v="0"/>
    <x v="0"/>
  </r>
  <r>
    <x v="593"/>
    <x v="0"/>
    <x v="0"/>
    <x v="167"/>
    <x v="344"/>
    <x v="2"/>
    <x v="1"/>
    <x v="4"/>
    <x v="1"/>
    <x v="2"/>
    <x v="3"/>
    <x v="0"/>
    <x v="0"/>
    <x v="489"/>
    <x v="28"/>
    <x v="0"/>
    <x v="0"/>
    <x v="2"/>
  </r>
  <r>
    <x v="594"/>
    <x v="0"/>
    <x v="2"/>
    <x v="477"/>
    <x v="208"/>
    <x v="0"/>
    <x v="0"/>
    <x v="46"/>
    <x v="0"/>
    <x v="0"/>
    <x v="0"/>
    <x v="0"/>
    <x v="0"/>
    <x v="490"/>
    <x v="19"/>
    <x v="2"/>
    <x v="0"/>
    <x v="0"/>
  </r>
  <r>
    <x v="595"/>
    <x v="0"/>
    <x v="0"/>
    <x v="347"/>
    <x v="545"/>
    <x v="0"/>
    <x v="0"/>
    <x v="62"/>
    <x v="0"/>
    <x v="1"/>
    <x v="3"/>
    <x v="0"/>
    <x v="0"/>
    <x v="357"/>
    <x v="72"/>
    <x v="2"/>
    <x v="0"/>
    <x v="0"/>
  </r>
  <r>
    <x v="596"/>
    <x v="1"/>
    <x v="2"/>
    <x v="478"/>
    <x v="546"/>
    <x v="2"/>
    <x v="1"/>
    <x v="4"/>
    <x v="1"/>
    <x v="0"/>
    <x v="1"/>
    <x v="1"/>
    <x v="1"/>
    <x v="491"/>
    <x v="213"/>
    <x v="2"/>
    <x v="0"/>
    <x v="0"/>
  </r>
  <r>
    <x v="597"/>
    <x v="0"/>
    <x v="0"/>
    <x v="8"/>
    <x v="378"/>
    <x v="0"/>
    <x v="0"/>
    <x v="27"/>
    <x v="1"/>
    <x v="0"/>
    <x v="1"/>
    <x v="0"/>
    <x v="1"/>
    <x v="163"/>
    <x v="104"/>
    <x v="0"/>
    <x v="0"/>
    <x v="0"/>
  </r>
  <r>
    <x v="598"/>
    <x v="0"/>
    <x v="0"/>
    <x v="128"/>
    <x v="35"/>
    <x v="0"/>
    <x v="0"/>
    <x v="4"/>
    <x v="1"/>
    <x v="0"/>
    <x v="1"/>
    <x v="0"/>
    <x v="1"/>
    <x v="492"/>
    <x v="18"/>
    <x v="0"/>
    <x v="0"/>
    <x v="1"/>
  </r>
  <r>
    <x v="599"/>
    <x v="1"/>
    <x v="1"/>
    <x v="450"/>
    <x v="547"/>
    <x v="11"/>
    <x v="2"/>
    <x v="27"/>
    <x v="0"/>
    <x v="0"/>
    <x v="0"/>
    <x v="1"/>
    <x v="0"/>
    <x v="275"/>
    <x v="146"/>
    <x v="1"/>
    <x v="104"/>
    <x v="1"/>
  </r>
  <r>
    <x v="600"/>
    <x v="1"/>
    <x v="2"/>
    <x v="192"/>
    <x v="548"/>
    <x v="1"/>
    <x v="1"/>
    <x v="42"/>
    <x v="4"/>
    <x v="1"/>
    <x v="6"/>
    <x v="1"/>
    <x v="2"/>
    <x v="195"/>
    <x v="115"/>
    <x v="2"/>
    <x v="0"/>
    <x v="0"/>
  </r>
  <r>
    <x v="601"/>
    <x v="0"/>
    <x v="0"/>
    <x v="479"/>
    <x v="549"/>
    <x v="0"/>
    <x v="0"/>
    <x v="4"/>
    <x v="1"/>
    <x v="0"/>
    <x v="1"/>
    <x v="0"/>
    <x v="1"/>
    <x v="493"/>
    <x v="25"/>
    <x v="0"/>
    <x v="0"/>
    <x v="0"/>
  </r>
  <r>
    <x v="602"/>
    <x v="0"/>
    <x v="1"/>
    <x v="480"/>
    <x v="263"/>
    <x v="0"/>
    <x v="0"/>
    <x v="4"/>
    <x v="1"/>
    <x v="0"/>
    <x v="1"/>
    <x v="0"/>
    <x v="1"/>
    <x v="494"/>
    <x v="214"/>
    <x v="2"/>
    <x v="0"/>
    <x v="0"/>
  </r>
  <r>
    <x v="603"/>
    <x v="0"/>
    <x v="0"/>
    <x v="481"/>
    <x v="550"/>
    <x v="0"/>
    <x v="0"/>
    <x v="57"/>
    <x v="1"/>
    <x v="0"/>
    <x v="1"/>
    <x v="0"/>
    <x v="1"/>
    <x v="495"/>
    <x v="4"/>
    <x v="0"/>
    <x v="0"/>
    <x v="0"/>
  </r>
  <r>
    <x v="604"/>
    <x v="1"/>
    <x v="1"/>
    <x v="482"/>
    <x v="551"/>
    <x v="0"/>
    <x v="0"/>
    <x v="3"/>
    <x v="1"/>
    <x v="0"/>
    <x v="1"/>
    <x v="1"/>
    <x v="1"/>
    <x v="496"/>
    <x v="11"/>
    <x v="2"/>
    <x v="0"/>
    <x v="1"/>
  </r>
  <r>
    <x v="605"/>
    <x v="0"/>
    <x v="0"/>
    <x v="483"/>
    <x v="552"/>
    <x v="0"/>
    <x v="0"/>
    <x v="62"/>
    <x v="0"/>
    <x v="0"/>
    <x v="0"/>
    <x v="0"/>
    <x v="0"/>
    <x v="497"/>
    <x v="215"/>
    <x v="2"/>
    <x v="0"/>
    <x v="0"/>
  </r>
  <r>
    <x v="606"/>
    <x v="0"/>
    <x v="0"/>
    <x v="484"/>
    <x v="553"/>
    <x v="0"/>
    <x v="0"/>
    <x v="39"/>
    <x v="1"/>
    <x v="0"/>
    <x v="1"/>
    <x v="0"/>
    <x v="1"/>
    <x v="498"/>
    <x v="25"/>
    <x v="0"/>
    <x v="0"/>
    <x v="0"/>
  </r>
  <r>
    <x v="607"/>
    <x v="1"/>
    <x v="1"/>
    <x v="485"/>
    <x v="554"/>
    <x v="0"/>
    <x v="0"/>
    <x v="7"/>
    <x v="1"/>
    <x v="0"/>
    <x v="1"/>
    <x v="1"/>
    <x v="1"/>
    <x v="499"/>
    <x v="140"/>
    <x v="2"/>
    <x v="0"/>
    <x v="0"/>
  </r>
  <r>
    <x v="608"/>
    <x v="1"/>
    <x v="2"/>
    <x v="41"/>
    <x v="555"/>
    <x v="1"/>
    <x v="1"/>
    <x v="0"/>
    <x v="0"/>
    <x v="2"/>
    <x v="6"/>
    <x v="1"/>
    <x v="2"/>
    <x v="42"/>
    <x v="36"/>
    <x v="2"/>
    <x v="0"/>
    <x v="1"/>
  </r>
  <r>
    <x v="609"/>
    <x v="1"/>
    <x v="1"/>
    <x v="486"/>
    <x v="556"/>
    <x v="2"/>
    <x v="1"/>
    <x v="20"/>
    <x v="1"/>
    <x v="0"/>
    <x v="1"/>
    <x v="1"/>
    <x v="1"/>
    <x v="239"/>
    <x v="129"/>
    <x v="1"/>
    <x v="47"/>
    <x v="0"/>
  </r>
  <r>
    <x v="610"/>
    <x v="0"/>
    <x v="0"/>
    <x v="13"/>
    <x v="557"/>
    <x v="1"/>
    <x v="1"/>
    <x v="12"/>
    <x v="0"/>
    <x v="3"/>
    <x v="4"/>
    <x v="0"/>
    <x v="2"/>
    <x v="13"/>
    <x v="12"/>
    <x v="2"/>
    <x v="0"/>
    <x v="0"/>
  </r>
  <r>
    <x v="611"/>
    <x v="0"/>
    <x v="0"/>
    <x v="487"/>
    <x v="558"/>
    <x v="0"/>
    <x v="0"/>
    <x v="4"/>
    <x v="1"/>
    <x v="0"/>
    <x v="1"/>
    <x v="0"/>
    <x v="1"/>
    <x v="500"/>
    <x v="79"/>
    <x v="0"/>
    <x v="0"/>
    <x v="0"/>
  </r>
  <r>
    <x v="612"/>
    <x v="1"/>
    <x v="0"/>
    <x v="211"/>
    <x v="559"/>
    <x v="2"/>
    <x v="1"/>
    <x v="4"/>
    <x v="0"/>
    <x v="0"/>
    <x v="0"/>
    <x v="1"/>
    <x v="0"/>
    <x v="215"/>
    <x v="37"/>
    <x v="2"/>
    <x v="0"/>
    <x v="2"/>
  </r>
  <r>
    <x v="613"/>
    <x v="0"/>
    <x v="0"/>
    <x v="488"/>
    <x v="184"/>
    <x v="0"/>
    <x v="0"/>
    <x v="4"/>
    <x v="1"/>
    <x v="0"/>
    <x v="1"/>
    <x v="0"/>
    <x v="1"/>
    <x v="501"/>
    <x v="28"/>
    <x v="0"/>
    <x v="0"/>
    <x v="2"/>
  </r>
  <r>
    <x v="614"/>
    <x v="0"/>
    <x v="0"/>
    <x v="489"/>
    <x v="560"/>
    <x v="0"/>
    <x v="0"/>
    <x v="3"/>
    <x v="1"/>
    <x v="0"/>
    <x v="1"/>
    <x v="0"/>
    <x v="1"/>
    <x v="502"/>
    <x v="4"/>
    <x v="0"/>
    <x v="0"/>
    <x v="0"/>
  </r>
  <r>
    <x v="615"/>
    <x v="1"/>
    <x v="2"/>
    <x v="490"/>
    <x v="561"/>
    <x v="2"/>
    <x v="1"/>
    <x v="42"/>
    <x v="0"/>
    <x v="2"/>
    <x v="6"/>
    <x v="1"/>
    <x v="2"/>
    <x v="503"/>
    <x v="216"/>
    <x v="1"/>
    <x v="0"/>
    <x v="0"/>
  </r>
  <r>
    <x v="616"/>
    <x v="0"/>
    <x v="0"/>
    <x v="351"/>
    <x v="562"/>
    <x v="0"/>
    <x v="0"/>
    <x v="15"/>
    <x v="0"/>
    <x v="1"/>
    <x v="3"/>
    <x v="0"/>
    <x v="0"/>
    <x v="361"/>
    <x v="174"/>
    <x v="2"/>
    <x v="0"/>
    <x v="0"/>
  </r>
  <r>
    <x v="617"/>
    <x v="0"/>
    <x v="0"/>
    <x v="221"/>
    <x v="563"/>
    <x v="1"/>
    <x v="1"/>
    <x v="2"/>
    <x v="0"/>
    <x v="0"/>
    <x v="0"/>
    <x v="0"/>
    <x v="0"/>
    <x v="226"/>
    <x v="95"/>
    <x v="2"/>
    <x v="0"/>
    <x v="0"/>
  </r>
  <r>
    <x v="618"/>
    <x v="1"/>
    <x v="2"/>
    <x v="162"/>
    <x v="564"/>
    <x v="2"/>
    <x v="1"/>
    <x v="9"/>
    <x v="4"/>
    <x v="1"/>
    <x v="6"/>
    <x v="1"/>
    <x v="2"/>
    <x v="165"/>
    <x v="106"/>
    <x v="2"/>
    <x v="33"/>
    <x v="0"/>
  </r>
  <r>
    <x v="619"/>
    <x v="0"/>
    <x v="2"/>
    <x v="491"/>
    <x v="20"/>
    <x v="0"/>
    <x v="0"/>
    <x v="2"/>
    <x v="1"/>
    <x v="0"/>
    <x v="1"/>
    <x v="0"/>
    <x v="1"/>
    <x v="504"/>
    <x v="29"/>
    <x v="2"/>
    <x v="0"/>
    <x v="0"/>
  </r>
  <r>
    <x v="620"/>
    <x v="0"/>
    <x v="0"/>
    <x v="492"/>
    <x v="565"/>
    <x v="0"/>
    <x v="0"/>
    <x v="7"/>
    <x v="0"/>
    <x v="0"/>
    <x v="0"/>
    <x v="0"/>
    <x v="0"/>
    <x v="505"/>
    <x v="53"/>
    <x v="2"/>
    <x v="0"/>
    <x v="1"/>
  </r>
  <r>
    <x v="621"/>
    <x v="1"/>
    <x v="1"/>
    <x v="493"/>
    <x v="566"/>
    <x v="0"/>
    <x v="0"/>
    <x v="22"/>
    <x v="0"/>
    <x v="0"/>
    <x v="0"/>
    <x v="1"/>
    <x v="0"/>
    <x v="506"/>
    <x v="124"/>
    <x v="1"/>
    <x v="105"/>
    <x v="0"/>
  </r>
  <r>
    <x v="622"/>
    <x v="1"/>
    <x v="0"/>
    <x v="322"/>
    <x v="567"/>
    <x v="0"/>
    <x v="0"/>
    <x v="11"/>
    <x v="0"/>
    <x v="1"/>
    <x v="3"/>
    <x v="1"/>
    <x v="0"/>
    <x v="328"/>
    <x v="165"/>
    <x v="2"/>
    <x v="0"/>
    <x v="1"/>
  </r>
  <r>
    <x v="623"/>
    <x v="0"/>
    <x v="0"/>
    <x v="494"/>
    <x v="568"/>
    <x v="0"/>
    <x v="0"/>
    <x v="23"/>
    <x v="1"/>
    <x v="0"/>
    <x v="1"/>
    <x v="0"/>
    <x v="1"/>
    <x v="507"/>
    <x v="13"/>
    <x v="0"/>
    <x v="0"/>
    <x v="0"/>
  </r>
  <r>
    <x v="624"/>
    <x v="0"/>
    <x v="0"/>
    <x v="495"/>
    <x v="569"/>
    <x v="0"/>
    <x v="0"/>
    <x v="23"/>
    <x v="1"/>
    <x v="0"/>
    <x v="1"/>
    <x v="0"/>
    <x v="1"/>
    <x v="508"/>
    <x v="95"/>
    <x v="2"/>
    <x v="0"/>
    <x v="0"/>
  </r>
  <r>
    <x v="625"/>
    <x v="0"/>
    <x v="1"/>
    <x v="496"/>
    <x v="197"/>
    <x v="0"/>
    <x v="0"/>
    <x v="59"/>
    <x v="1"/>
    <x v="0"/>
    <x v="1"/>
    <x v="0"/>
    <x v="1"/>
    <x v="509"/>
    <x v="217"/>
    <x v="2"/>
    <x v="106"/>
    <x v="0"/>
  </r>
  <r>
    <x v="626"/>
    <x v="0"/>
    <x v="2"/>
    <x v="497"/>
    <x v="570"/>
    <x v="5"/>
    <x v="0"/>
    <x v="79"/>
    <x v="1"/>
    <x v="0"/>
    <x v="1"/>
    <x v="0"/>
    <x v="1"/>
    <x v="510"/>
    <x v="142"/>
    <x v="2"/>
    <x v="0"/>
    <x v="2"/>
  </r>
  <r>
    <x v="627"/>
    <x v="1"/>
    <x v="1"/>
    <x v="498"/>
    <x v="571"/>
    <x v="2"/>
    <x v="1"/>
    <x v="23"/>
    <x v="1"/>
    <x v="0"/>
    <x v="1"/>
    <x v="1"/>
    <x v="1"/>
    <x v="245"/>
    <x v="133"/>
    <x v="1"/>
    <x v="107"/>
    <x v="0"/>
  </r>
  <r>
    <x v="628"/>
    <x v="0"/>
    <x v="0"/>
    <x v="499"/>
    <x v="572"/>
    <x v="0"/>
    <x v="0"/>
    <x v="2"/>
    <x v="1"/>
    <x v="0"/>
    <x v="1"/>
    <x v="0"/>
    <x v="1"/>
    <x v="511"/>
    <x v="25"/>
    <x v="0"/>
    <x v="0"/>
    <x v="0"/>
  </r>
  <r>
    <x v="629"/>
    <x v="0"/>
    <x v="0"/>
    <x v="500"/>
    <x v="573"/>
    <x v="0"/>
    <x v="0"/>
    <x v="4"/>
    <x v="1"/>
    <x v="0"/>
    <x v="1"/>
    <x v="0"/>
    <x v="1"/>
    <x v="512"/>
    <x v="93"/>
    <x v="0"/>
    <x v="0"/>
    <x v="2"/>
  </r>
  <r>
    <x v="630"/>
    <x v="1"/>
    <x v="1"/>
    <x v="501"/>
    <x v="574"/>
    <x v="0"/>
    <x v="0"/>
    <x v="80"/>
    <x v="1"/>
    <x v="0"/>
    <x v="1"/>
    <x v="1"/>
    <x v="1"/>
    <x v="513"/>
    <x v="209"/>
    <x v="2"/>
    <x v="108"/>
    <x v="0"/>
  </r>
  <r>
    <x v="631"/>
    <x v="0"/>
    <x v="0"/>
    <x v="502"/>
    <x v="575"/>
    <x v="0"/>
    <x v="0"/>
    <x v="54"/>
    <x v="1"/>
    <x v="0"/>
    <x v="1"/>
    <x v="0"/>
    <x v="1"/>
    <x v="514"/>
    <x v="218"/>
    <x v="0"/>
    <x v="0"/>
    <x v="0"/>
  </r>
  <r>
    <x v="632"/>
    <x v="1"/>
    <x v="1"/>
    <x v="503"/>
    <x v="576"/>
    <x v="6"/>
    <x v="0"/>
    <x v="35"/>
    <x v="1"/>
    <x v="0"/>
    <x v="1"/>
    <x v="1"/>
    <x v="1"/>
    <x v="515"/>
    <x v="140"/>
    <x v="2"/>
    <x v="109"/>
    <x v="1"/>
  </r>
  <r>
    <x v="633"/>
    <x v="0"/>
    <x v="1"/>
    <x v="504"/>
    <x v="577"/>
    <x v="0"/>
    <x v="0"/>
    <x v="4"/>
    <x v="1"/>
    <x v="0"/>
    <x v="1"/>
    <x v="0"/>
    <x v="1"/>
    <x v="516"/>
    <x v="104"/>
    <x v="0"/>
    <x v="0"/>
    <x v="0"/>
  </r>
  <r>
    <x v="634"/>
    <x v="0"/>
    <x v="0"/>
    <x v="61"/>
    <x v="578"/>
    <x v="2"/>
    <x v="1"/>
    <x v="52"/>
    <x v="2"/>
    <x v="2"/>
    <x v="5"/>
    <x v="0"/>
    <x v="2"/>
    <x v="62"/>
    <x v="48"/>
    <x v="2"/>
    <x v="0"/>
    <x v="0"/>
  </r>
  <r>
    <x v="635"/>
    <x v="1"/>
    <x v="2"/>
    <x v="505"/>
    <x v="344"/>
    <x v="2"/>
    <x v="1"/>
    <x v="17"/>
    <x v="1"/>
    <x v="0"/>
    <x v="1"/>
    <x v="1"/>
    <x v="1"/>
    <x v="517"/>
    <x v="16"/>
    <x v="2"/>
    <x v="0"/>
    <x v="0"/>
  </r>
  <r>
    <x v="636"/>
    <x v="0"/>
    <x v="0"/>
    <x v="506"/>
    <x v="579"/>
    <x v="0"/>
    <x v="0"/>
    <x v="35"/>
    <x v="1"/>
    <x v="0"/>
    <x v="1"/>
    <x v="0"/>
    <x v="1"/>
    <x v="518"/>
    <x v="2"/>
    <x v="0"/>
    <x v="0"/>
    <x v="0"/>
  </r>
  <r>
    <x v="637"/>
    <x v="0"/>
    <x v="2"/>
    <x v="208"/>
    <x v="580"/>
    <x v="0"/>
    <x v="0"/>
    <x v="14"/>
    <x v="0"/>
    <x v="1"/>
    <x v="3"/>
    <x v="0"/>
    <x v="0"/>
    <x v="212"/>
    <x v="121"/>
    <x v="2"/>
    <x v="0"/>
    <x v="0"/>
  </r>
  <r>
    <x v="638"/>
    <x v="0"/>
    <x v="0"/>
    <x v="48"/>
    <x v="581"/>
    <x v="1"/>
    <x v="1"/>
    <x v="66"/>
    <x v="1"/>
    <x v="3"/>
    <x v="5"/>
    <x v="0"/>
    <x v="2"/>
    <x v="49"/>
    <x v="40"/>
    <x v="2"/>
    <x v="0"/>
    <x v="0"/>
  </r>
  <r>
    <x v="639"/>
    <x v="0"/>
    <x v="0"/>
    <x v="358"/>
    <x v="582"/>
    <x v="0"/>
    <x v="0"/>
    <x v="4"/>
    <x v="0"/>
    <x v="0"/>
    <x v="0"/>
    <x v="0"/>
    <x v="0"/>
    <x v="368"/>
    <x v="95"/>
    <x v="2"/>
    <x v="0"/>
    <x v="0"/>
  </r>
  <r>
    <x v="640"/>
    <x v="0"/>
    <x v="0"/>
    <x v="507"/>
    <x v="583"/>
    <x v="0"/>
    <x v="0"/>
    <x v="11"/>
    <x v="1"/>
    <x v="0"/>
    <x v="1"/>
    <x v="0"/>
    <x v="1"/>
    <x v="519"/>
    <x v="13"/>
    <x v="0"/>
    <x v="0"/>
    <x v="0"/>
  </r>
  <r>
    <x v="641"/>
    <x v="1"/>
    <x v="1"/>
    <x v="508"/>
    <x v="584"/>
    <x v="12"/>
    <x v="2"/>
    <x v="42"/>
    <x v="1"/>
    <x v="0"/>
    <x v="1"/>
    <x v="1"/>
    <x v="1"/>
    <x v="319"/>
    <x v="160"/>
    <x v="1"/>
    <x v="70"/>
    <x v="1"/>
  </r>
  <r>
    <x v="642"/>
    <x v="0"/>
    <x v="0"/>
    <x v="61"/>
    <x v="585"/>
    <x v="2"/>
    <x v="1"/>
    <x v="6"/>
    <x v="2"/>
    <x v="2"/>
    <x v="5"/>
    <x v="0"/>
    <x v="2"/>
    <x v="62"/>
    <x v="48"/>
    <x v="2"/>
    <x v="0"/>
    <x v="0"/>
  </r>
  <r>
    <x v="643"/>
    <x v="1"/>
    <x v="0"/>
    <x v="509"/>
    <x v="586"/>
    <x v="0"/>
    <x v="0"/>
    <x v="4"/>
    <x v="1"/>
    <x v="0"/>
    <x v="1"/>
    <x v="1"/>
    <x v="1"/>
    <x v="72"/>
    <x v="54"/>
    <x v="1"/>
    <x v="0"/>
    <x v="0"/>
  </r>
  <r>
    <x v="644"/>
    <x v="1"/>
    <x v="0"/>
    <x v="369"/>
    <x v="587"/>
    <x v="2"/>
    <x v="1"/>
    <x v="77"/>
    <x v="4"/>
    <x v="1"/>
    <x v="6"/>
    <x v="1"/>
    <x v="2"/>
    <x v="379"/>
    <x v="178"/>
    <x v="2"/>
    <x v="0"/>
    <x v="1"/>
  </r>
  <r>
    <x v="645"/>
    <x v="1"/>
    <x v="1"/>
    <x v="50"/>
    <x v="588"/>
    <x v="0"/>
    <x v="0"/>
    <x v="76"/>
    <x v="0"/>
    <x v="0"/>
    <x v="0"/>
    <x v="1"/>
    <x v="0"/>
    <x v="51"/>
    <x v="42"/>
    <x v="1"/>
    <x v="10"/>
    <x v="1"/>
  </r>
  <r>
    <x v="646"/>
    <x v="0"/>
    <x v="0"/>
    <x v="510"/>
    <x v="589"/>
    <x v="0"/>
    <x v="0"/>
    <x v="19"/>
    <x v="1"/>
    <x v="0"/>
    <x v="1"/>
    <x v="0"/>
    <x v="1"/>
    <x v="520"/>
    <x v="25"/>
    <x v="0"/>
    <x v="0"/>
    <x v="0"/>
  </r>
  <r>
    <x v="647"/>
    <x v="1"/>
    <x v="1"/>
    <x v="511"/>
    <x v="590"/>
    <x v="13"/>
    <x v="0"/>
    <x v="60"/>
    <x v="1"/>
    <x v="0"/>
    <x v="1"/>
    <x v="1"/>
    <x v="1"/>
    <x v="521"/>
    <x v="21"/>
    <x v="2"/>
    <x v="110"/>
    <x v="1"/>
  </r>
  <r>
    <x v="648"/>
    <x v="0"/>
    <x v="0"/>
    <x v="512"/>
    <x v="503"/>
    <x v="0"/>
    <x v="0"/>
    <x v="4"/>
    <x v="1"/>
    <x v="0"/>
    <x v="1"/>
    <x v="0"/>
    <x v="1"/>
    <x v="522"/>
    <x v="120"/>
    <x v="0"/>
    <x v="0"/>
    <x v="0"/>
  </r>
  <r>
    <x v="649"/>
    <x v="1"/>
    <x v="0"/>
    <x v="405"/>
    <x v="591"/>
    <x v="2"/>
    <x v="1"/>
    <x v="41"/>
    <x v="1"/>
    <x v="0"/>
    <x v="1"/>
    <x v="1"/>
    <x v="1"/>
    <x v="523"/>
    <x v="120"/>
    <x v="0"/>
    <x v="0"/>
    <x v="0"/>
  </r>
  <r>
    <x v="650"/>
    <x v="0"/>
    <x v="0"/>
    <x v="513"/>
    <x v="592"/>
    <x v="0"/>
    <x v="0"/>
    <x v="4"/>
    <x v="1"/>
    <x v="0"/>
    <x v="1"/>
    <x v="0"/>
    <x v="1"/>
    <x v="524"/>
    <x v="25"/>
    <x v="0"/>
    <x v="0"/>
    <x v="0"/>
  </r>
  <r>
    <x v="651"/>
    <x v="1"/>
    <x v="2"/>
    <x v="93"/>
    <x v="593"/>
    <x v="2"/>
    <x v="1"/>
    <x v="24"/>
    <x v="1"/>
    <x v="1"/>
    <x v="0"/>
    <x v="1"/>
    <x v="0"/>
    <x v="95"/>
    <x v="68"/>
    <x v="2"/>
    <x v="0"/>
    <x v="0"/>
  </r>
  <r>
    <x v="652"/>
    <x v="0"/>
    <x v="0"/>
    <x v="514"/>
    <x v="594"/>
    <x v="0"/>
    <x v="0"/>
    <x v="23"/>
    <x v="1"/>
    <x v="0"/>
    <x v="1"/>
    <x v="0"/>
    <x v="1"/>
    <x v="525"/>
    <x v="219"/>
    <x v="0"/>
    <x v="0"/>
    <x v="0"/>
  </r>
  <r>
    <x v="653"/>
    <x v="1"/>
    <x v="0"/>
    <x v="515"/>
    <x v="595"/>
    <x v="2"/>
    <x v="1"/>
    <x v="4"/>
    <x v="1"/>
    <x v="0"/>
    <x v="1"/>
    <x v="1"/>
    <x v="1"/>
    <x v="526"/>
    <x v="204"/>
    <x v="0"/>
    <x v="0"/>
    <x v="2"/>
  </r>
  <r>
    <x v="654"/>
    <x v="0"/>
    <x v="0"/>
    <x v="516"/>
    <x v="264"/>
    <x v="2"/>
    <x v="1"/>
    <x v="24"/>
    <x v="1"/>
    <x v="0"/>
    <x v="1"/>
    <x v="0"/>
    <x v="1"/>
    <x v="527"/>
    <x v="85"/>
    <x v="0"/>
    <x v="0"/>
    <x v="2"/>
  </r>
  <r>
    <x v="655"/>
    <x v="0"/>
    <x v="2"/>
    <x v="112"/>
    <x v="596"/>
    <x v="0"/>
    <x v="0"/>
    <x v="42"/>
    <x v="4"/>
    <x v="0"/>
    <x v="3"/>
    <x v="0"/>
    <x v="0"/>
    <x v="70"/>
    <x v="52"/>
    <x v="1"/>
    <x v="0"/>
    <x v="0"/>
  </r>
  <r>
    <x v="656"/>
    <x v="0"/>
    <x v="0"/>
    <x v="517"/>
    <x v="261"/>
    <x v="0"/>
    <x v="0"/>
    <x v="4"/>
    <x v="1"/>
    <x v="0"/>
    <x v="1"/>
    <x v="0"/>
    <x v="1"/>
    <x v="528"/>
    <x v="25"/>
    <x v="0"/>
    <x v="0"/>
    <x v="0"/>
  </r>
  <r>
    <x v="657"/>
    <x v="0"/>
    <x v="0"/>
    <x v="167"/>
    <x v="597"/>
    <x v="1"/>
    <x v="1"/>
    <x v="35"/>
    <x v="0"/>
    <x v="1"/>
    <x v="3"/>
    <x v="0"/>
    <x v="0"/>
    <x v="170"/>
    <x v="37"/>
    <x v="2"/>
    <x v="0"/>
    <x v="2"/>
  </r>
  <r>
    <x v="658"/>
    <x v="0"/>
    <x v="2"/>
    <x v="518"/>
    <x v="598"/>
    <x v="0"/>
    <x v="0"/>
    <x v="41"/>
    <x v="1"/>
    <x v="0"/>
    <x v="1"/>
    <x v="0"/>
    <x v="1"/>
    <x v="529"/>
    <x v="16"/>
    <x v="2"/>
    <x v="0"/>
    <x v="0"/>
  </r>
  <r>
    <x v="659"/>
    <x v="0"/>
    <x v="1"/>
    <x v="190"/>
    <x v="599"/>
    <x v="0"/>
    <x v="0"/>
    <x v="10"/>
    <x v="1"/>
    <x v="2"/>
    <x v="3"/>
    <x v="0"/>
    <x v="0"/>
    <x v="193"/>
    <x v="114"/>
    <x v="1"/>
    <x v="111"/>
    <x v="1"/>
  </r>
  <r>
    <x v="660"/>
    <x v="1"/>
    <x v="1"/>
    <x v="286"/>
    <x v="600"/>
    <x v="6"/>
    <x v="0"/>
    <x v="61"/>
    <x v="4"/>
    <x v="0"/>
    <x v="3"/>
    <x v="1"/>
    <x v="0"/>
    <x v="292"/>
    <x v="155"/>
    <x v="1"/>
    <x v="0"/>
    <x v="0"/>
  </r>
  <r>
    <x v="661"/>
    <x v="0"/>
    <x v="0"/>
    <x v="519"/>
    <x v="601"/>
    <x v="0"/>
    <x v="0"/>
    <x v="20"/>
    <x v="1"/>
    <x v="0"/>
    <x v="1"/>
    <x v="0"/>
    <x v="1"/>
    <x v="530"/>
    <x v="18"/>
    <x v="0"/>
    <x v="0"/>
    <x v="1"/>
  </r>
  <r>
    <x v="662"/>
    <x v="0"/>
    <x v="1"/>
    <x v="520"/>
    <x v="602"/>
    <x v="0"/>
    <x v="0"/>
    <x v="47"/>
    <x v="1"/>
    <x v="0"/>
    <x v="1"/>
    <x v="0"/>
    <x v="1"/>
    <x v="531"/>
    <x v="220"/>
    <x v="2"/>
    <x v="112"/>
    <x v="0"/>
  </r>
  <r>
    <x v="663"/>
    <x v="0"/>
    <x v="0"/>
    <x v="420"/>
    <x v="603"/>
    <x v="0"/>
    <x v="0"/>
    <x v="62"/>
    <x v="1"/>
    <x v="0"/>
    <x v="1"/>
    <x v="0"/>
    <x v="1"/>
    <x v="532"/>
    <x v="196"/>
    <x v="0"/>
    <x v="0"/>
    <x v="0"/>
  </r>
  <r>
    <x v="664"/>
    <x v="1"/>
    <x v="0"/>
    <x v="521"/>
    <x v="604"/>
    <x v="0"/>
    <x v="0"/>
    <x v="11"/>
    <x v="0"/>
    <x v="0"/>
    <x v="0"/>
    <x v="1"/>
    <x v="0"/>
    <x v="533"/>
    <x v="2"/>
    <x v="0"/>
    <x v="0"/>
    <x v="0"/>
  </r>
  <r>
    <x v="665"/>
    <x v="0"/>
    <x v="2"/>
    <x v="112"/>
    <x v="605"/>
    <x v="0"/>
    <x v="0"/>
    <x v="35"/>
    <x v="4"/>
    <x v="0"/>
    <x v="3"/>
    <x v="0"/>
    <x v="0"/>
    <x v="70"/>
    <x v="52"/>
    <x v="1"/>
    <x v="0"/>
    <x v="0"/>
  </r>
  <r>
    <x v="666"/>
    <x v="0"/>
    <x v="2"/>
    <x v="522"/>
    <x v="606"/>
    <x v="0"/>
    <x v="0"/>
    <x v="37"/>
    <x v="1"/>
    <x v="0"/>
    <x v="1"/>
    <x v="0"/>
    <x v="1"/>
    <x v="534"/>
    <x v="16"/>
    <x v="2"/>
    <x v="0"/>
    <x v="0"/>
  </r>
  <r>
    <x v="667"/>
    <x v="0"/>
    <x v="0"/>
    <x v="523"/>
    <x v="607"/>
    <x v="0"/>
    <x v="0"/>
    <x v="4"/>
    <x v="1"/>
    <x v="0"/>
    <x v="1"/>
    <x v="0"/>
    <x v="1"/>
    <x v="535"/>
    <x v="71"/>
    <x v="0"/>
    <x v="0"/>
    <x v="0"/>
  </r>
  <r>
    <x v="668"/>
    <x v="0"/>
    <x v="0"/>
    <x v="524"/>
    <x v="608"/>
    <x v="0"/>
    <x v="0"/>
    <x v="71"/>
    <x v="1"/>
    <x v="0"/>
    <x v="1"/>
    <x v="0"/>
    <x v="1"/>
    <x v="536"/>
    <x v="4"/>
    <x v="0"/>
    <x v="0"/>
    <x v="0"/>
  </r>
  <r>
    <x v="669"/>
    <x v="1"/>
    <x v="1"/>
    <x v="525"/>
    <x v="609"/>
    <x v="1"/>
    <x v="1"/>
    <x v="4"/>
    <x v="0"/>
    <x v="0"/>
    <x v="0"/>
    <x v="1"/>
    <x v="0"/>
    <x v="537"/>
    <x v="31"/>
    <x v="1"/>
    <x v="113"/>
    <x v="0"/>
  </r>
  <r>
    <x v="670"/>
    <x v="1"/>
    <x v="2"/>
    <x v="172"/>
    <x v="610"/>
    <x v="1"/>
    <x v="1"/>
    <x v="20"/>
    <x v="0"/>
    <x v="1"/>
    <x v="3"/>
    <x v="1"/>
    <x v="0"/>
    <x v="538"/>
    <x v="106"/>
    <x v="2"/>
    <x v="0"/>
    <x v="0"/>
  </r>
  <r>
    <x v="671"/>
    <x v="0"/>
    <x v="1"/>
    <x v="526"/>
    <x v="611"/>
    <x v="0"/>
    <x v="0"/>
    <x v="14"/>
    <x v="0"/>
    <x v="0"/>
    <x v="0"/>
    <x v="0"/>
    <x v="0"/>
    <x v="539"/>
    <x v="31"/>
    <x v="1"/>
    <x v="114"/>
    <x v="0"/>
  </r>
  <r>
    <x v="672"/>
    <x v="0"/>
    <x v="2"/>
    <x v="527"/>
    <x v="612"/>
    <x v="0"/>
    <x v="0"/>
    <x v="81"/>
    <x v="1"/>
    <x v="0"/>
    <x v="1"/>
    <x v="0"/>
    <x v="1"/>
    <x v="540"/>
    <x v="29"/>
    <x v="2"/>
    <x v="0"/>
    <x v="0"/>
  </r>
  <r>
    <x v="673"/>
    <x v="1"/>
    <x v="2"/>
    <x v="528"/>
    <x v="613"/>
    <x v="0"/>
    <x v="0"/>
    <x v="14"/>
    <x v="1"/>
    <x v="0"/>
    <x v="1"/>
    <x v="1"/>
    <x v="1"/>
    <x v="541"/>
    <x v="16"/>
    <x v="2"/>
    <x v="0"/>
    <x v="0"/>
  </r>
  <r>
    <x v="674"/>
    <x v="0"/>
    <x v="2"/>
    <x v="529"/>
    <x v="614"/>
    <x v="0"/>
    <x v="0"/>
    <x v="4"/>
    <x v="1"/>
    <x v="0"/>
    <x v="1"/>
    <x v="0"/>
    <x v="1"/>
    <x v="542"/>
    <x v="104"/>
    <x v="0"/>
    <x v="0"/>
    <x v="0"/>
  </r>
  <r>
    <x v="675"/>
    <x v="0"/>
    <x v="0"/>
    <x v="530"/>
    <x v="615"/>
    <x v="0"/>
    <x v="0"/>
    <x v="24"/>
    <x v="1"/>
    <x v="0"/>
    <x v="1"/>
    <x v="0"/>
    <x v="1"/>
    <x v="543"/>
    <x v="71"/>
    <x v="0"/>
    <x v="0"/>
    <x v="0"/>
  </r>
  <r>
    <x v="676"/>
    <x v="0"/>
    <x v="0"/>
    <x v="531"/>
    <x v="616"/>
    <x v="0"/>
    <x v="0"/>
    <x v="82"/>
    <x v="1"/>
    <x v="0"/>
    <x v="1"/>
    <x v="0"/>
    <x v="1"/>
    <x v="544"/>
    <x v="4"/>
    <x v="0"/>
    <x v="0"/>
    <x v="0"/>
  </r>
  <r>
    <x v="677"/>
    <x v="1"/>
    <x v="0"/>
    <x v="532"/>
    <x v="138"/>
    <x v="2"/>
    <x v="1"/>
    <x v="24"/>
    <x v="1"/>
    <x v="0"/>
    <x v="1"/>
    <x v="1"/>
    <x v="1"/>
    <x v="545"/>
    <x v="221"/>
    <x v="0"/>
    <x v="0"/>
    <x v="0"/>
  </r>
  <r>
    <x v="678"/>
    <x v="0"/>
    <x v="0"/>
    <x v="57"/>
    <x v="617"/>
    <x v="1"/>
    <x v="1"/>
    <x v="71"/>
    <x v="0"/>
    <x v="6"/>
    <x v="7"/>
    <x v="0"/>
    <x v="2"/>
    <x v="58"/>
    <x v="45"/>
    <x v="2"/>
    <x v="0"/>
    <x v="0"/>
  </r>
  <r>
    <x v="679"/>
    <x v="1"/>
    <x v="1"/>
    <x v="533"/>
    <x v="618"/>
    <x v="0"/>
    <x v="0"/>
    <x v="62"/>
    <x v="1"/>
    <x v="1"/>
    <x v="0"/>
    <x v="1"/>
    <x v="0"/>
    <x v="231"/>
    <x v="127"/>
    <x v="1"/>
    <x v="115"/>
    <x v="1"/>
  </r>
  <r>
    <x v="680"/>
    <x v="0"/>
    <x v="0"/>
    <x v="534"/>
    <x v="619"/>
    <x v="2"/>
    <x v="1"/>
    <x v="4"/>
    <x v="1"/>
    <x v="0"/>
    <x v="1"/>
    <x v="0"/>
    <x v="1"/>
    <x v="546"/>
    <x v="222"/>
    <x v="0"/>
    <x v="0"/>
    <x v="2"/>
  </r>
  <r>
    <x v="681"/>
    <x v="1"/>
    <x v="1"/>
    <x v="535"/>
    <x v="620"/>
    <x v="0"/>
    <x v="0"/>
    <x v="7"/>
    <x v="1"/>
    <x v="0"/>
    <x v="1"/>
    <x v="1"/>
    <x v="1"/>
    <x v="51"/>
    <x v="42"/>
    <x v="1"/>
    <x v="116"/>
    <x v="1"/>
  </r>
  <r>
    <x v="682"/>
    <x v="0"/>
    <x v="0"/>
    <x v="536"/>
    <x v="621"/>
    <x v="0"/>
    <x v="0"/>
    <x v="11"/>
    <x v="1"/>
    <x v="0"/>
    <x v="1"/>
    <x v="0"/>
    <x v="1"/>
    <x v="547"/>
    <x v="157"/>
    <x v="0"/>
    <x v="0"/>
    <x v="0"/>
  </r>
  <r>
    <x v="683"/>
    <x v="0"/>
    <x v="0"/>
    <x v="57"/>
    <x v="622"/>
    <x v="0"/>
    <x v="0"/>
    <x v="8"/>
    <x v="5"/>
    <x v="2"/>
    <x v="7"/>
    <x v="0"/>
    <x v="2"/>
    <x v="58"/>
    <x v="45"/>
    <x v="2"/>
    <x v="0"/>
    <x v="0"/>
  </r>
  <r>
    <x v="684"/>
    <x v="0"/>
    <x v="2"/>
    <x v="172"/>
    <x v="623"/>
    <x v="0"/>
    <x v="0"/>
    <x v="72"/>
    <x v="0"/>
    <x v="1"/>
    <x v="3"/>
    <x v="0"/>
    <x v="0"/>
    <x v="538"/>
    <x v="106"/>
    <x v="2"/>
    <x v="0"/>
    <x v="0"/>
  </r>
  <r>
    <x v="685"/>
    <x v="0"/>
    <x v="2"/>
    <x v="41"/>
    <x v="624"/>
    <x v="0"/>
    <x v="0"/>
    <x v="37"/>
    <x v="0"/>
    <x v="2"/>
    <x v="6"/>
    <x v="0"/>
    <x v="2"/>
    <x v="42"/>
    <x v="36"/>
    <x v="2"/>
    <x v="0"/>
    <x v="1"/>
  </r>
  <r>
    <x v="686"/>
    <x v="0"/>
    <x v="0"/>
    <x v="48"/>
    <x v="625"/>
    <x v="0"/>
    <x v="0"/>
    <x v="8"/>
    <x v="3"/>
    <x v="1"/>
    <x v="5"/>
    <x v="0"/>
    <x v="2"/>
    <x v="49"/>
    <x v="40"/>
    <x v="2"/>
    <x v="0"/>
    <x v="0"/>
  </r>
  <r>
    <x v="687"/>
    <x v="0"/>
    <x v="0"/>
    <x v="537"/>
    <x v="626"/>
    <x v="0"/>
    <x v="0"/>
    <x v="19"/>
    <x v="1"/>
    <x v="0"/>
    <x v="1"/>
    <x v="0"/>
    <x v="1"/>
    <x v="548"/>
    <x v="223"/>
    <x v="2"/>
    <x v="0"/>
    <x v="0"/>
  </r>
  <r>
    <x v="688"/>
    <x v="0"/>
    <x v="0"/>
    <x v="538"/>
    <x v="627"/>
    <x v="0"/>
    <x v="0"/>
    <x v="24"/>
    <x v="1"/>
    <x v="0"/>
    <x v="1"/>
    <x v="0"/>
    <x v="1"/>
    <x v="549"/>
    <x v="88"/>
    <x v="0"/>
    <x v="0"/>
    <x v="0"/>
  </r>
  <r>
    <x v="689"/>
    <x v="1"/>
    <x v="1"/>
    <x v="539"/>
    <x v="628"/>
    <x v="2"/>
    <x v="1"/>
    <x v="16"/>
    <x v="1"/>
    <x v="1"/>
    <x v="0"/>
    <x v="1"/>
    <x v="0"/>
    <x v="550"/>
    <x v="224"/>
    <x v="1"/>
    <x v="117"/>
    <x v="0"/>
  </r>
  <r>
    <x v="690"/>
    <x v="1"/>
    <x v="1"/>
    <x v="540"/>
    <x v="629"/>
    <x v="0"/>
    <x v="0"/>
    <x v="14"/>
    <x v="0"/>
    <x v="0"/>
    <x v="0"/>
    <x v="1"/>
    <x v="0"/>
    <x v="551"/>
    <x v="225"/>
    <x v="1"/>
    <x v="118"/>
    <x v="0"/>
  </r>
  <r>
    <x v="691"/>
    <x v="1"/>
    <x v="0"/>
    <x v="541"/>
    <x v="630"/>
    <x v="2"/>
    <x v="1"/>
    <x v="9"/>
    <x v="1"/>
    <x v="1"/>
    <x v="0"/>
    <x v="1"/>
    <x v="0"/>
    <x v="552"/>
    <x v="226"/>
    <x v="2"/>
    <x v="0"/>
    <x v="1"/>
  </r>
  <r>
    <x v="692"/>
    <x v="1"/>
    <x v="0"/>
    <x v="542"/>
    <x v="631"/>
    <x v="0"/>
    <x v="0"/>
    <x v="4"/>
    <x v="1"/>
    <x v="0"/>
    <x v="1"/>
    <x v="1"/>
    <x v="1"/>
    <x v="72"/>
    <x v="54"/>
    <x v="1"/>
    <x v="0"/>
    <x v="0"/>
  </r>
  <r>
    <x v="693"/>
    <x v="0"/>
    <x v="0"/>
    <x v="543"/>
    <x v="632"/>
    <x v="0"/>
    <x v="0"/>
    <x v="37"/>
    <x v="1"/>
    <x v="0"/>
    <x v="1"/>
    <x v="0"/>
    <x v="1"/>
    <x v="553"/>
    <x v="18"/>
    <x v="0"/>
    <x v="0"/>
    <x v="1"/>
  </r>
  <r>
    <x v="694"/>
    <x v="0"/>
    <x v="1"/>
    <x v="544"/>
    <x v="184"/>
    <x v="13"/>
    <x v="0"/>
    <x v="72"/>
    <x v="1"/>
    <x v="0"/>
    <x v="1"/>
    <x v="0"/>
    <x v="1"/>
    <x v="554"/>
    <x v="11"/>
    <x v="2"/>
    <x v="0"/>
    <x v="0"/>
  </r>
  <r>
    <x v="695"/>
    <x v="0"/>
    <x v="2"/>
    <x v="477"/>
    <x v="367"/>
    <x v="0"/>
    <x v="0"/>
    <x v="67"/>
    <x v="1"/>
    <x v="0"/>
    <x v="1"/>
    <x v="0"/>
    <x v="1"/>
    <x v="555"/>
    <x v="119"/>
    <x v="2"/>
    <x v="0"/>
    <x v="0"/>
  </r>
  <r>
    <x v="696"/>
    <x v="0"/>
    <x v="0"/>
    <x v="262"/>
    <x v="5"/>
    <x v="0"/>
    <x v="0"/>
    <x v="57"/>
    <x v="1"/>
    <x v="0"/>
    <x v="1"/>
    <x v="0"/>
    <x v="1"/>
    <x v="556"/>
    <x v="4"/>
    <x v="0"/>
    <x v="0"/>
    <x v="0"/>
  </r>
  <r>
    <x v="697"/>
    <x v="1"/>
    <x v="0"/>
    <x v="545"/>
    <x v="153"/>
    <x v="2"/>
    <x v="1"/>
    <x v="4"/>
    <x v="1"/>
    <x v="0"/>
    <x v="1"/>
    <x v="1"/>
    <x v="1"/>
    <x v="557"/>
    <x v="93"/>
    <x v="0"/>
    <x v="0"/>
    <x v="2"/>
  </r>
  <r>
    <x v="698"/>
    <x v="0"/>
    <x v="1"/>
    <x v="445"/>
    <x v="633"/>
    <x v="0"/>
    <x v="0"/>
    <x v="27"/>
    <x v="0"/>
    <x v="1"/>
    <x v="3"/>
    <x v="0"/>
    <x v="0"/>
    <x v="272"/>
    <x v="143"/>
    <x v="1"/>
    <x v="100"/>
    <x v="1"/>
  </r>
  <r>
    <x v="699"/>
    <x v="0"/>
    <x v="0"/>
    <x v="546"/>
    <x v="634"/>
    <x v="0"/>
    <x v="0"/>
    <x v="22"/>
    <x v="1"/>
    <x v="0"/>
    <x v="1"/>
    <x v="0"/>
    <x v="1"/>
    <x v="558"/>
    <x v="55"/>
    <x v="0"/>
    <x v="119"/>
    <x v="0"/>
  </r>
  <r>
    <x v="700"/>
    <x v="1"/>
    <x v="1"/>
    <x v="547"/>
    <x v="635"/>
    <x v="1"/>
    <x v="1"/>
    <x v="24"/>
    <x v="0"/>
    <x v="0"/>
    <x v="0"/>
    <x v="1"/>
    <x v="0"/>
    <x v="327"/>
    <x v="164"/>
    <x v="1"/>
    <x v="120"/>
    <x v="1"/>
  </r>
  <r>
    <x v="701"/>
    <x v="1"/>
    <x v="1"/>
    <x v="548"/>
    <x v="636"/>
    <x v="0"/>
    <x v="0"/>
    <x v="3"/>
    <x v="1"/>
    <x v="0"/>
    <x v="1"/>
    <x v="1"/>
    <x v="1"/>
    <x v="559"/>
    <x v="194"/>
    <x v="2"/>
    <x v="121"/>
    <x v="0"/>
  </r>
  <r>
    <x v="702"/>
    <x v="0"/>
    <x v="0"/>
    <x v="307"/>
    <x v="637"/>
    <x v="2"/>
    <x v="1"/>
    <x v="24"/>
    <x v="1"/>
    <x v="1"/>
    <x v="0"/>
    <x v="0"/>
    <x v="0"/>
    <x v="313"/>
    <x v="53"/>
    <x v="2"/>
    <x v="0"/>
    <x v="1"/>
  </r>
  <r>
    <x v="703"/>
    <x v="0"/>
    <x v="0"/>
    <x v="549"/>
    <x v="123"/>
    <x v="0"/>
    <x v="0"/>
    <x v="37"/>
    <x v="1"/>
    <x v="0"/>
    <x v="1"/>
    <x v="0"/>
    <x v="1"/>
    <x v="560"/>
    <x v="227"/>
    <x v="0"/>
    <x v="0"/>
    <x v="2"/>
  </r>
  <r>
    <x v="704"/>
    <x v="0"/>
    <x v="0"/>
    <x v="494"/>
    <x v="638"/>
    <x v="0"/>
    <x v="0"/>
    <x v="2"/>
    <x v="0"/>
    <x v="0"/>
    <x v="0"/>
    <x v="0"/>
    <x v="0"/>
    <x v="561"/>
    <x v="13"/>
    <x v="0"/>
    <x v="0"/>
    <x v="0"/>
  </r>
  <r>
    <x v="705"/>
    <x v="0"/>
    <x v="2"/>
    <x v="381"/>
    <x v="639"/>
    <x v="0"/>
    <x v="0"/>
    <x v="12"/>
    <x v="1"/>
    <x v="0"/>
    <x v="1"/>
    <x v="0"/>
    <x v="1"/>
    <x v="364"/>
    <x v="19"/>
    <x v="2"/>
    <x v="0"/>
    <x v="0"/>
  </r>
  <r>
    <x v="706"/>
    <x v="1"/>
    <x v="2"/>
    <x v="262"/>
    <x v="640"/>
    <x v="1"/>
    <x v="1"/>
    <x v="33"/>
    <x v="1"/>
    <x v="0"/>
    <x v="1"/>
    <x v="1"/>
    <x v="1"/>
    <x v="562"/>
    <x v="119"/>
    <x v="2"/>
    <x v="0"/>
    <x v="0"/>
  </r>
  <r>
    <x v="707"/>
    <x v="1"/>
    <x v="1"/>
    <x v="550"/>
    <x v="641"/>
    <x v="0"/>
    <x v="0"/>
    <x v="22"/>
    <x v="1"/>
    <x v="0"/>
    <x v="1"/>
    <x v="1"/>
    <x v="1"/>
    <x v="563"/>
    <x v="194"/>
    <x v="2"/>
    <x v="121"/>
    <x v="0"/>
  </r>
  <r>
    <x v="708"/>
    <x v="1"/>
    <x v="1"/>
    <x v="551"/>
    <x v="561"/>
    <x v="2"/>
    <x v="1"/>
    <x v="0"/>
    <x v="1"/>
    <x v="0"/>
    <x v="1"/>
    <x v="1"/>
    <x v="1"/>
    <x v="266"/>
    <x v="139"/>
    <x v="1"/>
    <x v="0"/>
    <x v="0"/>
  </r>
  <r>
    <x v="709"/>
    <x v="1"/>
    <x v="0"/>
    <x v="63"/>
    <x v="642"/>
    <x v="3"/>
    <x v="0"/>
    <x v="4"/>
    <x v="0"/>
    <x v="1"/>
    <x v="3"/>
    <x v="1"/>
    <x v="0"/>
    <x v="64"/>
    <x v="49"/>
    <x v="2"/>
    <x v="0"/>
    <x v="1"/>
  </r>
  <r>
    <x v="710"/>
    <x v="1"/>
    <x v="1"/>
    <x v="552"/>
    <x v="643"/>
    <x v="12"/>
    <x v="2"/>
    <x v="42"/>
    <x v="1"/>
    <x v="0"/>
    <x v="1"/>
    <x v="1"/>
    <x v="1"/>
    <x v="564"/>
    <x v="189"/>
    <x v="2"/>
    <x v="122"/>
    <x v="1"/>
  </r>
  <r>
    <x v="711"/>
    <x v="0"/>
    <x v="1"/>
    <x v="553"/>
    <x v="644"/>
    <x v="0"/>
    <x v="0"/>
    <x v="4"/>
    <x v="1"/>
    <x v="0"/>
    <x v="1"/>
    <x v="0"/>
    <x v="1"/>
    <x v="565"/>
    <x v="11"/>
    <x v="2"/>
    <x v="64"/>
    <x v="0"/>
  </r>
  <r>
    <x v="712"/>
    <x v="1"/>
    <x v="1"/>
    <x v="525"/>
    <x v="645"/>
    <x v="0"/>
    <x v="0"/>
    <x v="76"/>
    <x v="0"/>
    <x v="0"/>
    <x v="0"/>
    <x v="1"/>
    <x v="0"/>
    <x v="537"/>
    <x v="31"/>
    <x v="1"/>
    <x v="113"/>
    <x v="0"/>
  </r>
  <r>
    <x v="713"/>
    <x v="0"/>
    <x v="0"/>
    <x v="203"/>
    <x v="646"/>
    <x v="0"/>
    <x v="0"/>
    <x v="28"/>
    <x v="1"/>
    <x v="0"/>
    <x v="1"/>
    <x v="0"/>
    <x v="1"/>
    <x v="566"/>
    <x v="228"/>
    <x v="0"/>
    <x v="0"/>
    <x v="0"/>
  </r>
  <r>
    <x v="714"/>
    <x v="0"/>
    <x v="2"/>
    <x v="554"/>
    <x v="295"/>
    <x v="0"/>
    <x v="0"/>
    <x v="67"/>
    <x v="1"/>
    <x v="0"/>
    <x v="1"/>
    <x v="0"/>
    <x v="1"/>
    <x v="567"/>
    <x v="16"/>
    <x v="2"/>
    <x v="0"/>
    <x v="0"/>
  </r>
  <r>
    <x v="715"/>
    <x v="0"/>
    <x v="0"/>
    <x v="555"/>
    <x v="647"/>
    <x v="0"/>
    <x v="0"/>
    <x v="19"/>
    <x v="1"/>
    <x v="0"/>
    <x v="1"/>
    <x v="0"/>
    <x v="1"/>
    <x v="568"/>
    <x v="55"/>
    <x v="0"/>
    <x v="16"/>
    <x v="0"/>
  </r>
  <r>
    <x v="716"/>
    <x v="1"/>
    <x v="1"/>
    <x v="556"/>
    <x v="648"/>
    <x v="2"/>
    <x v="1"/>
    <x v="1"/>
    <x v="1"/>
    <x v="0"/>
    <x v="1"/>
    <x v="1"/>
    <x v="1"/>
    <x v="327"/>
    <x v="164"/>
    <x v="1"/>
    <x v="123"/>
    <x v="1"/>
  </r>
  <r>
    <x v="717"/>
    <x v="1"/>
    <x v="2"/>
    <x v="557"/>
    <x v="649"/>
    <x v="2"/>
    <x v="1"/>
    <x v="7"/>
    <x v="1"/>
    <x v="0"/>
    <x v="1"/>
    <x v="1"/>
    <x v="1"/>
    <x v="569"/>
    <x v="29"/>
    <x v="2"/>
    <x v="23"/>
    <x v="0"/>
  </r>
  <r>
    <x v="718"/>
    <x v="0"/>
    <x v="0"/>
    <x v="558"/>
    <x v="650"/>
    <x v="0"/>
    <x v="0"/>
    <x v="4"/>
    <x v="1"/>
    <x v="0"/>
    <x v="1"/>
    <x v="0"/>
    <x v="1"/>
    <x v="570"/>
    <x v="37"/>
    <x v="2"/>
    <x v="0"/>
    <x v="2"/>
  </r>
  <r>
    <x v="719"/>
    <x v="0"/>
    <x v="0"/>
    <x v="8"/>
    <x v="651"/>
    <x v="0"/>
    <x v="0"/>
    <x v="40"/>
    <x v="1"/>
    <x v="0"/>
    <x v="1"/>
    <x v="0"/>
    <x v="1"/>
    <x v="571"/>
    <x v="71"/>
    <x v="0"/>
    <x v="0"/>
    <x v="0"/>
  </r>
  <r>
    <x v="720"/>
    <x v="1"/>
    <x v="2"/>
    <x v="50"/>
    <x v="652"/>
    <x v="2"/>
    <x v="1"/>
    <x v="83"/>
    <x v="1"/>
    <x v="1"/>
    <x v="0"/>
    <x v="1"/>
    <x v="0"/>
    <x v="491"/>
    <x v="213"/>
    <x v="2"/>
    <x v="0"/>
    <x v="0"/>
  </r>
  <r>
    <x v="721"/>
    <x v="0"/>
    <x v="0"/>
    <x v="507"/>
    <x v="653"/>
    <x v="0"/>
    <x v="0"/>
    <x v="34"/>
    <x v="0"/>
    <x v="0"/>
    <x v="0"/>
    <x v="0"/>
    <x v="0"/>
    <x v="572"/>
    <x v="218"/>
    <x v="0"/>
    <x v="0"/>
    <x v="0"/>
  </r>
  <r>
    <x v="722"/>
    <x v="0"/>
    <x v="2"/>
    <x v="559"/>
    <x v="4"/>
    <x v="0"/>
    <x v="0"/>
    <x v="15"/>
    <x v="1"/>
    <x v="0"/>
    <x v="1"/>
    <x v="0"/>
    <x v="1"/>
    <x v="573"/>
    <x v="16"/>
    <x v="2"/>
    <x v="0"/>
    <x v="0"/>
  </r>
  <r>
    <x v="723"/>
    <x v="0"/>
    <x v="2"/>
    <x v="560"/>
    <x v="654"/>
    <x v="0"/>
    <x v="0"/>
    <x v="61"/>
    <x v="1"/>
    <x v="0"/>
    <x v="1"/>
    <x v="0"/>
    <x v="1"/>
    <x v="574"/>
    <x v="16"/>
    <x v="2"/>
    <x v="0"/>
    <x v="0"/>
  </r>
  <r>
    <x v="724"/>
    <x v="1"/>
    <x v="1"/>
    <x v="561"/>
    <x v="655"/>
    <x v="0"/>
    <x v="0"/>
    <x v="7"/>
    <x v="0"/>
    <x v="0"/>
    <x v="0"/>
    <x v="1"/>
    <x v="0"/>
    <x v="575"/>
    <x v="3"/>
    <x v="1"/>
    <x v="124"/>
    <x v="0"/>
  </r>
  <r>
    <x v="725"/>
    <x v="0"/>
    <x v="0"/>
    <x v="335"/>
    <x v="440"/>
    <x v="0"/>
    <x v="0"/>
    <x v="11"/>
    <x v="1"/>
    <x v="0"/>
    <x v="1"/>
    <x v="0"/>
    <x v="1"/>
    <x v="576"/>
    <x v="51"/>
    <x v="0"/>
    <x v="0"/>
    <x v="0"/>
  </r>
  <r>
    <x v="726"/>
    <x v="1"/>
    <x v="2"/>
    <x v="394"/>
    <x v="656"/>
    <x v="1"/>
    <x v="1"/>
    <x v="39"/>
    <x v="2"/>
    <x v="0"/>
    <x v="6"/>
    <x v="1"/>
    <x v="2"/>
    <x v="402"/>
    <x v="35"/>
    <x v="2"/>
    <x v="0"/>
    <x v="0"/>
  </r>
  <r>
    <x v="727"/>
    <x v="1"/>
    <x v="0"/>
    <x v="562"/>
    <x v="657"/>
    <x v="2"/>
    <x v="1"/>
    <x v="4"/>
    <x v="1"/>
    <x v="0"/>
    <x v="1"/>
    <x v="1"/>
    <x v="1"/>
    <x v="577"/>
    <x v="229"/>
    <x v="0"/>
    <x v="0"/>
    <x v="2"/>
  </r>
  <r>
    <x v="728"/>
    <x v="0"/>
    <x v="2"/>
    <x v="563"/>
    <x v="658"/>
    <x v="0"/>
    <x v="0"/>
    <x v="37"/>
    <x v="0"/>
    <x v="0"/>
    <x v="0"/>
    <x v="0"/>
    <x v="0"/>
    <x v="578"/>
    <x v="19"/>
    <x v="2"/>
    <x v="0"/>
    <x v="0"/>
  </r>
  <r>
    <x v="729"/>
    <x v="0"/>
    <x v="0"/>
    <x v="564"/>
    <x v="659"/>
    <x v="2"/>
    <x v="1"/>
    <x v="37"/>
    <x v="0"/>
    <x v="0"/>
    <x v="0"/>
    <x v="0"/>
    <x v="0"/>
    <x v="579"/>
    <x v="2"/>
    <x v="0"/>
    <x v="0"/>
    <x v="0"/>
  </r>
  <r>
    <x v="730"/>
    <x v="1"/>
    <x v="1"/>
    <x v="4"/>
    <x v="660"/>
    <x v="2"/>
    <x v="1"/>
    <x v="28"/>
    <x v="1"/>
    <x v="0"/>
    <x v="1"/>
    <x v="1"/>
    <x v="1"/>
    <x v="550"/>
    <x v="224"/>
    <x v="1"/>
    <x v="117"/>
    <x v="0"/>
  </r>
  <r>
    <x v="731"/>
    <x v="0"/>
    <x v="0"/>
    <x v="565"/>
    <x v="661"/>
    <x v="0"/>
    <x v="0"/>
    <x v="32"/>
    <x v="1"/>
    <x v="0"/>
    <x v="1"/>
    <x v="0"/>
    <x v="1"/>
    <x v="185"/>
    <x v="112"/>
    <x v="2"/>
    <x v="0"/>
    <x v="1"/>
  </r>
  <r>
    <x v="732"/>
    <x v="0"/>
    <x v="2"/>
    <x v="566"/>
    <x v="662"/>
    <x v="0"/>
    <x v="0"/>
    <x v="4"/>
    <x v="1"/>
    <x v="0"/>
    <x v="1"/>
    <x v="0"/>
    <x v="1"/>
    <x v="580"/>
    <x v="104"/>
    <x v="0"/>
    <x v="0"/>
    <x v="0"/>
  </r>
  <r>
    <x v="733"/>
    <x v="0"/>
    <x v="2"/>
    <x v="567"/>
    <x v="44"/>
    <x v="0"/>
    <x v="0"/>
    <x v="41"/>
    <x v="1"/>
    <x v="0"/>
    <x v="1"/>
    <x v="0"/>
    <x v="1"/>
    <x v="581"/>
    <x v="16"/>
    <x v="2"/>
    <x v="0"/>
    <x v="0"/>
  </r>
  <r>
    <x v="734"/>
    <x v="0"/>
    <x v="2"/>
    <x v="568"/>
    <x v="663"/>
    <x v="0"/>
    <x v="0"/>
    <x v="41"/>
    <x v="1"/>
    <x v="0"/>
    <x v="1"/>
    <x v="0"/>
    <x v="1"/>
    <x v="582"/>
    <x v="16"/>
    <x v="2"/>
    <x v="0"/>
    <x v="0"/>
  </r>
  <r>
    <x v="735"/>
    <x v="0"/>
    <x v="0"/>
    <x v="17"/>
    <x v="664"/>
    <x v="0"/>
    <x v="0"/>
    <x v="30"/>
    <x v="1"/>
    <x v="0"/>
    <x v="1"/>
    <x v="0"/>
    <x v="1"/>
    <x v="508"/>
    <x v="95"/>
    <x v="2"/>
    <x v="0"/>
    <x v="0"/>
  </r>
  <r>
    <x v="736"/>
    <x v="0"/>
    <x v="0"/>
    <x v="82"/>
    <x v="665"/>
    <x v="1"/>
    <x v="1"/>
    <x v="76"/>
    <x v="0"/>
    <x v="4"/>
    <x v="2"/>
    <x v="0"/>
    <x v="2"/>
    <x v="84"/>
    <x v="63"/>
    <x v="2"/>
    <x v="0"/>
    <x v="0"/>
  </r>
  <r>
    <x v="737"/>
    <x v="1"/>
    <x v="1"/>
    <x v="569"/>
    <x v="666"/>
    <x v="0"/>
    <x v="0"/>
    <x v="3"/>
    <x v="1"/>
    <x v="0"/>
    <x v="1"/>
    <x v="1"/>
    <x v="1"/>
    <x v="231"/>
    <x v="127"/>
    <x v="1"/>
    <x v="125"/>
    <x v="1"/>
  </r>
  <r>
    <x v="738"/>
    <x v="0"/>
    <x v="0"/>
    <x v="570"/>
    <x v="667"/>
    <x v="0"/>
    <x v="0"/>
    <x v="4"/>
    <x v="1"/>
    <x v="0"/>
    <x v="1"/>
    <x v="0"/>
    <x v="1"/>
    <x v="583"/>
    <x v="25"/>
    <x v="0"/>
    <x v="0"/>
    <x v="0"/>
  </r>
  <r>
    <x v="739"/>
    <x v="0"/>
    <x v="0"/>
    <x v="571"/>
    <x v="668"/>
    <x v="0"/>
    <x v="0"/>
    <x v="4"/>
    <x v="1"/>
    <x v="0"/>
    <x v="1"/>
    <x v="0"/>
    <x v="1"/>
    <x v="584"/>
    <x v="25"/>
    <x v="0"/>
    <x v="0"/>
    <x v="0"/>
  </r>
  <r>
    <x v="740"/>
    <x v="1"/>
    <x v="1"/>
    <x v="572"/>
    <x v="669"/>
    <x v="0"/>
    <x v="0"/>
    <x v="4"/>
    <x v="1"/>
    <x v="0"/>
    <x v="1"/>
    <x v="1"/>
    <x v="1"/>
    <x v="585"/>
    <x v="209"/>
    <x v="2"/>
    <x v="126"/>
    <x v="0"/>
  </r>
  <r>
    <x v="741"/>
    <x v="0"/>
    <x v="1"/>
    <x v="573"/>
    <x v="670"/>
    <x v="0"/>
    <x v="0"/>
    <x v="62"/>
    <x v="0"/>
    <x v="0"/>
    <x v="0"/>
    <x v="0"/>
    <x v="0"/>
    <x v="259"/>
    <x v="135"/>
    <x v="1"/>
    <x v="127"/>
    <x v="0"/>
  </r>
  <r>
    <x v="742"/>
    <x v="1"/>
    <x v="1"/>
    <x v="270"/>
    <x v="671"/>
    <x v="2"/>
    <x v="1"/>
    <x v="23"/>
    <x v="4"/>
    <x v="2"/>
    <x v="2"/>
    <x v="1"/>
    <x v="2"/>
    <x v="277"/>
    <x v="148"/>
    <x v="1"/>
    <x v="59"/>
    <x v="1"/>
  </r>
  <r>
    <x v="743"/>
    <x v="0"/>
    <x v="0"/>
    <x v="574"/>
    <x v="672"/>
    <x v="0"/>
    <x v="0"/>
    <x v="42"/>
    <x v="0"/>
    <x v="0"/>
    <x v="0"/>
    <x v="0"/>
    <x v="0"/>
    <x v="586"/>
    <x v="95"/>
    <x v="2"/>
    <x v="0"/>
    <x v="0"/>
  </r>
  <r>
    <x v="744"/>
    <x v="1"/>
    <x v="0"/>
    <x v="575"/>
    <x v="364"/>
    <x v="0"/>
    <x v="0"/>
    <x v="14"/>
    <x v="1"/>
    <x v="0"/>
    <x v="1"/>
    <x v="1"/>
    <x v="1"/>
    <x v="587"/>
    <x v="2"/>
    <x v="0"/>
    <x v="0"/>
    <x v="0"/>
  </r>
  <r>
    <x v="745"/>
    <x v="0"/>
    <x v="1"/>
    <x v="440"/>
    <x v="673"/>
    <x v="14"/>
    <x v="2"/>
    <x v="81"/>
    <x v="0"/>
    <x v="1"/>
    <x v="3"/>
    <x v="0"/>
    <x v="0"/>
    <x v="451"/>
    <x v="202"/>
    <x v="1"/>
    <x v="95"/>
    <x v="0"/>
  </r>
  <r>
    <x v="746"/>
    <x v="0"/>
    <x v="0"/>
    <x v="243"/>
    <x v="674"/>
    <x v="0"/>
    <x v="0"/>
    <x v="36"/>
    <x v="0"/>
    <x v="1"/>
    <x v="3"/>
    <x v="0"/>
    <x v="0"/>
    <x v="248"/>
    <x v="134"/>
    <x v="2"/>
    <x v="0"/>
    <x v="0"/>
  </r>
  <r>
    <x v="747"/>
    <x v="1"/>
    <x v="2"/>
    <x v="576"/>
    <x v="125"/>
    <x v="2"/>
    <x v="1"/>
    <x v="39"/>
    <x v="1"/>
    <x v="0"/>
    <x v="1"/>
    <x v="1"/>
    <x v="1"/>
    <x v="588"/>
    <x v="16"/>
    <x v="2"/>
    <x v="0"/>
    <x v="0"/>
  </r>
  <r>
    <x v="748"/>
    <x v="0"/>
    <x v="1"/>
    <x v="577"/>
    <x v="675"/>
    <x v="0"/>
    <x v="0"/>
    <x v="19"/>
    <x v="0"/>
    <x v="0"/>
    <x v="0"/>
    <x v="0"/>
    <x v="0"/>
    <x v="589"/>
    <x v="3"/>
    <x v="1"/>
    <x v="128"/>
    <x v="0"/>
  </r>
  <r>
    <x v="749"/>
    <x v="0"/>
    <x v="0"/>
    <x v="578"/>
    <x v="650"/>
    <x v="0"/>
    <x v="0"/>
    <x v="14"/>
    <x v="1"/>
    <x v="0"/>
    <x v="1"/>
    <x v="0"/>
    <x v="1"/>
    <x v="590"/>
    <x v="28"/>
    <x v="0"/>
    <x v="0"/>
    <x v="2"/>
  </r>
  <r>
    <x v="750"/>
    <x v="1"/>
    <x v="2"/>
    <x v="579"/>
    <x v="676"/>
    <x v="2"/>
    <x v="1"/>
    <x v="9"/>
    <x v="0"/>
    <x v="1"/>
    <x v="3"/>
    <x v="1"/>
    <x v="0"/>
    <x v="591"/>
    <x v="68"/>
    <x v="2"/>
    <x v="0"/>
    <x v="0"/>
  </r>
  <r>
    <x v="751"/>
    <x v="1"/>
    <x v="0"/>
    <x v="580"/>
    <x v="677"/>
    <x v="3"/>
    <x v="0"/>
    <x v="83"/>
    <x v="1"/>
    <x v="1"/>
    <x v="0"/>
    <x v="1"/>
    <x v="0"/>
    <x v="592"/>
    <x v="57"/>
    <x v="2"/>
    <x v="129"/>
    <x v="0"/>
  </r>
  <r>
    <x v="752"/>
    <x v="0"/>
    <x v="0"/>
    <x v="581"/>
    <x v="678"/>
    <x v="0"/>
    <x v="0"/>
    <x v="40"/>
    <x v="1"/>
    <x v="0"/>
    <x v="1"/>
    <x v="0"/>
    <x v="1"/>
    <x v="593"/>
    <x v="59"/>
    <x v="0"/>
    <x v="0"/>
    <x v="0"/>
  </r>
  <r>
    <x v="753"/>
    <x v="0"/>
    <x v="0"/>
    <x v="582"/>
    <x v="28"/>
    <x v="0"/>
    <x v="0"/>
    <x v="41"/>
    <x v="1"/>
    <x v="0"/>
    <x v="1"/>
    <x v="0"/>
    <x v="1"/>
    <x v="594"/>
    <x v="25"/>
    <x v="0"/>
    <x v="0"/>
    <x v="0"/>
  </r>
  <r>
    <x v="754"/>
    <x v="1"/>
    <x v="2"/>
    <x v="490"/>
    <x v="679"/>
    <x v="1"/>
    <x v="1"/>
    <x v="76"/>
    <x v="0"/>
    <x v="2"/>
    <x v="6"/>
    <x v="1"/>
    <x v="2"/>
    <x v="503"/>
    <x v="216"/>
    <x v="1"/>
    <x v="0"/>
    <x v="0"/>
  </r>
  <r>
    <x v="755"/>
    <x v="1"/>
    <x v="2"/>
    <x v="216"/>
    <x v="680"/>
    <x v="3"/>
    <x v="0"/>
    <x v="84"/>
    <x v="0"/>
    <x v="1"/>
    <x v="3"/>
    <x v="1"/>
    <x v="0"/>
    <x v="221"/>
    <x v="80"/>
    <x v="2"/>
    <x v="0"/>
    <x v="0"/>
  </r>
  <r>
    <x v="756"/>
    <x v="0"/>
    <x v="0"/>
    <x v="583"/>
    <x v="681"/>
    <x v="0"/>
    <x v="0"/>
    <x v="17"/>
    <x v="1"/>
    <x v="0"/>
    <x v="1"/>
    <x v="0"/>
    <x v="1"/>
    <x v="595"/>
    <x v="88"/>
    <x v="0"/>
    <x v="0"/>
    <x v="0"/>
  </r>
  <r>
    <x v="757"/>
    <x v="0"/>
    <x v="2"/>
    <x v="584"/>
    <x v="682"/>
    <x v="0"/>
    <x v="0"/>
    <x v="24"/>
    <x v="1"/>
    <x v="0"/>
    <x v="1"/>
    <x v="0"/>
    <x v="1"/>
    <x v="596"/>
    <x v="86"/>
    <x v="2"/>
    <x v="0"/>
    <x v="0"/>
  </r>
  <r>
    <x v="758"/>
    <x v="0"/>
    <x v="0"/>
    <x v="585"/>
    <x v="683"/>
    <x v="0"/>
    <x v="0"/>
    <x v="15"/>
    <x v="1"/>
    <x v="0"/>
    <x v="1"/>
    <x v="0"/>
    <x v="1"/>
    <x v="597"/>
    <x v="4"/>
    <x v="0"/>
    <x v="0"/>
    <x v="0"/>
  </r>
  <r>
    <x v="759"/>
    <x v="1"/>
    <x v="1"/>
    <x v="586"/>
    <x v="684"/>
    <x v="15"/>
    <x v="2"/>
    <x v="40"/>
    <x v="1"/>
    <x v="0"/>
    <x v="1"/>
    <x v="1"/>
    <x v="1"/>
    <x v="230"/>
    <x v="126"/>
    <x v="1"/>
    <x v="44"/>
    <x v="0"/>
  </r>
  <r>
    <x v="760"/>
    <x v="0"/>
    <x v="0"/>
    <x v="587"/>
    <x v="184"/>
    <x v="0"/>
    <x v="0"/>
    <x v="4"/>
    <x v="1"/>
    <x v="0"/>
    <x v="1"/>
    <x v="0"/>
    <x v="1"/>
    <x v="476"/>
    <x v="80"/>
    <x v="2"/>
    <x v="0"/>
    <x v="0"/>
  </r>
  <r>
    <x v="761"/>
    <x v="0"/>
    <x v="0"/>
    <x v="588"/>
    <x v="685"/>
    <x v="0"/>
    <x v="0"/>
    <x v="66"/>
    <x v="1"/>
    <x v="0"/>
    <x v="1"/>
    <x v="0"/>
    <x v="1"/>
    <x v="598"/>
    <x v="123"/>
    <x v="0"/>
    <x v="0"/>
    <x v="0"/>
  </r>
  <r>
    <x v="762"/>
    <x v="1"/>
    <x v="0"/>
    <x v="589"/>
    <x v="686"/>
    <x v="0"/>
    <x v="0"/>
    <x v="11"/>
    <x v="1"/>
    <x v="0"/>
    <x v="1"/>
    <x v="1"/>
    <x v="1"/>
    <x v="599"/>
    <x v="32"/>
    <x v="0"/>
    <x v="0"/>
    <x v="1"/>
  </r>
  <r>
    <x v="763"/>
    <x v="1"/>
    <x v="1"/>
    <x v="218"/>
    <x v="687"/>
    <x v="1"/>
    <x v="1"/>
    <x v="62"/>
    <x v="0"/>
    <x v="2"/>
    <x v="6"/>
    <x v="1"/>
    <x v="2"/>
    <x v="334"/>
    <x v="168"/>
    <x v="1"/>
    <x v="73"/>
    <x v="0"/>
  </r>
  <r>
    <x v="764"/>
    <x v="0"/>
    <x v="0"/>
    <x v="590"/>
    <x v="688"/>
    <x v="0"/>
    <x v="0"/>
    <x v="36"/>
    <x v="1"/>
    <x v="0"/>
    <x v="1"/>
    <x v="0"/>
    <x v="1"/>
    <x v="600"/>
    <x v="71"/>
    <x v="0"/>
    <x v="0"/>
    <x v="0"/>
  </r>
  <r>
    <x v="765"/>
    <x v="1"/>
    <x v="1"/>
    <x v="591"/>
    <x v="689"/>
    <x v="1"/>
    <x v="1"/>
    <x v="54"/>
    <x v="0"/>
    <x v="0"/>
    <x v="0"/>
    <x v="1"/>
    <x v="0"/>
    <x v="245"/>
    <x v="133"/>
    <x v="1"/>
    <x v="130"/>
    <x v="0"/>
  </r>
  <r>
    <x v="766"/>
    <x v="0"/>
    <x v="1"/>
    <x v="592"/>
    <x v="690"/>
    <x v="6"/>
    <x v="0"/>
    <x v="4"/>
    <x v="1"/>
    <x v="0"/>
    <x v="1"/>
    <x v="0"/>
    <x v="1"/>
    <x v="601"/>
    <x v="205"/>
    <x v="2"/>
    <x v="0"/>
    <x v="1"/>
  </r>
  <r>
    <x v="767"/>
    <x v="0"/>
    <x v="0"/>
    <x v="593"/>
    <x v="344"/>
    <x v="2"/>
    <x v="1"/>
    <x v="85"/>
    <x v="1"/>
    <x v="0"/>
    <x v="1"/>
    <x v="0"/>
    <x v="1"/>
    <x v="602"/>
    <x v="28"/>
    <x v="0"/>
    <x v="0"/>
    <x v="2"/>
  </r>
  <r>
    <x v="768"/>
    <x v="0"/>
    <x v="0"/>
    <x v="5"/>
    <x v="691"/>
    <x v="0"/>
    <x v="0"/>
    <x v="4"/>
    <x v="0"/>
    <x v="0"/>
    <x v="0"/>
    <x v="0"/>
    <x v="0"/>
    <x v="106"/>
    <x v="72"/>
    <x v="2"/>
    <x v="0"/>
    <x v="2"/>
  </r>
  <r>
    <x v="769"/>
    <x v="0"/>
    <x v="0"/>
    <x v="594"/>
    <x v="692"/>
    <x v="0"/>
    <x v="0"/>
    <x v="35"/>
    <x v="1"/>
    <x v="0"/>
    <x v="1"/>
    <x v="0"/>
    <x v="1"/>
    <x v="603"/>
    <x v="230"/>
    <x v="0"/>
    <x v="0"/>
    <x v="0"/>
  </r>
  <r>
    <x v="770"/>
    <x v="0"/>
    <x v="0"/>
    <x v="595"/>
    <x v="693"/>
    <x v="0"/>
    <x v="0"/>
    <x v="42"/>
    <x v="1"/>
    <x v="0"/>
    <x v="1"/>
    <x v="0"/>
    <x v="1"/>
    <x v="604"/>
    <x v="59"/>
    <x v="0"/>
    <x v="0"/>
    <x v="0"/>
  </r>
  <r>
    <x v="771"/>
    <x v="0"/>
    <x v="0"/>
    <x v="507"/>
    <x v="694"/>
    <x v="0"/>
    <x v="0"/>
    <x v="76"/>
    <x v="1"/>
    <x v="0"/>
    <x v="1"/>
    <x v="0"/>
    <x v="1"/>
    <x v="605"/>
    <x v="13"/>
    <x v="0"/>
    <x v="0"/>
    <x v="0"/>
  </r>
  <r>
    <x v="772"/>
    <x v="0"/>
    <x v="2"/>
    <x v="596"/>
    <x v="695"/>
    <x v="1"/>
    <x v="1"/>
    <x v="79"/>
    <x v="1"/>
    <x v="0"/>
    <x v="1"/>
    <x v="0"/>
    <x v="1"/>
    <x v="606"/>
    <x v="29"/>
    <x v="2"/>
    <x v="131"/>
    <x v="0"/>
  </r>
  <r>
    <x v="773"/>
    <x v="0"/>
    <x v="0"/>
    <x v="299"/>
    <x v="696"/>
    <x v="0"/>
    <x v="0"/>
    <x v="4"/>
    <x v="1"/>
    <x v="0"/>
    <x v="1"/>
    <x v="0"/>
    <x v="1"/>
    <x v="607"/>
    <x v="18"/>
    <x v="0"/>
    <x v="0"/>
    <x v="1"/>
  </r>
  <r>
    <x v="774"/>
    <x v="1"/>
    <x v="2"/>
    <x v="434"/>
    <x v="697"/>
    <x v="1"/>
    <x v="1"/>
    <x v="5"/>
    <x v="0"/>
    <x v="4"/>
    <x v="2"/>
    <x v="1"/>
    <x v="2"/>
    <x v="608"/>
    <x v="68"/>
    <x v="2"/>
    <x v="0"/>
    <x v="0"/>
  </r>
  <r>
    <x v="775"/>
    <x v="0"/>
    <x v="0"/>
    <x v="597"/>
    <x v="698"/>
    <x v="0"/>
    <x v="0"/>
    <x v="24"/>
    <x v="1"/>
    <x v="0"/>
    <x v="1"/>
    <x v="0"/>
    <x v="1"/>
    <x v="609"/>
    <x v="28"/>
    <x v="0"/>
    <x v="0"/>
    <x v="0"/>
  </r>
  <r>
    <x v="776"/>
    <x v="0"/>
    <x v="0"/>
    <x v="598"/>
    <x v="699"/>
    <x v="0"/>
    <x v="0"/>
    <x v="4"/>
    <x v="1"/>
    <x v="0"/>
    <x v="1"/>
    <x v="0"/>
    <x v="1"/>
    <x v="610"/>
    <x v="28"/>
    <x v="0"/>
    <x v="132"/>
    <x v="2"/>
  </r>
  <r>
    <x v="777"/>
    <x v="1"/>
    <x v="0"/>
    <x v="599"/>
    <x v="700"/>
    <x v="2"/>
    <x v="1"/>
    <x v="31"/>
    <x v="1"/>
    <x v="0"/>
    <x v="1"/>
    <x v="1"/>
    <x v="1"/>
    <x v="77"/>
    <x v="57"/>
    <x v="2"/>
    <x v="0"/>
    <x v="0"/>
  </r>
  <r>
    <x v="778"/>
    <x v="0"/>
    <x v="0"/>
    <x v="600"/>
    <x v="701"/>
    <x v="0"/>
    <x v="0"/>
    <x v="4"/>
    <x v="1"/>
    <x v="0"/>
    <x v="1"/>
    <x v="0"/>
    <x v="1"/>
    <x v="611"/>
    <x v="229"/>
    <x v="0"/>
    <x v="0"/>
    <x v="2"/>
  </r>
  <r>
    <x v="779"/>
    <x v="1"/>
    <x v="1"/>
    <x v="601"/>
    <x v="702"/>
    <x v="1"/>
    <x v="1"/>
    <x v="71"/>
    <x v="1"/>
    <x v="1"/>
    <x v="0"/>
    <x v="1"/>
    <x v="0"/>
    <x v="550"/>
    <x v="224"/>
    <x v="1"/>
    <x v="133"/>
    <x v="0"/>
  </r>
  <r>
    <x v="780"/>
    <x v="1"/>
    <x v="0"/>
    <x v="602"/>
    <x v="703"/>
    <x v="2"/>
    <x v="1"/>
    <x v="75"/>
    <x v="1"/>
    <x v="0"/>
    <x v="1"/>
    <x v="1"/>
    <x v="1"/>
    <x v="612"/>
    <x v="32"/>
    <x v="0"/>
    <x v="0"/>
    <x v="1"/>
  </r>
  <r>
    <x v="781"/>
    <x v="1"/>
    <x v="1"/>
    <x v="540"/>
    <x v="704"/>
    <x v="1"/>
    <x v="1"/>
    <x v="34"/>
    <x v="0"/>
    <x v="0"/>
    <x v="0"/>
    <x v="1"/>
    <x v="0"/>
    <x v="551"/>
    <x v="225"/>
    <x v="1"/>
    <x v="118"/>
    <x v="0"/>
  </r>
  <r>
    <x v="782"/>
    <x v="0"/>
    <x v="1"/>
    <x v="603"/>
    <x v="705"/>
    <x v="0"/>
    <x v="0"/>
    <x v="28"/>
    <x v="1"/>
    <x v="0"/>
    <x v="1"/>
    <x v="0"/>
    <x v="1"/>
    <x v="613"/>
    <x v="209"/>
    <x v="2"/>
    <x v="134"/>
    <x v="0"/>
  </r>
  <r>
    <x v="783"/>
    <x v="0"/>
    <x v="0"/>
    <x v="604"/>
    <x v="706"/>
    <x v="0"/>
    <x v="0"/>
    <x v="4"/>
    <x v="0"/>
    <x v="2"/>
    <x v="6"/>
    <x v="0"/>
    <x v="2"/>
    <x v="614"/>
    <x v="231"/>
    <x v="2"/>
    <x v="0"/>
    <x v="0"/>
  </r>
  <r>
    <x v="784"/>
    <x v="0"/>
    <x v="0"/>
    <x v="185"/>
    <x v="187"/>
    <x v="0"/>
    <x v="0"/>
    <x v="37"/>
    <x v="1"/>
    <x v="0"/>
    <x v="1"/>
    <x v="0"/>
    <x v="1"/>
    <x v="615"/>
    <x v="79"/>
    <x v="0"/>
    <x v="0"/>
    <x v="0"/>
  </r>
  <r>
    <x v="785"/>
    <x v="0"/>
    <x v="0"/>
    <x v="605"/>
    <x v="707"/>
    <x v="0"/>
    <x v="0"/>
    <x v="37"/>
    <x v="1"/>
    <x v="0"/>
    <x v="1"/>
    <x v="0"/>
    <x v="1"/>
    <x v="616"/>
    <x v="0"/>
    <x v="0"/>
    <x v="0"/>
    <x v="0"/>
  </r>
  <r>
    <x v="786"/>
    <x v="1"/>
    <x v="0"/>
    <x v="606"/>
    <x v="138"/>
    <x v="2"/>
    <x v="1"/>
    <x v="24"/>
    <x v="1"/>
    <x v="0"/>
    <x v="1"/>
    <x v="1"/>
    <x v="1"/>
    <x v="617"/>
    <x v="196"/>
    <x v="0"/>
    <x v="0"/>
    <x v="0"/>
  </r>
  <r>
    <x v="787"/>
    <x v="0"/>
    <x v="0"/>
    <x v="16"/>
    <x v="708"/>
    <x v="3"/>
    <x v="0"/>
    <x v="18"/>
    <x v="3"/>
    <x v="1"/>
    <x v="5"/>
    <x v="0"/>
    <x v="2"/>
    <x v="16"/>
    <x v="15"/>
    <x v="2"/>
    <x v="0"/>
    <x v="2"/>
  </r>
  <r>
    <x v="788"/>
    <x v="1"/>
    <x v="0"/>
    <x v="88"/>
    <x v="709"/>
    <x v="3"/>
    <x v="0"/>
    <x v="58"/>
    <x v="0"/>
    <x v="2"/>
    <x v="6"/>
    <x v="1"/>
    <x v="2"/>
    <x v="90"/>
    <x v="65"/>
    <x v="2"/>
    <x v="0"/>
    <x v="0"/>
  </r>
  <r>
    <x v="789"/>
    <x v="0"/>
    <x v="1"/>
    <x v="607"/>
    <x v="301"/>
    <x v="0"/>
    <x v="0"/>
    <x v="43"/>
    <x v="1"/>
    <x v="0"/>
    <x v="1"/>
    <x v="0"/>
    <x v="1"/>
    <x v="129"/>
    <x v="84"/>
    <x v="1"/>
    <x v="135"/>
    <x v="1"/>
  </r>
  <r>
    <x v="790"/>
    <x v="0"/>
    <x v="0"/>
    <x v="264"/>
    <x v="710"/>
    <x v="0"/>
    <x v="0"/>
    <x v="4"/>
    <x v="1"/>
    <x v="0"/>
    <x v="1"/>
    <x v="0"/>
    <x v="1"/>
    <x v="618"/>
    <x v="28"/>
    <x v="0"/>
    <x v="0"/>
    <x v="2"/>
  </r>
  <r>
    <x v="791"/>
    <x v="0"/>
    <x v="2"/>
    <x v="608"/>
    <x v="378"/>
    <x v="0"/>
    <x v="0"/>
    <x v="36"/>
    <x v="1"/>
    <x v="0"/>
    <x v="1"/>
    <x v="0"/>
    <x v="1"/>
    <x v="20"/>
    <x v="19"/>
    <x v="2"/>
    <x v="0"/>
    <x v="0"/>
  </r>
  <r>
    <x v="792"/>
    <x v="0"/>
    <x v="0"/>
    <x v="144"/>
    <x v="711"/>
    <x v="2"/>
    <x v="1"/>
    <x v="4"/>
    <x v="6"/>
    <x v="2"/>
    <x v="8"/>
    <x v="0"/>
    <x v="2"/>
    <x v="148"/>
    <x v="94"/>
    <x v="1"/>
    <x v="0"/>
    <x v="0"/>
  </r>
  <r>
    <x v="793"/>
    <x v="0"/>
    <x v="1"/>
    <x v="198"/>
    <x v="712"/>
    <x v="0"/>
    <x v="0"/>
    <x v="4"/>
    <x v="1"/>
    <x v="0"/>
    <x v="1"/>
    <x v="0"/>
    <x v="1"/>
    <x v="619"/>
    <x v="101"/>
    <x v="2"/>
    <x v="0"/>
    <x v="1"/>
  </r>
  <r>
    <x v="794"/>
    <x v="0"/>
    <x v="0"/>
    <x v="609"/>
    <x v="713"/>
    <x v="0"/>
    <x v="0"/>
    <x v="37"/>
    <x v="1"/>
    <x v="0"/>
    <x v="1"/>
    <x v="0"/>
    <x v="1"/>
    <x v="620"/>
    <x v="25"/>
    <x v="0"/>
    <x v="0"/>
    <x v="0"/>
  </r>
  <r>
    <x v="795"/>
    <x v="0"/>
    <x v="2"/>
    <x v="610"/>
    <x v="714"/>
    <x v="0"/>
    <x v="0"/>
    <x v="12"/>
    <x v="1"/>
    <x v="0"/>
    <x v="1"/>
    <x v="0"/>
    <x v="1"/>
    <x v="621"/>
    <x v="16"/>
    <x v="2"/>
    <x v="0"/>
    <x v="0"/>
  </r>
  <r>
    <x v="796"/>
    <x v="1"/>
    <x v="1"/>
    <x v="611"/>
    <x v="715"/>
    <x v="6"/>
    <x v="0"/>
    <x v="27"/>
    <x v="1"/>
    <x v="0"/>
    <x v="1"/>
    <x v="1"/>
    <x v="1"/>
    <x v="622"/>
    <x v="232"/>
    <x v="2"/>
    <x v="136"/>
    <x v="0"/>
  </r>
  <r>
    <x v="797"/>
    <x v="1"/>
    <x v="0"/>
    <x v="612"/>
    <x v="716"/>
    <x v="1"/>
    <x v="1"/>
    <x v="14"/>
    <x v="1"/>
    <x v="0"/>
    <x v="1"/>
    <x v="1"/>
    <x v="1"/>
    <x v="623"/>
    <x v="233"/>
    <x v="0"/>
    <x v="0"/>
    <x v="0"/>
  </r>
  <r>
    <x v="798"/>
    <x v="0"/>
    <x v="0"/>
    <x v="613"/>
    <x v="717"/>
    <x v="0"/>
    <x v="0"/>
    <x v="39"/>
    <x v="1"/>
    <x v="0"/>
    <x v="1"/>
    <x v="0"/>
    <x v="1"/>
    <x v="624"/>
    <x v="32"/>
    <x v="0"/>
    <x v="0"/>
    <x v="1"/>
  </r>
  <r>
    <x v="799"/>
    <x v="0"/>
    <x v="0"/>
    <x v="347"/>
    <x v="718"/>
    <x v="1"/>
    <x v="1"/>
    <x v="39"/>
    <x v="0"/>
    <x v="1"/>
    <x v="3"/>
    <x v="0"/>
    <x v="0"/>
    <x v="357"/>
    <x v="72"/>
    <x v="2"/>
    <x v="0"/>
    <x v="0"/>
  </r>
  <r>
    <x v="800"/>
    <x v="0"/>
    <x v="2"/>
    <x v="614"/>
    <x v="123"/>
    <x v="0"/>
    <x v="0"/>
    <x v="15"/>
    <x v="1"/>
    <x v="0"/>
    <x v="1"/>
    <x v="0"/>
    <x v="1"/>
    <x v="567"/>
    <x v="16"/>
    <x v="2"/>
    <x v="0"/>
    <x v="0"/>
  </r>
  <r>
    <x v="801"/>
    <x v="1"/>
    <x v="2"/>
    <x v="208"/>
    <x v="719"/>
    <x v="1"/>
    <x v="1"/>
    <x v="14"/>
    <x v="0"/>
    <x v="1"/>
    <x v="3"/>
    <x v="1"/>
    <x v="0"/>
    <x v="212"/>
    <x v="121"/>
    <x v="2"/>
    <x v="0"/>
    <x v="0"/>
  </r>
  <r>
    <x v="802"/>
    <x v="1"/>
    <x v="1"/>
    <x v="218"/>
    <x v="720"/>
    <x v="3"/>
    <x v="0"/>
    <x v="32"/>
    <x v="0"/>
    <x v="2"/>
    <x v="6"/>
    <x v="1"/>
    <x v="2"/>
    <x v="334"/>
    <x v="168"/>
    <x v="1"/>
    <x v="73"/>
    <x v="0"/>
  </r>
  <r>
    <x v="803"/>
    <x v="1"/>
    <x v="0"/>
    <x v="615"/>
    <x v="721"/>
    <x v="3"/>
    <x v="0"/>
    <x v="86"/>
    <x v="1"/>
    <x v="1"/>
    <x v="0"/>
    <x v="1"/>
    <x v="0"/>
    <x v="625"/>
    <x v="234"/>
    <x v="0"/>
    <x v="0"/>
    <x v="1"/>
  </r>
  <r>
    <x v="804"/>
    <x v="1"/>
    <x v="0"/>
    <x v="616"/>
    <x v="722"/>
    <x v="0"/>
    <x v="0"/>
    <x v="7"/>
    <x v="1"/>
    <x v="0"/>
    <x v="1"/>
    <x v="1"/>
    <x v="1"/>
    <x v="626"/>
    <x v="78"/>
    <x v="0"/>
    <x v="0"/>
    <x v="0"/>
  </r>
  <r>
    <x v="805"/>
    <x v="0"/>
    <x v="0"/>
    <x v="98"/>
    <x v="723"/>
    <x v="0"/>
    <x v="0"/>
    <x v="14"/>
    <x v="1"/>
    <x v="0"/>
    <x v="1"/>
    <x v="0"/>
    <x v="1"/>
    <x v="627"/>
    <x v="71"/>
    <x v="0"/>
    <x v="0"/>
    <x v="0"/>
  </r>
  <r>
    <x v="806"/>
    <x v="0"/>
    <x v="1"/>
    <x v="240"/>
    <x v="724"/>
    <x v="0"/>
    <x v="0"/>
    <x v="12"/>
    <x v="1"/>
    <x v="0"/>
    <x v="1"/>
    <x v="0"/>
    <x v="1"/>
    <x v="628"/>
    <x v="104"/>
    <x v="0"/>
    <x v="137"/>
    <x v="0"/>
  </r>
  <r>
    <x v="807"/>
    <x v="0"/>
    <x v="0"/>
    <x v="617"/>
    <x v="725"/>
    <x v="2"/>
    <x v="1"/>
    <x v="24"/>
    <x v="1"/>
    <x v="0"/>
    <x v="1"/>
    <x v="0"/>
    <x v="1"/>
    <x v="629"/>
    <x v="71"/>
    <x v="0"/>
    <x v="0"/>
    <x v="0"/>
  </r>
  <r>
    <x v="808"/>
    <x v="0"/>
    <x v="2"/>
    <x v="33"/>
    <x v="726"/>
    <x v="0"/>
    <x v="0"/>
    <x v="12"/>
    <x v="1"/>
    <x v="0"/>
    <x v="1"/>
    <x v="0"/>
    <x v="1"/>
    <x v="630"/>
    <x v="16"/>
    <x v="2"/>
    <x v="0"/>
    <x v="0"/>
  </r>
  <r>
    <x v="809"/>
    <x v="1"/>
    <x v="1"/>
    <x v="561"/>
    <x v="727"/>
    <x v="1"/>
    <x v="1"/>
    <x v="40"/>
    <x v="0"/>
    <x v="0"/>
    <x v="0"/>
    <x v="1"/>
    <x v="0"/>
    <x v="575"/>
    <x v="3"/>
    <x v="1"/>
    <x v="124"/>
    <x v="0"/>
  </r>
  <r>
    <x v="810"/>
    <x v="0"/>
    <x v="0"/>
    <x v="618"/>
    <x v="187"/>
    <x v="0"/>
    <x v="0"/>
    <x v="2"/>
    <x v="1"/>
    <x v="0"/>
    <x v="1"/>
    <x v="0"/>
    <x v="1"/>
    <x v="631"/>
    <x v="235"/>
    <x v="0"/>
    <x v="0"/>
    <x v="0"/>
  </r>
  <r>
    <x v="811"/>
    <x v="0"/>
    <x v="0"/>
    <x v="619"/>
    <x v="5"/>
    <x v="0"/>
    <x v="0"/>
    <x v="12"/>
    <x v="1"/>
    <x v="0"/>
    <x v="1"/>
    <x v="0"/>
    <x v="1"/>
    <x v="467"/>
    <x v="72"/>
    <x v="2"/>
    <x v="0"/>
    <x v="0"/>
  </r>
  <r>
    <x v="812"/>
    <x v="0"/>
    <x v="2"/>
    <x v="620"/>
    <x v="728"/>
    <x v="0"/>
    <x v="0"/>
    <x v="3"/>
    <x v="1"/>
    <x v="0"/>
    <x v="1"/>
    <x v="0"/>
    <x v="1"/>
    <x v="632"/>
    <x v="29"/>
    <x v="2"/>
    <x v="0"/>
    <x v="0"/>
  </r>
  <r>
    <x v="813"/>
    <x v="0"/>
    <x v="0"/>
    <x v="13"/>
    <x v="729"/>
    <x v="2"/>
    <x v="1"/>
    <x v="83"/>
    <x v="3"/>
    <x v="2"/>
    <x v="4"/>
    <x v="0"/>
    <x v="2"/>
    <x v="13"/>
    <x v="12"/>
    <x v="2"/>
    <x v="0"/>
    <x v="0"/>
  </r>
  <r>
    <x v="814"/>
    <x v="0"/>
    <x v="0"/>
    <x v="621"/>
    <x v="730"/>
    <x v="0"/>
    <x v="0"/>
    <x v="85"/>
    <x v="1"/>
    <x v="0"/>
    <x v="1"/>
    <x v="0"/>
    <x v="1"/>
    <x v="633"/>
    <x v="4"/>
    <x v="0"/>
    <x v="0"/>
    <x v="0"/>
  </r>
  <r>
    <x v="815"/>
    <x v="0"/>
    <x v="1"/>
    <x v="622"/>
    <x v="714"/>
    <x v="0"/>
    <x v="0"/>
    <x v="4"/>
    <x v="1"/>
    <x v="0"/>
    <x v="1"/>
    <x v="0"/>
    <x v="1"/>
    <x v="634"/>
    <x v="104"/>
    <x v="0"/>
    <x v="138"/>
    <x v="0"/>
  </r>
  <r>
    <x v="816"/>
    <x v="0"/>
    <x v="0"/>
    <x v="623"/>
    <x v="731"/>
    <x v="2"/>
    <x v="1"/>
    <x v="41"/>
    <x v="1"/>
    <x v="0"/>
    <x v="1"/>
    <x v="0"/>
    <x v="1"/>
    <x v="635"/>
    <x v="2"/>
    <x v="0"/>
    <x v="0"/>
    <x v="0"/>
  </r>
  <r>
    <x v="817"/>
    <x v="0"/>
    <x v="2"/>
    <x v="624"/>
    <x v="732"/>
    <x v="0"/>
    <x v="0"/>
    <x v="14"/>
    <x v="0"/>
    <x v="1"/>
    <x v="3"/>
    <x v="0"/>
    <x v="0"/>
    <x v="636"/>
    <x v="236"/>
    <x v="2"/>
    <x v="0"/>
    <x v="1"/>
  </r>
  <r>
    <x v="818"/>
    <x v="0"/>
    <x v="0"/>
    <x v="625"/>
    <x v="733"/>
    <x v="0"/>
    <x v="0"/>
    <x v="71"/>
    <x v="1"/>
    <x v="0"/>
    <x v="1"/>
    <x v="0"/>
    <x v="1"/>
    <x v="637"/>
    <x v="237"/>
    <x v="0"/>
    <x v="0"/>
    <x v="0"/>
  </r>
  <r>
    <x v="819"/>
    <x v="0"/>
    <x v="0"/>
    <x v="61"/>
    <x v="734"/>
    <x v="3"/>
    <x v="0"/>
    <x v="73"/>
    <x v="2"/>
    <x v="2"/>
    <x v="5"/>
    <x v="0"/>
    <x v="2"/>
    <x v="62"/>
    <x v="48"/>
    <x v="2"/>
    <x v="0"/>
    <x v="0"/>
  </r>
  <r>
    <x v="820"/>
    <x v="1"/>
    <x v="1"/>
    <x v="269"/>
    <x v="735"/>
    <x v="1"/>
    <x v="1"/>
    <x v="67"/>
    <x v="0"/>
    <x v="1"/>
    <x v="3"/>
    <x v="1"/>
    <x v="0"/>
    <x v="435"/>
    <x v="198"/>
    <x v="1"/>
    <x v="139"/>
    <x v="0"/>
  </r>
  <r>
    <x v="821"/>
    <x v="1"/>
    <x v="0"/>
    <x v="626"/>
    <x v="736"/>
    <x v="0"/>
    <x v="0"/>
    <x v="7"/>
    <x v="1"/>
    <x v="0"/>
    <x v="1"/>
    <x v="1"/>
    <x v="1"/>
    <x v="638"/>
    <x v="51"/>
    <x v="0"/>
    <x v="0"/>
    <x v="0"/>
  </r>
  <r>
    <x v="822"/>
    <x v="0"/>
    <x v="1"/>
    <x v="627"/>
    <x v="737"/>
    <x v="16"/>
    <x v="2"/>
    <x v="1"/>
    <x v="1"/>
    <x v="0"/>
    <x v="1"/>
    <x v="0"/>
    <x v="1"/>
    <x v="639"/>
    <x v="104"/>
    <x v="0"/>
    <x v="0"/>
    <x v="0"/>
  </r>
  <r>
    <x v="823"/>
    <x v="1"/>
    <x v="0"/>
    <x v="580"/>
    <x v="738"/>
    <x v="1"/>
    <x v="1"/>
    <x v="7"/>
    <x v="1"/>
    <x v="1"/>
    <x v="0"/>
    <x v="1"/>
    <x v="0"/>
    <x v="592"/>
    <x v="57"/>
    <x v="2"/>
    <x v="129"/>
    <x v="0"/>
  </r>
  <r>
    <x v="824"/>
    <x v="0"/>
    <x v="0"/>
    <x v="48"/>
    <x v="739"/>
    <x v="3"/>
    <x v="0"/>
    <x v="6"/>
    <x v="3"/>
    <x v="1"/>
    <x v="5"/>
    <x v="0"/>
    <x v="2"/>
    <x v="49"/>
    <x v="40"/>
    <x v="2"/>
    <x v="0"/>
    <x v="0"/>
  </r>
  <r>
    <x v="825"/>
    <x v="0"/>
    <x v="0"/>
    <x v="355"/>
    <x v="184"/>
    <x v="0"/>
    <x v="0"/>
    <x v="4"/>
    <x v="1"/>
    <x v="0"/>
    <x v="1"/>
    <x v="0"/>
    <x v="1"/>
    <x v="640"/>
    <x v="238"/>
    <x v="0"/>
    <x v="0"/>
    <x v="2"/>
  </r>
  <r>
    <x v="826"/>
    <x v="0"/>
    <x v="0"/>
    <x v="542"/>
    <x v="740"/>
    <x v="0"/>
    <x v="0"/>
    <x v="4"/>
    <x v="1"/>
    <x v="0"/>
    <x v="1"/>
    <x v="0"/>
    <x v="1"/>
    <x v="72"/>
    <x v="54"/>
    <x v="1"/>
    <x v="0"/>
    <x v="0"/>
  </r>
  <r>
    <x v="827"/>
    <x v="1"/>
    <x v="2"/>
    <x v="624"/>
    <x v="741"/>
    <x v="3"/>
    <x v="0"/>
    <x v="58"/>
    <x v="1"/>
    <x v="2"/>
    <x v="3"/>
    <x v="1"/>
    <x v="0"/>
    <x v="636"/>
    <x v="236"/>
    <x v="2"/>
    <x v="0"/>
    <x v="1"/>
  </r>
  <r>
    <x v="828"/>
    <x v="1"/>
    <x v="0"/>
    <x v="628"/>
    <x v="742"/>
    <x v="0"/>
    <x v="0"/>
    <x v="4"/>
    <x v="1"/>
    <x v="0"/>
    <x v="1"/>
    <x v="1"/>
    <x v="1"/>
    <x v="641"/>
    <x v="28"/>
    <x v="0"/>
    <x v="0"/>
    <x v="2"/>
  </r>
  <r>
    <x v="829"/>
    <x v="1"/>
    <x v="1"/>
    <x v="629"/>
    <x v="743"/>
    <x v="1"/>
    <x v="1"/>
    <x v="65"/>
    <x v="1"/>
    <x v="0"/>
    <x v="1"/>
    <x v="1"/>
    <x v="1"/>
    <x v="60"/>
    <x v="46"/>
    <x v="1"/>
    <x v="13"/>
    <x v="3"/>
  </r>
  <r>
    <x v="830"/>
    <x v="1"/>
    <x v="0"/>
    <x v="492"/>
    <x v="744"/>
    <x v="1"/>
    <x v="1"/>
    <x v="16"/>
    <x v="0"/>
    <x v="0"/>
    <x v="0"/>
    <x v="1"/>
    <x v="0"/>
    <x v="505"/>
    <x v="53"/>
    <x v="2"/>
    <x v="0"/>
    <x v="1"/>
  </r>
  <r>
    <x v="831"/>
    <x v="1"/>
    <x v="2"/>
    <x v="338"/>
    <x v="745"/>
    <x v="3"/>
    <x v="0"/>
    <x v="38"/>
    <x v="0"/>
    <x v="1"/>
    <x v="3"/>
    <x v="1"/>
    <x v="0"/>
    <x v="348"/>
    <x v="170"/>
    <x v="2"/>
    <x v="0"/>
    <x v="0"/>
  </r>
  <r>
    <x v="832"/>
    <x v="0"/>
    <x v="0"/>
    <x v="543"/>
    <x v="746"/>
    <x v="0"/>
    <x v="0"/>
    <x v="4"/>
    <x v="1"/>
    <x v="0"/>
    <x v="1"/>
    <x v="0"/>
    <x v="1"/>
    <x v="642"/>
    <x v="32"/>
    <x v="0"/>
    <x v="0"/>
    <x v="1"/>
  </r>
  <r>
    <x v="833"/>
    <x v="0"/>
    <x v="0"/>
    <x v="630"/>
    <x v="732"/>
    <x v="0"/>
    <x v="0"/>
    <x v="41"/>
    <x v="1"/>
    <x v="0"/>
    <x v="1"/>
    <x v="0"/>
    <x v="1"/>
    <x v="643"/>
    <x v="13"/>
    <x v="0"/>
    <x v="0"/>
    <x v="0"/>
  </r>
  <r>
    <x v="834"/>
    <x v="0"/>
    <x v="0"/>
    <x v="631"/>
    <x v="747"/>
    <x v="0"/>
    <x v="0"/>
    <x v="24"/>
    <x v="1"/>
    <x v="0"/>
    <x v="1"/>
    <x v="0"/>
    <x v="1"/>
    <x v="644"/>
    <x v="239"/>
    <x v="0"/>
    <x v="0"/>
    <x v="0"/>
  </r>
  <r>
    <x v="835"/>
    <x v="1"/>
    <x v="1"/>
    <x v="632"/>
    <x v="748"/>
    <x v="2"/>
    <x v="1"/>
    <x v="12"/>
    <x v="0"/>
    <x v="1"/>
    <x v="3"/>
    <x v="1"/>
    <x v="0"/>
    <x v="645"/>
    <x v="147"/>
    <x v="1"/>
    <x v="140"/>
    <x v="1"/>
  </r>
  <r>
    <x v="836"/>
    <x v="0"/>
    <x v="0"/>
    <x v="633"/>
    <x v="749"/>
    <x v="0"/>
    <x v="0"/>
    <x v="23"/>
    <x v="1"/>
    <x v="0"/>
    <x v="1"/>
    <x v="0"/>
    <x v="1"/>
    <x v="646"/>
    <x v="51"/>
    <x v="0"/>
    <x v="0"/>
    <x v="0"/>
  </r>
  <r>
    <x v="837"/>
    <x v="0"/>
    <x v="0"/>
    <x v="634"/>
    <x v="433"/>
    <x v="0"/>
    <x v="0"/>
    <x v="4"/>
    <x v="1"/>
    <x v="0"/>
    <x v="1"/>
    <x v="0"/>
    <x v="1"/>
    <x v="647"/>
    <x v="4"/>
    <x v="0"/>
    <x v="0"/>
    <x v="0"/>
  </r>
  <r>
    <x v="838"/>
    <x v="1"/>
    <x v="0"/>
    <x v="635"/>
    <x v="750"/>
    <x v="0"/>
    <x v="0"/>
    <x v="35"/>
    <x v="1"/>
    <x v="0"/>
    <x v="1"/>
    <x v="1"/>
    <x v="1"/>
    <x v="72"/>
    <x v="54"/>
    <x v="1"/>
    <x v="0"/>
    <x v="0"/>
  </r>
  <r>
    <x v="839"/>
    <x v="1"/>
    <x v="1"/>
    <x v="636"/>
    <x v="751"/>
    <x v="0"/>
    <x v="0"/>
    <x v="4"/>
    <x v="1"/>
    <x v="0"/>
    <x v="1"/>
    <x v="1"/>
    <x v="1"/>
    <x v="648"/>
    <x v="132"/>
    <x v="2"/>
    <x v="141"/>
    <x v="1"/>
  </r>
  <r>
    <x v="840"/>
    <x v="0"/>
    <x v="0"/>
    <x v="637"/>
    <x v="752"/>
    <x v="0"/>
    <x v="0"/>
    <x v="11"/>
    <x v="1"/>
    <x v="0"/>
    <x v="1"/>
    <x v="0"/>
    <x v="1"/>
    <x v="649"/>
    <x v="2"/>
    <x v="0"/>
    <x v="0"/>
    <x v="0"/>
  </r>
  <r>
    <x v="841"/>
    <x v="0"/>
    <x v="2"/>
    <x v="638"/>
    <x v="753"/>
    <x v="0"/>
    <x v="0"/>
    <x v="36"/>
    <x v="1"/>
    <x v="0"/>
    <x v="1"/>
    <x v="0"/>
    <x v="1"/>
    <x v="606"/>
    <x v="29"/>
    <x v="2"/>
    <x v="0"/>
    <x v="0"/>
  </r>
  <r>
    <x v="842"/>
    <x v="1"/>
    <x v="1"/>
    <x v="639"/>
    <x v="754"/>
    <x v="2"/>
    <x v="1"/>
    <x v="39"/>
    <x v="1"/>
    <x v="0"/>
    <x v="1"/>
    <x v="1"/>
    <x v="1"/>
    <x v="241"/>
    <x v="113"/>
    <x v="2"/>
    <x v="0"/>
    <x v="1"/>
  </r>
  <r>
    <x v="843"/>
    <x v="0"/>
    <x v="0"/>
    <x v="640"/>
    <x v="755"/>
    <x v="0"/>
    <x v="0"/>
    <x v="87"/>
    <x v="1"/>
    <x v="0"/>
    <x v="1"/>
    <x v="0"/>
    <x v="1"/>
    <x v="650"/>
    <x v="240"/>
    <x v="0"/>
    <x v="0"/>
    <x v="1"/>
  </r>
  <r>
    <x v="844"/>
    <x v="0"/>
    <x v="0"/>
    <x v="641"/>
    <x v="756"/>
    <x v="0"/>
    <x v="0"/>
    <x v="34"/>
    <x v="1"/>
    <x v="0"/>
    <x v="1"/>
    <x v="0"/>
    <x v="1"/>
    <x v="651"/>
    <x v="51"/>
    <x v="0"/>
    <x v="0"/>
    <x v="0"/>
  </r>
  <r>
    <x v="845"/>
    <x v="0"/>
    <x v="0"/>
    <x v="642"/>
    <x v="757"/>
    <x v="0"/>
    <x v="0"/>
    <x v="22"/>
    <x v="1"/>
    <x v="0"/>
    <x v="1"/>
    <x v="0"/>
    <x v="1"/>
    <x v="652"/>
    <x v="120"/>
    <x v="0"/>
    <x v="0"/>
    <x v="0"/>
  </r>
  <r>
    <x v="846"/>
    <x v="0"/>
    <x v="0"/>
    <x v="144"/>
    <x v="758"/>
    <x v="0"/>
    <x v="0"/>
    <x v="4"/>
    <x v="6"/>
    <x v="2"/>
    <x v="8"/>
    <x v="0"/>
    <x v="2"/>
    <x v="148"/>
    <x v="94"/>
    <x v="1"/>
    <x v="0"/>
    <x v="0"/>
  </r>
  <r>
    <x v="847"/>
    <x v="0"/>
    <x v="0"/>
    <x v="643"/>
    <x v="759"/>
    <x v="0"/>
    <x v="0"/>
    <x v="3"/>
    <x v="1"/>
    <x v="0"/>
    <x v="1"/>
    <x v="0"/>
    <x v="1"/>
    <x v="653"/>
    <x v="25"/>
    <x v="0"/>
    <x v="0"/>
    <x v="1"/>
  </r>
  <r>
    <x v="848"/>
    <x v="0"/>
    <x v="2"/>
    <x v="50"/>
    <x v="184"/>
    <x v="5"/>
    <x v="0"/>
    <x v="17"/>
    <x v="1"/>
    <x v="1"/>
    <x v="0"/>
    <x v="0"/>
    <x v="0"/>
    <x v="491"/>
    <x v="213"/>
    <x v="2"/>
    <x v="0"/>
    <x v="0"/>
  </r>
  <r>
    <x v="849"/>
    <x v="1"/>
    <x v="1"/>
    <x v="373"/>
    <x v="760"/>
    <x v="1"/>
    <x v="1"/>
    <x v="4"/>
    <x v="0"/>
    <x v="0"/>
    <x v="0"/>
    <x v="1"/>
    <x v="0"/>
    <x v="383"/>
    <x v="180"/>
    <x v="1"/>
    <x v="79"/>
    <x v="1"/>
  </r>
  <r>
    <x v="850"/>
    <x v="0"/>
    <x v="0"/>
    <x v="13"/>
    <x v="761"/>
    <x v="3"/>
    <x v="0"/>
    <x v="9"/>
    <x v="3"/>
    <x v="2"/>
    <x v="4"/>
    <x v="0"/>
    <x v="2"/>
    <x v="13"/>
    <x v="12"/>
    <x v="2"/>
    <x v="0"/>
    <x v="0"/>
  </r>
  <r>
    <x v="851"/>
    <x v="0"/>
    <x v="0"/>
    <x v="409"/>
    <x v="126"/>
    <x v="0"/>
    <x v="0"/>
    <x v="88"/>
    <x v="1"/>
    <x v="0"/>
    <x v="1"/>
    <x v="0"/>
    <x v="1"/>
    <x v="654"/>
    <x v="71"/>
    <x v="0"/>
    <x v="0"/>
    <x v="0"/>
  </r>
  <r>
    <x v="852"/>
    <x v="0"/>
    <x v="0"/>
    <x v="128"/>
    <x v="762"/>
    <x v="2"/>
    <x v="1"/>
    <x v="52"/>
    <x v="0"/>
    <x v="1"/>
    <x v="3"/>
    <x v="0"/>
    <x v="0"/>
    <x v="130"/>
    <x v="49"/>
    <x v="2"/>
    <x v="0"/>
    <x v="1"/>
  </r>
  <r>
    <x v="853"/>
    <x v="1"/>
    <x v="1"/>
    <x v="644"/>
    <x v="763"/>
    <x v="2"/>
    <x v="1"/>
    <x v="36"/>
    <x v="1"/>
    <x v="1"/>
    <x v="0"/>
    <x v="1"/>
    <x v="0"/>
    <x v="655"/>
    <x v="241"/>
    <x v="2"/>
    <x v="142"/>
    <x v="0"/>
  </r>
  <r>
    <x v="854"/>
    <x v="0"/>
    <x v="2"/>
    <x v="218"/>
    <x v="764"/>
    <x v="1"/>
    <x v="1"/>
    <x v="57"/>
    <x v="0"/>
    <x v="0"/>
    <x v="0"/>
    <x v="0"/>
    <x v="0"/>
    <x v="223"/>
    <x v="19"/>
    <x v="2"/>
    <x v="0"/>
    <x v="0"/>
  </r>
  <r>
    <x v="855"/>
    <x v="1"/>
    <x v="0"/>
    <x v="645"/>
    <x v="765"/>
    <x v="1"/>
    <x v="1"/>
    <x v="24"/>
    <x v="1"/>
    <x v="1"/>
    <x v="0"/>
    <x v="1"/>
    <x v="0"/>
    <x v="656"/>
    <x v="118"/>
    <x v="0"/>
    <x v="0"/>
    <x v="0"/>
  </r>
  <r>
    <x v="856"/>
    <x v="1"/>
    <x v="1"/>
    <x v="276"/>
    <x v="766"/>
    <x v="1"/>
    <x v="1"/>
    <x v="33"/>
    <x v="0"/>
    <x v="1"/>
    <x v="3"/>
    <x v="1"/>
    <x v="0"/>
    <x v="283"/>
    <x v="150"/>
    <x v="1"/>
    <x v="0"/>
    <x v="0"/>
  </r>
  <r>
    <x v="857"/>
    <x v="1"/>
    <x v="1"/>
    <x v="417"/>
    <x v="767"/>
    <x v="0"/>
    <x v="0"/>
    <x v="54"/>
    <x v="1"/>
    <x v="0"/>
    <x v="1"/>
    <x v="1"/>
    <x v="1"/>
    <x v="657"/>
    <x v="11"/>
    <x v="2"/>
    <x v="143"/>
    <x v="0"/>
  </r>
  <r>
    <x v="858"/>
    <x v="1"/>
    <x v="0"/>
    <x v="369"/>
    <x v="768"/>
    <x v="1"/>
    <x v="1"/>
    <x v="42"/>
    <x v="1"/>
    <x v="4"/>
    <x v="6"/>
    <x v="1"/>
    <x v="2"/>
    <x v="379"/>
    <x v="178"/>
    <x v="2"/>
    <x v="0"/>
    <x v="1"/>
  </r>
  <r>
    <x v="859"/>
    <x v="0"/>
    <x v="0"/>
    <x v="646"/>
    <x v="769"/>
    <x v="0"/>
    <x v="0"/>
    <x v="4"/>
    <x v="1"/>
    <x v="0"/>
    <x v="1"/>
    <x v="0"/>
    <x v="1"/>
    <x v="658"/>
    <x v="32"/>
    <x v="0"/>
    <x v="0"/>
    <x v="1"/>
  </r>
  <r>
    <x v="860"/>
    <x v="0"/>
    <x v="0"/>
    <x v="494"/>
    <x v="770"/>
    <x v="0"/>
    <x v="0"/>
    <x v="66"/>
    <x v="4"/>
    <x v="0"/>
    <x v="3"/>
    <x v="0"/>
    <x v="0"/>
    <x v="659"/>
    <x v="242"/>
    <x v="2"/>
    <x v="0"/>
    <x v="0"/>
  </r>
  <r>
    <x v="861"/>
    <x v="0"/>
    <x v="2"/>
    <x v="647"/>
    <x v="771"/>
    <x v="0"/>
    <x v="0"/>
    <x v="23"/>
    <x v="0"/>
    <x v="0"/>
    <x v="0"/>
    <x v="0"/>
    <x v="0"/>
    <x v="660"/>
    <x v="86"/>
    <x v="2"/>
    <x v="0"/>
    <x v="0"/>
  </r>
  <r>
    <x v="862"/>
    <x v="1"/>
    <x v="1"/>
    <x v="648"/>
    <x v="772"/>
    <x v="1"/>
    <x v="1"/>
    <x v="76"/>
    <x v="1"/>
    <x v="0"/>
    <x v="1"/>
    <x v="1"/>
    <x v="1"/>
    <x v="661"/>
    <x v="232"/>
    <x v="2"/>
    <x v="136"/>
    <x v="0"/>
  </r>
  <r>
    <x v="863"/>
    <x v="0"/>
    <x v="0"/>
    <x v="144"/>
    <x v="773"/>
    <x v="2"/>
    <x v="1"/>
    <x v="4"/>
    <x v="6"/>
    <x v="2"/>
    <x v="8"/>
    <x v="0"/>
    <x v="2"/>
    <x v="148"/>
    <x v="94"/>
    <x v="1"/>
    <x v="0"/>
    <x v="0"/>
  </r>
  <r>
    <x v="864"/>
    <x v="0"/>
    <x v="2"/>
    <x v="649"/>
    <x v="774"/>
    <x v="0"/>
    <x v="0"/>
    <x v="42"/>
    <x v="1"/>
    <x v="0"/>
    <x v="1"/>
    <x v="0"/>
    <x v="1"/>
    <x v="662"/>
    <x v="16"/>
    <x v="2"/>
    <x v="0"/>
    <x v="0"/>
  </r>
  <r>
    <x v="865"/>
    <x v="1"/>
    <x v="2"/>
    <x v="650"/>
    <x v="775"/>
    <x v="1"/>
    <x v="1"/>
    <x v="22"/>
    <x v="1"/>
    <x v="0"/>
    <x v="1"/>
    <x v="1"/>
    <x v="1"/>
    <x v="663"/>
    <x v="16"/>
    <x v="2"/>
    <x v="0"/>
    <x v="0"/>
  </r>
  <r>
    <x v="866"/>
    <x v="1"/>
    <x v="2"/>
    <x v="651"/>
    <x v="776"/>
    <x v="2"/>
    <x v="1"/>
    <x v="7"/>
    <x v="0"/>
    <x v="0"/>
    <x v="0"/>
    <x v="1"/>
    <x v="0"/>
    <x v="664"/>
    <x v="243"/>
    <x v="2"/>
    <x v="0"/>
    <x v="1"/>
  </r>
  <r>
    <x v="867"/>
    <x v="0"/>
    <x v="1"/>
    <x v="652"/>
    <x v="777"/>
    <x v="0"/>
    <x v="0"/>
    <x v="14"/>
    <x v="1"/>
    <x v="0"/>
    <x v="1"/>
    <x v="0"/>
    <x v="1"/>
    <x v="665"/>
    <x v="244"/>
    <x v="1"/>
    <x v="144"/>
    <x v="0"/>
  </r>
  <r>
    <x v="868"/>
    <x v="0"/>
    <x v="0"/>
    <x v="653"/>
    <x v="778"/>
    <x v="0"/>
    <x v="0"/>
    <x v="4"/>
    <x v="1"/>
    <x v="0"/>
    <x v="1"/>
    <x v="0"/>
    <x v="1"/>
    <x v="666"/>
    <x v="59"/>
    <x v="0"/>
    <x v="0"/>
    <x v="0"/>
  </r>
  <r>
    <x v="869"/>
    <x v="1"/>
    <x v="0"/>
    <x v="8"/>
    <x v="779"/>
    <x v="3"/>
    <x v="0"/>
    <x v="9"/>
    <x v="0"/>
    <x v="1"/>
    <x v="3"/>
    <x v="1"/>
    <x v="0"/>
    <x v="8"/>
    <x v="8"/>
    <x v="2"/>
    <x v="0"/>
    <x v="0"/>
  </r>
  <r>
    <x v="870"/>
    <x v="0"/>
    <x v="0"/>
    <x v="654"/>
    <x v="780"/>
    <x v="0"/>
    <x v="0"/>
    <x v="2"/>
    <x v="1"/>
    <x v="0"/>
    <x v="1"/>
    <x v="0"/>
    <x v="1"/>
    <x v="667"/>
    <x v="25"/>
    <x v="0"/>
    <x v="0"/>
    <x v="0"/>
  </r>
  <r>
    <x v="871"/>
    <x v="1"/>
    <x v="1"/>
    <x v="217"/>
    <x v="781"/>
    <x v="1"/>
    <x v="1"/>
    <x v="47"/>
    <x v="0"/>
    <x v="1"/>
    <x v="3"/>
    <x v="1"/>
    <x v="0"/>
    <x v="222"/>
    <x v="124"/>
    <x v="1"/>
    <x v="42"/>
    <x v="0"/>
  </r>
  <r>
    <x v="872"/>
    <x v="0"/>
    <x v="1"/>
    <x v="583"/>
    <x v="782"/>
    <x v="0"/>
    <x v="0"/>
    <x v="40"/>
    <x v="1"/>
    <x v="0"/>
    <x v="1"/>
    <x v="0"/>
    <x v="1"/>
    <x v="668"/>
    <x v="245"/>
    <x v="0"/>
    <x v="115"/>
    <x v="0"/>
  </r>
  <r>
    <x v="873"/>
    <x v="0"/>
    <x v="0"/>
    <x v="655"/>
    <x v="136"/>
    <x v="0"/>
    <x v="0"/>
    <x v="47"/>
    <x v="1"/>
    <x v="0"/>
    <x v="1"/>
    <x v="0"/>
    <x v="1"/>
    <x v="669"/>
    <x v="58"/>
    <x v="0"/>
    <x v="0"/>
    <x v="0"/>
  </r>
  <r>
    <x v="874"/>
    <x v="1"/>
    <x v="2"/>
    <x v="267"/>
    <x v="783"/>
    <x v="1"/>
    <x v="1"/>
    <x v="17"/>
    <x v="0"/>
    <x v="0"/>
    <x v="0"/>
    <x v="1"/>
    <x v="0"/>
    <x v="274"/>
    <x v="145"/>
    <x v="2"/>
    <x v="0"/>
    <x v="1"/>
  </r>
  <r>
    <x v="875"/>
    <x v="1"/>
    <x v="0"/>
    <x v="656"/>
    <x v="784"/>
    <x v="2"/>
    <x v="1"/>
    <x v="16"/>
    <x v="1"/>
    <x v="0"/>
    <x v="1"/>
    <x v="1"/>
    <x v="1"/>
    <x v="670"/>
    <x v="18"/>
    <x v="0"/>
    <x v="0"/>
    <x v="1"/>
  </r>
  <r>
    <x v="876"/>
    <x v="0"/>
    <x v="0"/>
    <x v="99"/>
    <x v="785"/>
    <x v="0"/>
    <x v="0"/>
    <x v="11"/>
    <x v="1"/>
    <x v="0"/>
    <x v="1"/>
    <x v="0"/>
    <x v="1"/>
    <x v="128"/>
    <x v="246"/>
    <x v="0"/>
    <x v="0"/>
    <x v="0"/>
  </r>
  <r>
    <x v="877"/>
    <x v="0"/>
    <x v="0"/>
    <x v="96"/>
    <x v="786"/>
    <x v="0"/>
    <x v="0"/>
    <x v="19"/>
    <x v="1"/>
    <x v="0"/>
    <x v="1"/>
    <x v="0"/>
    <x v="1"/>
    <x v="671"/>
    <x v="25"/>
    <x v="0"/>
    <x v="0"/>
    <x v="0"/>
  </r>
  <r>
    <x v="878"/>
    <x v="0"/>
    <x v="0"/>
    <x v="657"/>
    <x v="787"/>
    <x v="0"/>
    <x v="0"/>
    <x v="4"/>
    <x v="1"/>
    <x v="0"/>
    <x v="1"/>
    <x v="0"/>
    <x v="1"/>
    <x v="672"/>
    <x v="25"/>
    <x v="0"/>
    <x v="0"/>
    <x v="0"/>
  </r>
  <r>
    <x v="879"/>
    <x v="1"/>
    <x v="1"/>
    <x v="658"/>
    <x v="788"/>
    <x v="1"/>
    <x v="1"/>
    <x v="60"/>
    <x v="1"/>
    <x v="1"/>
    <x v="0"/>
    <x v="1"/>
    <x v="0"/>
    <x v="276"/>
    <x v="147"/>
    <x v="1"/>
    <x v="145"/>
    <x v="1"/>
  </r>
  <r>
    <x v="880"/>
    <x v="1"/>
    <x v="2"/>
    <x v="659"/>
    <x v="789"/>
    <x v="1"/>
    <x v="1"/>
    <x v="37"/>
    <x v="1"/>
    <x v="1"/>
    <x v="0"/>
    <x v="1"/>
    <x v="0"/>
    <x v="232"/>
    <x v="19"/>
    <x v="2"/>
    <x v="0"/>
    <x v="0"/>
  </r>
  <r>
    <x v="881"/>
    <x v="0"/>
    <x v="0"/>
    <x v="660"/>
    <x v="790"/>
    <x v="0"/>
    <x v="0"/>
    <x v="40"/>
    <x v="1"/>
    <x v="0"/>
    <x v="1"/>
    <x v="0"/>
    <x v="1"/>
    <x v="673"/>
    <x v="25"/>
    <x v="0"/>
    <x v="0"/>
    <x v="0"/>
  </r>
  <r>
    <x v="882"/>
    <x v="0"/>
    <x v="0"/>
    <x v="661"/>
    <x v="791"/>
    <x v="2"/>
    <x v="1"/>
    <x v="0"/>
    <x v="1"/>
    <x v="0"/>
    <x v="1"/>
    <x v="0"/>
    <x v="1"/>
    <x v="674"/>
    <x v="247"/>
    <x v="2"/>
    <x v="0"/>
    <x v="0"/>
  </r>
  <r>
    <x v="883"/>
    <x v="0"/>
    <x v="2"/>
    <x v="662"/>
    <x v="792"/>
    <x v="0"/>
    <x v="0"/>
    <x v="17"/>
    <x v="1"/>
    <x v="0"/>
    <x v="1"/>
    <x v="0"/>
    <x v="1"/>
    <x v="675"/>
    <x v="29"/>
    <x v="2"/>
    <x v="0"/>
    <x v="0"/>
  </r>
  <r>
    <x v="884"/>
    <x v="0"/>
    <x v="0"/>
    <x v="663"/>
    <x v="793"/>
    <x v="0"/>
    <x v="0"/>
    <x v="37"/>
    <x v="1"/>
    <x v="0"/>
    <x v="1"/>
    <x v="0"/>
    <x v="1"/>
    <x v="676"/>
    <x v="79"/>
    <x v="0"/>
    <x v="0"/>
    <x v="0"/>
  </r>
  <r>
    <x v="885"/>
    <x v="0"/>
    <x v="0"/>
    <x v="16"/>
    <x v="794"/>
    <x v="1"/>
    <x v="1"/>
    <x v="12"/>
    <x v="1"/>
    <x v="3"/>
    <x v="5"/>
    <x v="0"/>
    <x v="2"/>
    <x v="16"/>
    <x v="15"/>
    <x v="2"/>
    <x v="0"/>
    <x v="2"/>
  </r>
  <r>
    <x v="886"/>
    <x v="0"/>
    <x v="2"/>
    <x v="664"/>
    <x v="795"/>
    <x v="5"/>
    <x v="0"/>
    <x v="7"/>
    <x v="1"/>
    <x v="0"/>
    <x v="1"/>
    <x v="0"/>
    <x v="1"/>
    <x v="677"/>
    <x v="16"/>
    <x v="2"/>
    <x v="0"/>
    <x v="0"/>
  </r>
  <r>
    <x v="887"/>
    <x v="1"/>
    <x v="1"/>
    <x v="233"/>
    <x v="796"/>
    <x v="2"/>
    <x v="1"/>
    <x v="19"/>
    <x v="1"/>
    <x v="0"/>
    <x v="1"/>
    <x v="1"/>
    <x v="1"/>
    <x v="678"/>
    <x v="209"/>
    <x v="2"/>
    <x v="146"/>
    <x v="0"/>
  </r>
  <r>
    <x v="888"/>
    <x v="0"/>
    <x v="0"/>
    <x v="604"/>
    <x v="797"/>
    <x v="2"/>
    <x v="1"/>
    <x v="4"/>
    <x v="0"/>
    <x v="2"/>
    <x v="6"/>
    <x v="0"/>
    <x v="2"/>
    <x v="614"/>
    <x v="231"/>
    <x v="2"/>
    <x v="0"/>
    <x v="0"/>
  </r>
  <r>
    <x v="889"/>
    <x v="1"/>
    <x v="1"/>
    <x v="665"/>
    <x v="798"/>
    <x v="0"/>
    <x v="0"/>
    <x v="2"/>
    <x v="1"/>
    <x v="0"/>
    <x v="1"/>
    <x v="1"/>
    <x v="1"/>
    <x v="679"/>
    <x v="209"/>
    <x v="2"/>
    <x v="147"/>
    <x v="1"/>
  </r>
  <r>
    <x v="890"/>
    <x v="0"/>
    <x v="0"/>
    <x v="666"/>
    <x v="113"/>
    <x v="0"/>
    <x v="0"/>
    <x v="35"/>
    <x v="1"/>
    <x v="0"/>
    <x v="1"/>
    <x v="0"/>
    <x v="1"/>
    <x v="680"/>
    <x v="28"/>
    <x v="0"/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91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0"/>
    <x v="0"/>
    <x v="0"/>
    <x v="1"/>
    <x v="0"/>
    <x v="1"/>
    <x v="1"/>
  </r>
  <r>
    <x v="2"/>
    <x v="1"/>
    <x v="0"/>
    <x v="2"/>
    <x v="2"/>
    <x v="2"/>
    <x v="1"/>
    <x v="2"/>
    <x v="0"/>
    <x v="1"/>
    <x v="0"/>
    <x v="1"/>
    <x v="1"/>
    <x v="1"/>
    <x v="2"/>
    <x v="2"/>
  </r>
  <r>
    <x v="3"/>
    <x v="1"/>
    <x v="1"/>
    <x v="3"/>
    <x v="3"/>
    <x v="1"/>
    <x v="1"/>
    <x v="3"/>
    <x v="0"/>
    <x v="0"/>
    <x v="0"/>
    <x v="0"/>
    <x v="1"/>
    <x v="0"/>
    <x v="3"/>
    <x v="3"/>
  </r>
  <r>
    <x v="4"/>
    <x v="0"/>
    <x v="0"/>
    <x v="4"/>
    <x v="4"/>
    <x v="0"/>
    <x v="0"/>
    <x v="3"/>
    <x v="0"/>
    <x v="1"/>
    <x v="0"/>
    <x v="1"/>
    <x v="0"/>
    <x v="1"/>
    <x v="4"/>
    <x v="4"/>
  </r>
  <r>
    <x v="5"/>
    <x v="0"/>
    <x v="0"/>
    <x v="5"/>
    <x v="5"/>
    <x v="0"/>
    <x v="0"/>
    <x v="4"/>
    <x v="1"/>
    <x v="1"/>
    <x v="0"/>
    <x v="1"/>
    <x v="0"/>
    <x v="1"/>
    <x v="5"/>
    <x v="5"/>
  </r>
  <r>
    <x v="6"/>
    <x v="0"/>
    <x v="1"/>
    <x v="6"/>
    <x v="6"/>
    <x v="0"/>
    <x v="0"/>
    <x v="5"/>
    <x v="0"/>
    <x v="1"/>
    <x v="0"/>
    <x v="1"/>
    <x v="0"/>
    <x v="1"/>
    <x v="6"/>
    <x v="6"/>
  </r>
  <r>
    <x v="7"/>
    <x v="0"/>
    <x v="0"/>
    <x v="7"/>
    <x v="7"/>
    <x v="3"/>
    <x v="0"/>
    <x v="6"/>
    <x v="2"/>
    <x v="2"/>
    <x v="1"/>
    <x v="2"/>
    <x v="0"/>
    <x v="2"/>
    <x v="7"/>
    <x v="7"/>
  </r>
  <r>
    <x v="8"/>
    <x v="1"/>
    <x v="0"/>
    <x v="8"/>
    <x v="8"/>
    <x v="1"/>
    <x v="1"/>
    <x v="7"/>
    <x v="0"/>
    <x v="1"/>
    <x v="2"/>
    <x v="3"/>
    <x v="1"/>
    <x v="0"/>
    <x v="8"/>
    <x v="8"/>
  </r>
  <r>
    <x v="9"/>
    <x v="1"/>
    <x v="2"/>
    <x v="9"/>
    <x v="9"/>
    <x v="1"/>
    <x v="1"/>
    <x v="8"/>
    <x v="3"/>
    <x v="0"/>
    <x v="0"/>
    <x v="0"/>
    <x v="1"/>
    <x v="0"/>
    <x v="9"/>
    <x v="9"/>
  </r>
  <r>
    <x v="10"/>
    <x v="1"/>
    <x v="0"/>
    <x v="10"/>
    <x v="10"/>
    <x v="2"/>
    <x v="1"/>
    <x v="9"/>
    <x v="2"/>
    <x v="0"/>
    <x v="1"/>
    <x v="3"/>
    <x v="1"/>
    <x v="0"/>
    <x v="10"/>
    <x v="10"/>
  </r>
  <r>
    <x v="11"/>
    <x v="1"/>
    <x v="1"/>
    <x v="11"/>
    <x v="11"/>
    <x v="2"/>
    <x v="1"/>
    <x v="10"/>
    <x v="0"/>
    <x v="1"/>
    <x v="0"/>
    <x v="1"/>
    <x v="1"/>
    <x v="1"/>
    <x v="11"/>
    <x v="11"/>
  </r>
  <r>
    <x v="12"/>
    <x v="0"/>
    <x v="0"/>
    <x v="12"/>
    <x v="4"/>
    <x v="0"/>
    <x v="0"/>
    <x v="11"/>
    <x v="0"/>
    <x v="1"/>
    <x v="0"/>
    <x v="1"/>
    <x v="0"/>
    <x v="1"/>
    <x v="12"/>
    <x v="4"/>
  </r>
  <r>
    <x v="13"/>
    <x v="0"/>
    <x v="0"/>
    <x v="13"/>
    <x v="12"/>
    <x v="0"/>
    <x v="0"/>
    <x v="12"/>
    <x v="0"/>
    <x v="0"/>
    <x v="3"/>
    <x v="4"/>
    <x v="0"/>
    <x v="2"/>
    <x v="13"/>
    <x v="12"/>
  </r>
  <r>
    <x v="14"/>
    <x v="0"/>
    <x v="0"/>
    <x v="14"/>
    <x v="13"/>
    <x v="2"/>
    <x v="1"/>
    <x v="8"/>
    <x v="3"/>
    <x v="1"/>
    <x v="0"/>
    <x v="1"/>
    <x v="0"/>
    <x v="1"/>
    <x v="14"/>
    <x v="13"/>
  </r>
  <r>
    <x v="15"/>
    <x v="1"/>
    <x v="2"/>
    <x v="15"/>
    <x v="14"/>
    <x v="1"/>
    <x v="1"/>
    <x v="13"/>
    <x v="0"/>
    <x v="1"/>
    <x v="0"/>
    <x v="1"/>
    <x v="1"/>
    <x v="1"/>
    <x v="15"/>
    <x v="14"/>
  </r>
  <r>
    <x v="16"/>
    <x v="0"/>
    <x v="0"/>
    <x v="16"/>
    <x v="15"/>
    <x v="3"/>
    <x v="0"/>
    <x v="6"/>
    <x v="2"/>
    <x v="3"/>
    <x v="1"/>
    <x v="5"/>
    <x v="0"/>
    <x v="2"/>
    <x v="16"/>
    <x v="15"/>
  </r>
  <r>
    <x v="17"/>
    <x v="1"/>
    <x v="2"/>
    <x v="17"/>
    <x v="16"/>
    <x v="0"/>
    <x v="0"/>
    <x v="4"/>
    <x v="1"/>
    <x v="1"/>
    <x v="0"/>
    <x v="1"/>
    <x v="1"/>
    <x v="1"/>
    <x v="17"/>
    <x v="16"/>
  </r>
  <r>
    <x v="18"/>
    <x v="0"/>
    <x v="0"/>
    <x v="18"/>
    <x v="17"/>
    <x v="1"/>
    <x v="1"/>
    <x v="14"/>
    <x v="0"/>
    <x v="0"/>
    <x v="0"/>
    <x v="0"/>
    <x v="0"/>
    <x v="0"/>
    <x v="18"/>
    <x v="17"/>
  </r>
  <r>
    <x v="19"/>
    <x v="1"/>
    <x v="0"/>
    <x v="19"/>
    <x v="18"/>
    <x v="1"/>
    <x v="1"/>
    <x v="4"/>
    <x v="1"/>
    <x v="1"/>
    <x v="0"/>
    <x v="1"/>
    <x v="1"/>
    <x v="1"/>
    <x v="19"/>
    <x v="18"/>
  </r>
  <r>
    <x v="20"/>
    <x v="0"/>
    <x v="2"/>
    <x v="20"/>
    <x v="19"/>
    <x v="0"/>
    <x v="0"/>
    <x v="3"/>
    <x v="0"/>
    <x v="1"/>
    <x v="0"/>
    <x v="1"/>
    <x v="0"/>
    <x v="1"/>
    <x v="20"/>
    <x v="19"/>
  </r>
  <r>
    <x v="21"/>
    <x v="1"/>
    <x v="2"/>
    <x v="21"/>
    <x v="20"/>
    <x v="0"/>
    <x v="0"/>
    <x v="15"/>
    <x v="0"/>
    <x v="1"/>
    <x v="0"/>
    <x v="1"/>
    <x v="1"/>
    <x v="1"/>
    <x v="21"/>
    <x v="16"/>
  </r>
  <r>
    <x v="22"/>
    <x v="1"/>
    <x v="0"/>
    <x v="22"/>
    <x v="21"/>
    <x v="2"/>
    <x v="1"/>
    <x v="16"/>
    <x v="3"/>
    <x v="1"/>
    <x v="0"/>
    <x v="1"/>
    <x v="1"/>
    <x v="1"/>
    <x v="22"/>
    <x v="20"/>
  </r>
  <r>
    <x v="23"/>
    <x v="1"/>
    <x v="1"/>
    <x v="23"/>
    <x v="22"/>
    <x v="0"/>
    <x v="0"/>
    <x v="17"/>
    <x v="0"/>
    <x v="1"/>
    <x v="0"/>
    <x v="1"/>
    <x v="1"/>
    <x v="1"/>
    <x v="23"/>
    <x v="21"/>
  </r>
  <r>
    <x v="24"/>
    <x v="0"/>
    <x v="0"/>
    <x v="7"/>
    <x v="23"/>
    <x v="2"/>
    <x v="1"/>
    <x v="18"/>
    <x v="2"/>
    <x v="2"/>
    <x v="1"/>
    <x v="2"/>
    <x v="0"/>
    <x v="2"/>
    <x v="7"/>
    <x v="7"/>
  </r>
  <r>
    <x v="25"/>
    <x v="1"/>
    <x v="0"/>
    <x v="24"/>
    <x v="24"/>
    <x v="1"/>
    <x v="1"/>
    <x v="1"/>
    <x v="0"/>
    <x v="0"/>
    <x v="3"/>
    <x v="4"/>
    <x v="1"/>
    <x v="2"/>
    <x v="24"/>
    <x v="22"/>
  </r>
  <r>
    <x v="26"/>
    <x v="0"/>
    <x v="0"/>
    <x v="25"/>
    <x v="25"/>
    <x v="0"/>
    <x v="0"/>
    <x v="4"/>
    <x v="1"/>
    <x v="1"/>
    <x v="0"/>
    <x v="1"/>
    <x v="0"/>
    <x v="1"/>
    <x v="25"/>
    <x v="18"/>
  </r>
  <r>
    <x v="27"/>
    <x v="0"/>
    <x v="1"/>
    <x v="26"/>
    <x v="26"/>
    <x v="0"/>
    <x v="0"/>
    <x v="19"/>
    <x v="3"/>
    <x v="2"/>
    <x v="2"/>
    <x v="5"/>
    <x v="0"/>
    <x v="2"/>
    <x v="26"/>
    <x v="23"/>
  </r>
  <r>
    <x v="28"/>
    <x v="1"/>
    <x v="0"/>
    <x v="27"/>
    <x v="27"/>
    <x v="2"/>
    <x v="1"/>
    <x v="4"/>
    <x v="1"/>
    <x v="1"/>
    <x v="0"/>
    <x v="1"/>
    <x v="1"/>
    <x v="1"/>
    <x v="27"/>
    <x v="24"/>
  </r>
  <r>
    <x v="29"/>
    <x v="0"/>
    <x v="0"/>
    <x v="28"/>
    <x v="28"/>
    <x v="0"/>
    <x v="0"/>
    <x v="4"/>
    <x v="1"/>
    <x v="1"/>
    <x v="0"/>
    <x v="1"/>
    <x v="0"/>
    <x v="1"/>
    <x v="28"/>
    <x v="25"/>
  </r>
  <r>
    <x v="30"/>
    <x v="0"/>
    <x v="1"/>
    <x v="29"/>
    <x v="29"/>
    <x v="4"/>
    <x v="2"/>
    <x v="20"/>
    <x v="0"/>
    <x v="1"/>
    <x v="0"/>
    <x v="1"/>
    <x v="0"/>
    <x v="1"/>
    <x v="29"/>
    <x v="26"/>
  </r>
  <r>
    <x v="31"/>
    <x v="1"/>
    <x v="1"/>
    <x v="30"/>
    <x v="30"/>
    <x v="1"/>
    <x v="1"/>
    <x v="4"/>
    <x v="1"/>
    <x v="0"/>
    <x v="0"/>
    <x v="0"/>
    <x v="1"/>
    <x v="0"/>
    <x v="30"/>
    <x v="27"/>
  </r>
  <r>
    <x v="32"/>
    <x v="1"/>
    <x v="0"/>
    <x v="31"/>
    <x v="31"/>
    <x v="2"/>
    <x v="1"/>
    <x v="4"/>
    <x v="1"/>
    <x v="1"/>
    <x v="0"/>
    <x v="1"/>
    <x v="1"/>
    <x v="1"/>
    <x v="31"/>
    <x v="28"/>
  </r>
  <r>
    <x v="33"/>
    <x v="0"/>
    <x v="2"/>
    <x v="32"/>
    <x v="32"/>
    <x v="0"/>
    <x v="0"/>
    <x v="21"/>
    <x v="4"/>
    <x v="1"/>
    <x v="0"/>
    <x v="1"/>
    <x v="0"/>
    <x v="1"/>
    <x v="32"/>
    <x v="29"/>
  </r>
  <r>
    <x v="34"/>
    <x v="0"/>
    <x v="1"/>
    <x v="33"/>
    <x v="33"/>
    <x v="0"/>
    <x v="0"/>
    <x v="17"/>
    <x v="0"/>
    <x v="0"/>
    <x v="0"/>
    <x v="0"/>
    <x v="0"/>
    <x v="0"/>
    <x v="33"/>
    <x v="30"/>
  </r>
  <r>
    <x v="35"/>
    <x v="0"/>
    <x v="1"/>
    <x v="34"/>
    <x v="34"/>
    <x v="0"/>
    <x v="0"/>
    <x v="22"/>
    <x v="0"/>
    <x v="0"/>
    <x v="0"/>
    <x v="0"/>
    <x v="0"/>
    <x v="0"/>
    <x v="34"/>
    <x v="31"/>
  </r>
  <r>
    <x v="36"/>
    <x v="1"/>
    <x v="0"/>
    <x v="35"/>
    <x v="35"/>
    <x v="0"/>
    <x v="0"/>
    <x v="4"/>
    <x v="1"/>
    <x v="1"/>
    <x v="0"/>
    <x v="1"/>
    <x v="1"/>
    <x v="1"/>
    <x v="35"/>
    <x v="32"/>
  </r>
  <r>
    <x v="37"/>
    <x v="0"/>
    <x v="0"/>
    <x v="36"/>
    <x v="36"/>
    <x v="0"/>
    <x v="0"/>
    <x v="23"/>
    <x v="0"/>
    <x v="1"/>
    <x v="0"/>
    <x v="1"/>
    <x v="0"/>
    <x v="1"/>
    <x v="36"/>
    <x v="4"/>
  </r>
  <r>
    <x v="38"/>
    <x v="0"/>
    <x v="0"/>
    <x v="18"/>
    <x v="37"/>
    <x v="2"/>
    <x v="1"/>
    <x v="24"/>
    <x v="3"/>
    <x v="4"/>
    <x v="0"/>
    <x v="3"/>
    <x v="0"/>
    <x v="0"/>
    <x v="37"/>
    <x v="17"/>
  </r>
  <r>
    <x v="39"/>
    <x v="1"/>
    <x v="0"/>
    <x v="37"/>
    <x v="38"/>
    <x v="2"/>
    <x v="1"/>
    <x v="8"/>
    <x v="3"/>
    <x v="0"/>
    <x v="0"/>
    <x v="0"/>
    <x v="1"/>
    <x v="0"/>
    <x v="38"/>
    <x v="33"/>
  </r>
  <r>
    <x v="40"/>
    <x v="0"/>
    <x v="0"/>
    <x v="38"/>
    <x v="39"/>
    <x v="1"/>
    <x v="1"/>
    <x v="20"/>
    <x v="0"/>
    <x v="0"/>
    <x v="0"/>
    <x v="0"/>
    <x v="0"/>
    <x v="0"/>
    <x v="39"/>
    <x v="34"/>
  </r>
  <r>
    <x v="41"/>
    <x v="0"/>
    <x v="2"/>
    <x v="39"/>
    <x v="40"/>
    <x v="1"/>
    <x v="1"/>
    <x v="7"/>
    <x v="0"/>
    <x v="0"/>
    <x v="0"/>
    <x v="0"/>
    <x v="0"/>
    <x v="0"/>
    <x v="40"/>
    <x v="35"/>
  </r>
  <r>
    <x v="42"/>
    <x v="0"/>
    <x v="0"/>
    <x v="40"/>
    <x v="41"/>
    <x v="0"/>
    <x v="0"/>
    <x v="4"/>
    <x v="1"/>
    <x v="1"/>
    <x v="0"/>
    <x v="1"/>
    <x v="0"/>
    <x v="1"/>
    <x v="41"/>
    <x v="25"/>
  </r>
  <r>
    <x v="43"/>
    <x v="1"/>
    <x v="2"/>
    <x v="41"/>
    <x v="42"/>
    <x v="2"/>
    <x v="1"/>
    <x v="25"/>
    <x v="2"/>
    <x v="0"/>
    <x v="2"/>
    <x v="6"/>
    <x v="1"/>
    <x v="2"/>
    <x v="42"/>
    <x v="36"/>
  </r>
  <r>
    <x v="44"/>
    <x v="1"/>
    <x v="0"/>
    <x v="42"/>
    <x v="43"/>
    <x v="2"/>
    <x v="1"/>
    <x v="19"/>
    <x v="3"/>
    <x v="1"/>
    <x v="0"/>
    <x v="1"/>
    <x v="1"/>
    <x v="1"/>
    <x v="43"/>
    <x v="24"/>
  </r>
  <r>
    <x v="45"/>
    <x v="0"/>
    <x v="0"/>
    <x v="43"/>
    <x v="44"/>
    <x v="0"/>
    <x v="0"/>
    <x v="4"/>
    <x v="1"/>
    <x v="1"/>
    <x v="0"/>
    <x v="1"/>
    <x v="0"/>
    <x v="1"/>
    <x v="44"/>
    <x v="4"/>
  </r>
  <r>
    <x v="46"/>
    <x v="0"/>
    <x v="0"/>
    <x v="44"/>
    <x v="45"/>
    <x v="0"/>
    <x v="0"/>
    <x v="4"/>
    <x v="1"/>
    <x v="0"/>
    <x v="0"/>
    <x v="0"/>
    <x v="0"/>
    <x v="0"/>
    <x v="45"/>
    <x v="37"/>
  </r>
  <r>
    <x v="47"/>
    <x v="1"/>
    <x v="0"/>
    <x v="45"/>
    <x v="46"/>
    <x v="2"/>
    <x v="1"/>
    <x v="4"/>
    <x v="1"/>
    <x v="1"/>
    <x v="0"/>
    <x v="1"/>
    <x v="1"/>
    <x v="1"/>
    <x v="46"/>
    <x v="28"/>
  </r>
  <r>
    <x v="48"/>
    <x v="0"/>
    <x v="0"/>
    <x v="46"/>
    <x v="47"/>
    <x v="0"/>
    <x v="0"/>
    <x v="4"/>
    <x v="1"/>
    <x v="4"/>
    <x v="0"/>
    <x v="3"/>
    <x v="0"/>
    <x v="0"/>
    <x v="47"/>
    <x v="38"/>
  </r>
  <r>
    <x v="49"/>
    <x v="0"/>
    <x v="0"/>
    <x v="47"/>
    <x v="48"/>
    <x v="1"/>
    <x v="1"/>
    <x v="24"/>
    <x v="3"/>
    <x v="0"/>
    <x v="0"/>
    <x v="0"/>
    <x v="0"/>
    <x v="0"/>
    <x v="48"/>
    <x v="39"/>
  </r>
  <r>
    <x v="50"/>
    <x v="0"/>
    <x v="0"/>
    <x v="48"/>
    <x v="49"/>
    <x v="3"/>
    <x v="0"/>
    <x v="26"/>
    <x v="2"/>
    <x v="3"/>
    <x v="1"/>
    <x v="5"/>
    <x v="0"/>
    <x v="2"/>
    <x v="49"/>
    <x v="40"/>
  </r>
  <r>
    <x v="51"/>
    <x v="0"/>
    <x v="0"/>
    <x v="49"/>
    <x v="50"/>
    <x v="0"/>
    <x v="0"/>
    <x v="23"/>
    <x v="0"/>
    <x v="1"/>
    <x v="0"/>
    <x v="1"/>
    <x v="0"/>
    <x v="1"/>
    <x v="50"/>
    <x v="41"/>
  </r>
  <r>
    <x v="52"/>
    <x v="1"/>
    <x v="1"/>
    <x v="50"/>
    <x v="51"/>
    <x v="1"/>
    <x v="1"/>
    <x v="27"/>
    <x v="0"/>
    <x v="0"/>
    <x v="0"/>
    <x v="0"/>
    <x v="1"/>
    <x v="0"/>
    <x v="51"/>
    <x v="42"/>
  </r>
  <r>
    <x v="53"/>
    <x v="1"/>
    <x v="2"/>
    <x v="51"/>
    <x v="52"/>
    <x v="1"/>
    <x v="1"/>
    <x v="28"/>
    <x v="0"/>
    <x v="0"/>
    <x v="0"/>
    <x v="0"/>
    <x v="1"/>
    <x v="0"/>
    <x v="52"/>
    <x v="19"/>
  </r>
  <r>
    <x v="54"/>
    <x v="0"/>
    <x v="1"/>
    <x v="52"/>
    <x v="53"/>
    <x v="0"/>
    <x v="0"/>
    <x v="29"/>
    <x v="4"/>
    <x v="1"/>
    <x v="1"/>
    <x v="0"/>
    <x v="0"/>
    <x v="0"/>
    <x v="53"/>
    <x v="43"/>
  </r>
  <r>
    <x v="55"/>
    <x v="1"/>
    <x v="1"/>
    <x v="53"/>
    <x v="54"/>
    <x v="0"/>
    <x v="0"/>
    <x v="4"/>
    <x v="1"/>
    <x v="1"/>
    <x v="0"/>
    <x v="1"/>
    <x v="1"/>
    <x v="1"/>
    <x v="54"/>
    <x v="21"/>
  </r>
  <r>
    <x v="56"/>
    <x v="1"/>
    <x v="2"/>
    <x v="54"/>
    <x v="55"/>
    <x v="2"/>
    <x v="1"/>
    <x v="23"/>
    <x v="0"/>
    <x v="1"/>
    <x v="0"/>
    <x v="1"/>
    <x v="1"/>
    <x v="1"/>
    <x v="55"/>
    <x v="29"/>
  </r>
  <r>
    <x v="57"/>
    <x v="0"/>
    <x v="0"/>
    <x v="55"/>
    <x v="56"/>
    <x v="0"/>
    <x v="0"/>
    <x v="30"/>
    <x v="0"/>
    <x v="1"/>
    <x v="0"/>
    <x v="1"/>
    <x v="0"/>
    <x v="1"/>
    <x v="56"/>
    <x v="32"/>
  </r>
  <r>
    <x v="58"/>
    <x v="1"/>
    <x v="2"/>
    <x v="56"/>
    <x v="57"/>
    <x v="2"/>
    <x v="1"/>
    <x v="31"/>
    <x v="2"/>
    <x v="0"/>
    <x v="2"/>
    <x v="6"/>
    <x v="1"/>
    <x v="2"/>
    <x v="57"/>
    <x v="44"/>
  </r>
  <r>
    <x v="59"/>
    <x v="0"/>
    <x v="0"/>
    <x v="57"/>
    <x v="58"/>
    <x v="3"/>
    <x v="0"/>
    <x v="32"/>
    <x v="2"/>
    <x v="5"/>
    <x v="2"/>
    <x v="7"/>
    <x v="0"/>
    <x v="2"/>
    <x v="58"/>
    <x v="45"/>
  </r>
  <r>
    <x v="60"/>
    <x v="0"/>
    <x v="0"/>
    <x v="58"/>
    <x v="59"/>
    <x v="0"/>
    <x v="0"/>
    <x v="0"/>
    <x v="0"/>
    <x v="1"/>
    <x v="0"/>
    <x v="1"/>
    <x v="0"/>
    <x v="1"/>
    <x v="59"/>
    <x v="32"/>
  </r>
  <r>
    <x v="61"/>
    <x v="1"/>
    <x v="1"/>
    <x v="59"/>
    <x v="60"/>
    <x v="2"/>
    <x v="1"/>
    <x v="1"/>
    <x v="0"/>
    <x v="1"/>
    <x v="0"/>
    <x v="1"/>
    <x v="1"/>
    <x v="1"/>
    <x v="60"/>
    <x v="46"/>
  </r>
  <r>
    <x v="62"/>
    <x v="0"/>
    <x v="1"/>
    <x v="60"/>
    <x v="61"/>
    <x v="0"/>
    <x v="0"/>
    <x v="33"/>
    <x v="0"/>
    <x v="0"/>
    <x v="0"/>
    <x v="0"/>
    <x v="0"/>
    <x v="0"/>
    <x v="61"/>
    <x v="47"/>
  </r>
  <r>
    <x v="63"/>
    <x v="0"/>
    <x v="0"/>
    <x v="61"/>
    <x v="62"/>
    <x v="3"/>
    <x v="0"/>
    <x v="9"/>
    <x v="2"/>
    <x v="2"/>
    <x v="2"/>
    <x v="5"/>
    <x v="0"/>
    <x v="2"/>
    <x v="62"/>
    <x v="48"/>
  </r>
  <r>
    <x v="64"/>
    <x v="0"/>
    <x v="1"/>
    <x v="62"/>
    <x v="63"/>
    <x v="0"/>
    <x v="0"/>
    <x v="4"/>
    <x v="1"/>
    <x v="1"/>
    <x v="0"/>
    <x v="1"/>
    <x v="0"/>
    <x v="1"/>
    <x v="63"/>
    <x v="26"/>
  </r>
  <r>
    <x v="65"/>
    <x v="1"/>
    <x v="0"/>
    <x v="63"/>
    <x v="64"/>
    <x v="3"/>
    <x v="0"/>
    <x v="4"/>
    <x v="1"/>
    <x v="0"/>
    <x v="1"/>
    <x v="3"/>
    <x v="1"/>
    <x v="0"/>
    <x v="64"/>
    <x v="49"/>
  </r>
  <r>
    <x v="66"/>
    <x v="1"/>
    <x v="2"/>
    <x v="64"/>
    <x v="65"/>
    <x v="1"/>
    <x v="1"/>
    <x v="28"/>
    <x v="0"/>
    <x v="1"/>
    <x v="0"/>
    <x v="1"/>
    <x v="1"/>
    <x v="1"/>
    <x v="65"/>
    <x v="29"/>
  </r>
  <r>
    <x v="67"/>
    <x v="0"/>
    <x v="0"/>
    <x v="65"/>
    <x v="66"/>
    <x v="0"/>
    <x v="0"/>
    <x v="19"/>
    <x v="3"/>
    <x v="1"/>
    <x v="0"/>
    <x v="1"/>
    <x v="0"/>
    <x v="1"/>
    <x v="66"/>
    <x v="50"/>
  </r>
  <r>
    <x v="68"/>
    <x v="1"/>
    <x v="0"/>
    <x v="13"/>
    <x v="67"/>
    <x v="2"/>
    <x v="1"/>
    <x v="34"/>
    <x v="3"/>
    <x v="3"/>
    <x v="2"/>
    <x v="4"/>
    <x v="1"/>
    <x v="2"/>
    <x v="67"/>
    <x v="2"/>
  </r>
  <r>
    <x v="69"/>
    <x v="0"/>
    <x v="0"/>
    <x v="66"/>
    <x v="68"/>
    <x v="0"/>
    <x v="0"/>
    <x v="2"/>
    <x v="0"/>
    <x v="4"/>
    <x v="0"/>
    <x v="3"/>
    <x v="0"/>
    <x v="0"/>
    <x v="68"/>
    <x v="51"/>
  </r>
  <r>
    <x v="70"/>
    <x v="0"/>
    <x v="2"/>
    <x v="67"/>
    <x v="69"/>
    <x v="0"/>
    <x v="0"/>
    <x v="35"/>
    <x v="0"/>
    <x v="1"/>
    <x v="0"/>
    <x v="1"/>
    <x v="0"/>
    <x v="1"/>
    <x v="69"/>
    <x v="29"/>
  </r>
  <r>
    <x v="71"/>
    <x v="0"/>
    <x v="0"/>
    <x v="57"/>
    <x v="70"/>
    <x v="2"/>
    <x v="1"/>
    <x v="36"/>
    <x v="3"/>
    <x v="5"/>
    <x v="2"/>
    <x v="7"/>
    <x v="0"/>
    <x v="2"/>
    <x v="58"/>
    <x v="45"/>
  </r>
  <r>
    <x v="72"/>
    <x v="0"/>
    <x v="2"/>
    <x v="68"/>
    <x v="71"/>
    <x v="0"/>
    <x v="0"/>
    <x v="23"/>
    <x v="0"/>
    <x v="1"/>
    <x v="0"/>
    <x v="1"/>
    <x v="0"/>
    <x v="1"/>
    <x v="70"/>
    <x v="52"/>
  </r>
  <r>
    <x v="73"/>
    <x v="0"/>
    <x v="0"/>
    <x v="69"/>
    <x v="72"/>
    <x v="0"/>
    <x v="0"/>
    <x v="2"/>
    <x v="0"/>
    <x v="0"/>
    <x v="0"/>
    <x v="0"/>
    <x v="0"/>
    <x v="0"/>
    <x v="71"/>
    <x v="53"/>
  </r>
  <r>
    <x v="74"/>
    <x v="1"/>
    <x v="0"/>
    <x v="70"/>
    <x v="73"/>
    <x v="0"/>
    <x v="0"/>
    <x v="35"/>
    <x v="0"/>
    <x v="1"/>
    <x v="0"/>
    <x v="1"/>
    <x v="1"/>
    <x v="1"/>
    <x v="72"/>
    <x v="54"/>
  </r>
  <r>
    <x v="75"/>
    <x v="0"/>
    <x v="0"/>
    <x v="71"/>
    <x v="74"/>
    <x v="0"/>
    <x v="0"/>
    <x v="37"/>
    <x v="0"/>
    <x v="1"/>
    <x v="0"/>
    <x v="1"/>
    <x v="0"/>
    <x v="1"/>
    <x v="73"/>
    <x v="55"/>
  </r>
  <r>
    <x v="76"/>
    <x v="0"/>
    <x v="0"/>
    <x v="72"/>
    <x v="75"/>
    <x v="0"/>
    <x v="0"/>
    <x v="4"/>
    <x v="1"/>
    <x v="1"/>
    <x v="0"/>
    <x v="1"/>
    <x v="0"/>
    <x v="1"/>
    <x v="74"/>
    <x v="25"/>
  </r>
  <r>
    <x v="77"/>
    <x v="0"/>
    <x v="0"/>
    <x v="73"/>
    <x v="76"/>
    <x v="0"/>
    <x v="0"/>
    <x v="4"/>
    <x v="1"/>
    <x v="1"/>
    <x v="0"/>
    <x v="1"/>
    <x v="0"/>
    <x v="1"/>
    <x v="75"/>
    <x v="4"/>
  </r>
  <r>
    <x v="78"/>
    <x v="1"/>
    <x v="2"/>
    <x v="74"/>
    <x v="77"/>
    <x v="3"/>
    <x v="0"/>
    <x v="38"/>
    <x v="2"/>
    <x v="1"/>
    <x v="2"/>
    <x v="3"/>
    <x v="1"/>
    <x v="0"/>
    <x v="76"/>
    <x v="56"/>
  </r>
  <r>
    <x v="79"/>
    <x v="1"/>
    <x v="0"/>
    <x v="75"/>
    <x v="11"/>
    <x v="2"/>
    <x v="1"/>
    <x v="39"/>
    <x v="0"/>
    <x v="1"/>
    <x v="0"/>
    <x v="1"/>
    <x v="1"/>
    <x v="1"/>
    <x v="77"/>
    <x v="57"/>
  </r>
  <r>
    <x v="80"/>
    <x v="0"/>
    <x v="0"/>
    <x v="76"/>
    <x v="78"/>
    <x v="0"/>
    <x v="0"/>
    <x v="0"/>
    <x v="0"/>
    <x v="1"/>
    <x v="0"/>
    <x v="1"/>
    <x v="0"/>
    <x v="1"/>
    <x v="78"/>
    <x v="58"/>
  </r>
  <r>
    <x v="81"/>
    <x v="1"/>
    <x v="0"/>
    <x v="77"/>
    <x v="79"/>
    <x v="0"/>
    <x v="0"/>
    <x v="28"/>
    <x v="0"/>
    <x v="1"/>
    <x v="0"/>
    <x v="1"/>
    <x v="1"/>
    <x v="1"/>
    <x v="79"/>
    <x v="59"/>
  </r>
  <r>
    <x v="82"/>
    <x v="1"/>
    <x v="0"/>
    <x v="78"/>
    <x v="80"/>
    <x v="2"/>
    <x v="1"/>
    <x v="4"/>
    <x v="1"/>
    <x v="1"/>
    <x v="0"/>
    <x v="1"/>
    <x v="1"/>
    <x v="1"/>
    <x v="80"/>
    <x v="60"/>
  </r>
  <r>
    <x v="83"/>
    <x v="0"/>
    <x v="1"/>
    <x v="79"/>
    <x v="81"/>
    <x v="0"/>
    <x v="0"/>
    <x v="17"/>
    <x v="0"/>
    <x v="1"/>
    <x v="0"/>
    <x v="1"/>
    <x v="0"/>
    <x v="1"/>
    <x v="81"/>
    <x v="61"/>
  </r>
  <r>
    <x v="84"/>
    <x v="1"/>
    <x v="2"/>
    <x v="80"/>
    <x v="82"/>
    <x v="2"/>
    <x v="1"/>
    <x v="34"/>
    <x v="3"/>
    <x v="1"/>
    <x v="0"/>
    <x v="1"/>
    <x v="1"/>
    <x v="1"/>
    <x v="82"/>
    <x v="29"/>
  </r>
  <r>
    <x v="85"/>
    <x v="1"/>
    <x v="0"/>
    <x v="81"/>
    <x v="83"/>
    <x v="1"/>
    <x v="1"/>
    <x v="40"/>
    <x v="0"/>
    <x v="2"/>
    <x v="0"/>
    <x v="6"/>
    <x v="1"/>
    <x v="2"/>
    <x v="83"/>
    <x v="62"/>
  </r>
  <r>
    <x v="86"/>
    <x v="0"/>
    <x v="0"/>
    <x v="82"/>
    <x v="84"/>
    <x v="0"/>
    <x v="0"/>
    <x v="36"/>
    <x v="3"/>
    <x v="0"/>
    <x v="4"/>
    <x v="2"/>
    <x v="0"/>
    <x v="2"/>
    <x v="84"/>
    <x v="63"/>
  </r>
  <r>
    <x v="87"/>
    <x v="0"/>
    <x v="0"/>
    <x v="83"/>
    <x v="85"/>
    <x v="0"/>
    <x v="0"/>
    <x v="4"/>
    <x v="1"/>
    <x v="1"/>
    <x v="0"/>
    <x v="1"/>
    <x v="0"/>
    <x v="1"/>
    <x v="85"/>
    <x v="4"/>
  </r>
  <r>
    <x v="88"/>
    <x v="1"/>
    <x v="1"/>
    <x v="26"/>
    <x v="86"/>
    <x v="2"/>
    <x v="1"/>
    <x v="41"/>
    <x v="0"/>
    <x v="2"/>
    <x v="2"/>
    <x v="5"/>
    <x v="1"/>
    <x v="2"/>
    <x v="26"/>
    <x v="23"/>
  </r>
  <r>
    <x v="89"/>
    <x v="0"/>
    <x v="0"/>
    <x v="84"/>
    <x v="87"/>
    <x v="0"/>
    <x v="0"/>
    <x v="42"/>
    <x v="0"/>
    <x v="1"/>
    <x v="0"/>
    <x v="1"/>
    <x v="0"/>
    <x v="1"/>
    <x v="86"/>
    <x v="4"/>
  </r>
  <r>
    <x v="90"/>
    <x v="0"/>
    <x v="0"/>
    <x v="85"/>
    <x v="88"/>
    <x v="0"/>
    <x v="0"/>
    <x v="28"/>
    <x v="0"/>
    <x v="1"/>
    <x v="0"/>
    <x v="1"/>
    <x v="0"/>
    <x v="1"/>
    <x v="87"/>
    <x v="4"/>
  </r>
  <r>
    <x v="91"/>
    <x v="0"/>
    <x v="0"/>
    <x v="86"/>
    <x v="89"/>
    <x v="0"/>
    <x v="0"/>
    <x v="11"/>
    <x v="0"/>
    <x v="1"/>
    <x v="0"/>
    <x v="1"/>
    <x v="0"/>
    <x v="1"/>
    <x v="88"/>
    <x v="13"/>
  </r>
  <r>
    <x v="92"/>
    <x v="0"/>
    <x v="1"/>
    <x v="87"/>
    <x v="90"/>
    <x v="0"/>
    <x v="0"/>
    <x v="43"/>
    <x v="0"/>
    <x v="0"/>
    <x v="0"/>
    <x v="0"/>
    <x v="0"/>
    <x v="0"/>
    <x v="89"/>
    <x v="64"/>
  </r>
  <r>
    <x v="93"/>
    <x v="0"/>
    <x v="0"/>
    <x v="88"/>
    <x v="91"/>
    <x v="0"/>
    <x v="0"/>
    <x v="2"/>
    <x v="0"/>
    <x v="0"/>
    <x v="2"/>
    <x v="6"/>
    <x v="0"/>
    <x v="2"/>
    <x v="90"/>
    <x v="65"/>
  </r>
  <r>
    <x v="94"/>
    <x v="0"/>
    <x v="0"/>
    <x v="89"/>
    <x v="92"/>
    <x v="0"/>
    <x v="0"/>
    <x v="44"/>
    <x v="0"/>
    <x v="1"/>
    <x v="0"/>
    <x v="1"/>
    <x v="0"/>
    <x v="1"/>
    <x v="91"/>
    <x v="0"/>
  </r>
  <r>
    <x v="95"/>
    <x v="0"/>
    <x v="0"/>
    <x v="90"/>
    <x v="93"/>
    <x v="0"/>
    <x v="0"/>
    <x v="4"/>
    <x v="1"/>
    <x v="1"/>
    <x v="0"/>
    <x v="1"/>
    <x v="0"/>
    <x v="1"/>
    <x v="92"/>
    <x v="4"/>
  </r>
  <r>
    <x v="96"/>
    <x v="0"/>
    <x v="1"/>
    <x v="91"/>
    <x v="94"/>
    <x v="0"/>
    <x v="0"/>
    <x v="45"/>
    <x v="4"/>
    <x v="1"/>
    <x v="0"/>
    <x v="1"/>
    <x v="0"/>
    <x v="1"/>
    <x v="93"/>
    <x v="66"/>
  </r>
  <r>
    <x v="97"/>
    <x v="1"/>
    <x v="1"/>
    <x v="92"/>
    <x v="95"/>
    <x v="0"/>
    <x v="0"/>
    <x v="41"/>
    <x v="0"/>
    <x v="1"/>
    <x v="1"/>
    <x v="0"/>
    <x v="1"/>
    <x v="0"/>
    <x v="94"/>
    <x v="67"/>
  </r>
  <r>
    <x v="98"/>
    <x v="1"/>
    <x v="2"/>
    <x v="93"/>
    <x v="96"/>
    <x v="1"/>
    <x v="1"/>
    <x v="15"/>
    <x v="0"/>
    <x v="1"/>
    <x v="1"/>
    <x v="0"/>
    <x v="1"/>
    <x v="0"/>
    <x v="95"/>
    <x v="68"/>
  </r>
  <r>
    <x v="99"/>
    <x v="0"/>
    <x v="2"/>
    <x v="94"/>
    <x v="97"/>
    <x v="0"/>
    <x v="0"/>
    <x v="15"/>
    <x v="0"/>
    <x v="0"/>
    <x v="0"/>
    <x v="0"/>
    <x v="0"/>
    <x v="0"/>
    <x v="96"/>
    <x v="19"/>
  </r>
  <r>
    <x v="100"/>
    <x v="0"/>
    <x v="0"/>
    <x v="95"/>
    <x v="98"/>
    <x v="2"/>
    <x v="1"/>
    <x v="17"/>
    <x v="0"/>
    <x v="1"/>
    <x v="0"/>
    <x v="1"/>
    <x v="0"/>
    <x v="1"/>
    <x v="97"/>
    <x v="25"/>
  </r>
  <r>
    <x v="101"/>
    <x v="0"/>
    <x v="0"/>
    <x v="96"/>
    <x v="99"/>
    <x v="0"/>
    <x v="0"/>
    <x v="4"/>
    <x v="1"/>
    <x v="1"/>
    <x v="0"/>
    <x v="1"/>
    <x v="0"/>
    <x v="1"/>
    <x v="98"/>
    <x v="25"/>
  </r>
  <r>
    <x v="102"/>
    <x v="0"/>
    <x v="1"/>
    <x v="97"/>
    <x v="100"/>
    <x v="0"/>
    <x v="0"/>
    <x v="23"/>
    <x v="0"/>
    <x v="1"/>
    <x v="1"/>
    <x v="0"/>
    <x v="0"/>
    <x v="0"/>
    <x v="99"/>
    <x v="69"/>
  </r>
  <r>
    <x v="103"/>
    <x v="0"/>
    <x v="0"/>
    <x v="98"/>
    <x v="101"/>
    <x v="0"/>
    <x v="0"/>
    <x v="40"/>
    <x v="0"/>
    <x v="1"/>
    <x v="0"/>
    <x v="1"/>
    <x v="0"/>
    <x v="1"/>
    <x v="100"/>
    <x v="70"/>
  </r>
  <r>
    <x v="104"/>
    <x v="0"/>
    <x v="0"/>
    <x v="99"/>
    <x v="102"/>
    <x v="0"/>
    <x v="0"/>
    <x v="46"/>
    <x v="0"/>
    <x v="4"/>
    <x v="0"/>
    <x v="3"/>
    <x v="0"/>
    <x v="0"/>
    <x v="101"/>
    <x v="2"/>
  </r>
  <r>
    <x v="105"/>
    <x v="0"/>
    <x v="0"/>
    <x v="100"/>
    <x v="103"/>
    <x v="0"/>
    <x v="0"/>
    <x v="17"/>
    <x v="0"/>
    <x v="1"/>
    <x v="0"/>
    <x v="1"/>
    <x v="0"/>
    <x v="1"/>
    <x v="102"/>
    <x v="25"/>
  </r>
  <r>
    <x v="106"/>
    <x v="1"/>
    <x v="0"/>
    <x v="101"/>
    <x v="104"/>
    <x v="2"/>
    <x v="1"/>
    <x v="23"/>
    <x v="0"/>
    <x v="1"/>
    <x v="0"/>
    <x v="1"/>
    <x v="1"/>
    <x v="1"/>
    <x v="103"/>
    <x v="55"/>
  </r>
  <r>
    <x v="107"/>
    <x v="1"/>
    <x v="0"/>
    <x v="102"/>
    <x v="105"/>
    <x v="0"/>
    <x v="0"/>
    <x v="4"/>
    <x v="1"/>
    <x v="1"/>
    <x v="0"/>
    <x v="1"/>
    <x v="1"/>
    <x v="1"/>
    <x v="104"/>
    <x v="71"/>
  </r>
  <r>
    <x v="108"/>
    <x v="0"/>
    <x v="0"/>
    <x v="103"/>
    <x v="106"/>
    <x v="0"/>
    <x v="0"/>
    <x v="1"/>
    <x v="0"/>
    <x v="1"/>
    <x v="0"/>
    <x v="1"/>
    <x v="0"/>
    <x v="1"/>
    <x v="105"/>
    <x v="25"/>
  </r>
  <r>
    <x v="109"/>
    <x v="1"/>
    <x v="0"/>
    <x v="5"/>
    <x v="82"/>
    <x v="2"/>
    <x v="1"/>
    <x v="4"/>
    <x v="1"/>
    <x v="0"/>
    <x v="0"/>
    <x v="0"/>
    <x v="1"/>
    <x v="0"/>
    <x v="106"/>
    <x v="72"/>
  </r>
  <r>
    <x v="110"/>
    <x v="0"/>
    <x v="1"/>
    <x v="104"/>
    <x v="107"/>
    <x v="0"/>
    <x v="0"/>
    <x v="47"/>
    <x v="0"/>
    <x v="1"/>
    <x v="0"/>
    <x v="1"/>
    <x v="0"/>
    <x v="1"/>
    <x v="107"/>
    <x v="31"/>
  </r>
  <r>
    <x v="111"/>
    <x v="0"/>
    <x v="0"/>
    <x v="105"/>
    <x v="108"/>
    <x v="2"/>
    <x v="1"/>
    <x v="48"/>
    <x v="3"/>
    <x v="0"/>
    <x v="0"/>
    <x v="0"/>
    <x v="0"/>
    <x v="0"/>
    <x v="108"/>
    <x v="53"/>
  </r>
  <r>
    <x v="112"/>
    <x v="0"/>
    <x v="0"/>
    <x v="106"/>
    <x v="109"/>
    <x v="0"/>
    <x v="0"/>
    <x v="0"/>
    <x v="0"/>
    <x v="1"/>
    <x v="0"/>
    <x v="1"/>
    <x v="0"/>
    <x v="1"/>
    <x v="109"/>
    <x v="4"/>
  </r>
  <r>
    <x v="113"/>
    <x v="0"/>
    <x v="0"/>
    <x v="107"/>
    <x v="110"/>
    <x v="2"/>
    <x v="1"/>
    <x v="11"/>
    <x v="0"/>
    <x v="0"/>
    <x v="0"/>
    <x v="0"/>
    <x v="0"/>
    <x v="0"/>
    <x v="110"/>
    <x v="73"/>
  </r>
  <r>
    <x v="114"/>
    <x v="0"/>
    <x v="0"/>
    <x v="108"/>
    <x v="111"/>
    <x v="2"/>
    <x v="1"/>
    <x v="34"/>
    <x v="3"/>
    <x v="1"/>
    <x v="0"/>
    <x v="1"/>
    <x v="0"/>
    <x v="1"/>
    <x v="111"/>
    <x v="74"/>
  </r>
  <r>
    <x v="115"/>
    <x v="0"/>
    <x v="0"/>
    <x v="109"/>
    <x v="112"/>
    <x v="0"/>
    <x v="0"/>
    <x v="23"/>
    <x v="0"/>
    <x v="1"/>
    <x v="0"/>
    <x v="1"/>
    <x v="0"/>
    <x v="1"/>
    <x v="112"/>
    <x v="2"/>
  </r>
  <r>
    <x v="116"/>
    <x v="0"/>
    <x v="0"/>
    <x v="110"/>
    <x v="113"/>
    <x v="0"/>
    <x v="0"/>
    <x v="49"/>
    <x v="4"/>
    <x v="1"/>
    <x v="0"/>
    <x v="1"/>
    <x v="0"/>
    <x v="1"/>
    <x v="113"/>
    <x v="28"/>
  </r>
  <r>
    <x v="117"/>
    <x v="0"/>
    <x v="2"/>
    <x v="39"/>
    <x v="114"/>
    <x v="0"/>
    <x v="0"/>
    <x v="28"/>
    <x v="0"/>
    <x v="0"/>
    <x v="0"/>
    <x v="0"/>
    <x v="0"/>
    <x v="0"/>
    <x v="40"/>
    <x v="35"/>
  </r>
  <r>
    <x v="118"/>
    <x v="0"/>
    <x v="1"/>
    <x v="111"/>
    <x v="115"/>
    <x v="0"/>
    <x v="0"/>
    <x v="42"/>
    <x v="0"/>
    <x v="1"/>
    <x v="1"/>
    <x v="0"/>
    <x v="0"/>
    <x v="0"/>
    <x v="114"/>
    <x v="75"/>
  </r>
  <r>
    <x v="119"/>
    <x v="0"/>
    <x v="0"/>
    <x v="13"/>
    <x v="116"/>
    <x v="2"/>
    <x v="1"/>
    <x v="6"/>
    <x v="2"/>
    <x v="3"/>
    <x v="2"/>
    <x v="4"/>
    <x v="0"/>
    <x v="2"/>
    <x v="13"/>
    <x v="12"/>
  </r>
  <r>
    <x v="120"/>
    <x v="0"/>
    <x v="2"/>
    <x v="112"/>
    <x v="117"/>
    <x v="0"/>
    <x v="0"/>
    <x v="23"/>
    <x v="0"/>
    <x v="4"/>
    <x v="0"/>
    <x v="3"/>
    <x v="0"/>
    <x v="0"/>
    <x v="70"/>
    <x v="52"/>
  </r>
  <r>
    <x v="121"/>
    <x v="0"/>
    <x v="0"/>
    <x v="113"/>
    <x v="118"/>
    <x v="0"/>
    <x v="0"/>
    <x v="4"/>
    <x v="1"/>
    <x v="1"/>
    <x v="0"/>
    <x v="1"/>
    <x v="0"/>
    <x v="1"/>
    <x v="115"/>
    <x v="4"/>
  </r>
  <r>
    <x v="122"/>
    <x v="0"/>
    <x v="2"/>
    <x v="9"/>
    <x v="119"/>
    <x v="0"/>
    <x v="0"/>
    <x v="50"/>
    <x v="0"/>
    <x v="0"/>
    <x v="0"/>
    <x v="0"/>
    <x v="0"/>
    <x v="0"/>
    <x v="9"/>
    <x v="9"/>
  </r>
  <r>
    <x v="123"/>
    <x v="1"/>
    <x v="2"/>
    <x v="114"/>
    <x v="120"/>
    <x v="2"/>
    <x v="1"/>
    <x v="50"/>
    <x v="0"/>
    <x v="1"/>
    <x v="0"/>
    <x v="1"/>
    <x v="1"/>
    <x v="1"/>
    <x v="116"/>
    <x v="16"/>
  </r>
  <r>
    <x v="124"/>
    <x v="0"/>
    <x v="1"/>
    <x v="97"/>
    <x v="121"/>
    <x v="0"/>
    <x v="0"/>
    <x v="5"/>
    <x v="0"/>
    <x v="1"/>
    <x v="1"/>
    <x v="0"/>
    <x v="0"/>
    <x v="0"/>
    <x v="99"/>
    <x v="69"/>
  </r>
  <r>
    <x v="125"/>
    <x v="1"/>
    <x v="0"/>
    <x v="37"/>
    <x v="122"/>
    <x v="3"/>
    <x v="0"/>
    <x v="51"/>
    <x v="2"/>
    <x v="0"/>
    <x v="0"/>
    <x v="0"/>
    <x v="1"/>
    <x v="0"/>
    <x v="38"/>
    <x v="33"/>
  </r>
  <r>
    <x v="126"/>
    <x v="0"/>
    <x v="0"/>
    <x v="115"/>
    <x v="123"/>
    <x v="0"/>
    <x v="0"/>
    <x v="4"/>
    <x v="1"/>
    <x v="1"/>
    <x v="0"/>
    <x v="1"/>
    <x v="0"/>
    <x v="1"/>
    <x v="117"/>
    <x v="28"/>
  </r>
  <r>
    <x v="127"/>
    <x v="1"/>
    <x v="0"/>
    <x v="116"/>
    <x v="124"/>
    <x v="0"/>
    <x v="0"/>
    <x v="42"/>
    <x v="0"/>
    <x v="1"/>
    <x v="0"/>
    <x v="1"/>
    <x v="1"/>
    <x v="1"/>
    <x v="118"/>
    <x v="76"/>
  </r>
  <r>
    <x v="128"/>
    <x v="1"/>
    <x v="0"/>
    <x v="117"/>
    <x v="125"/>
    <x v="2"/>
    <x v="1"/>
    <x v="4"/>
    <x v="1"/>
    <x v="0"/>
    <x v="1"/>
    <x v="3"/>
    <x v="1"/>
    <x v="0"/>
    <x v="119"/>
    <x v="77"/>
  </r>
  <r>
    <x v="129"/>
    <x v="0"/>
    <x v="0"/>
    <x v="118"/>
    <x v="126"/>
    <x v="0"/>
    <x v="0"/>
    <x v="33"/>
    <x v="0"/>
    <x v="1"/>
    <x v="0"/>
    <x v="1"/>
    <x v="0"/>
    <x v="1"/>
    <x v="120"/>
    <x v="78"/>
  </r>
  <r>
    <x v="130"/>
    <x v="0"/>
    <x v="0"/>
    <x v="119"/>
    <x v="127"/>
    <x v="0"/>
    <x v="0"/>
    <x v="40"/>
    <x v="0"/>
    <x v="1"/>
    <x v="0"/>
    <x v="1"/>
    <x v="0"/>
    <x v="1"/>
    <x v="121"/>
    <x v="25"/>
  </r>
  <r>
    <x v="131"/>
    <x v="0"/>
    <x v="0"/>
    <x v="120"/>
    <x v="128"/>
    <x v="0"/>
    <x v="0"/>
    <x v="11"/>
    <x v="0"/>
    <x v="1"/>
    <x v="0"/>
    <x v="1"/>
    <x v="0"/>
    <x v="1"/>
    <x v="122"/>
    <x v="79"/>
  </r>
  <r>
    <x v="132"/>
    <x v="0"/>
    <x v="0"/>
    <x v="121"/>
    <x v="129"/>
    <x v="1"/>
    <x v="1"/>
    <x v="47"/>
    <x v="0"/>
    <x v="0"/>
    <x v="0"/>
    <x v="0"/>
    <x v="0"/>
    <x v="0"/>
    <x v="123"/>
    <x v="80"/>
  </r>
  <r>
    <x v="133"/>
    <x v="1"/>
    <x v="2"/>
    <x v="122"/>
    <x v="130"/>
    <x v="1"/>
    <x v="1"/>
    <x v="28"/>
    <x v="0"/>
    <x v="0"/>
    <x v="0"/>
    <x v="0"/>
    <x v="1"/>
    <x v="0"/>
    <x v="124"/>
    <x v="19"/>
  </r>
  <r>
    <x v="134"/>
    <x v="0"/>
    <x v="2"/>
    <x v="123"/>
    <x v="131"/>
    <x v="0"/>
    <x v="0"/>
    <x v="37"/>
    <x v="0"/>
    <x v="1"/>
    <x v="0"/>
    <x v="1"/>
    <x v="0"/>
    <x v="1"/>
    <x v="125"/>
    <x v="16"/>
  </r>
  <r>
    <x v="135"/>
    <x v="0"/>
    <x v="2"/>
    <x v="124"/>
    <x v="132"/>
    <x v="0"/>
    <x v="0"/>
    <x v="41"/>
    <x v="0"/>
    <x v="1"/>
    <x v="0"/>
    <x v="1"/>
    <x v="0"/>
    <x v="1"/>
    <x v="126"/>
    <x v="81"/>
  </r>
  <r>
    <x v="136"/>
    <x v="1"/>
    <x v="1"/>
    <x v="125"/>
    <x v="133"/>
    <x v="2"/>
    <x v="1"/>
    <x v="19"/>
    <x v="3"/>
    <x v="1"/>
    <x v="2"/>
    <x v="3"/>
    <x v="1"/>
    <x v="0"/>
    <x v="127"/>
    <x v="82"/>
  </r>
  <r>
    <x v="137"/>
    <x v="0"/>
    <x v="1"/>
    <x v="3"/>
    <x v="134"/>
    <x v="0"/>
    <x v="0"/>
    <x v="46"/>
    <x v="0"/>
    <x v="0"/>
    <x v="0"/>
    <x v="0"/>
    <x v="0"/>
    <x v="0"/>
    <x v="3"/>
    <x v="3"/>
  </r>
  <r>
    <x v="138"/>
    <x v="0"/>
    <x v="0"/>
    <x v="126"/>
    <x v="135"/>
    <x v="0"/>
    <x v="0"/>
    <x v="36"/>
    <x v="3"/>
    <x v="1"/>
    <x v="0"/>
    <x v="1"/>
    <x v="0"/>
    <x v="1"/>
    <x v="128"/>
    <x v="83"/>
  </r>
  <r>
    <x v="139"/>
    <x v="0"/>
    <x v="1"/>
    <x v="127"/>
    <x v="136"/>
    <x v="0"/>
    <x v="0"/>
    <x v="42"/>
    <x v="0"/>
    <x v="1"/>
    <x v="0"/>
    <x v="1"/>
    <x v="0"/>
    <x v="1"/>
    <x v="129"/>
    <x v="84"/>
  </r>
  <r>
    <x v="140"/>
    <x v="0"/>
    <x v="0"/>
    <x v="128"/>
    <x v="137"/>
    <x v="1"/>
    <x v="1"/>
    <x v="4"/>
    <x v="1"/>
    <x v="1"/>
    <x v="2"/>
    <x v="3"/>
    <x v="0"/>
    <x v="0"/>
    <x v="130"/>
    <x v="49"/>
  </r>
  <r>
    <x v="141"/>
    <x v="1"/>
    <x v="0"/>
    <x v="129"/>
    <x v="138"/>
    <x v="2"/>
    <x v="1"/>
    <x v="0"/>
    <x v="0"/>
    <x v="1"/>
    <x v="0"/>
    <x v="1"/>
    <x v="1"/>
    <x v="1"/>
    <x v="131"/>
    <x v="28"/>
  </r>
  <r>
    <x v="142"/>
    <x v="1"/>
    <x v="0"/>
    <x v="130"/>
    <x v="139"/>
    <x v="1"/>
    <x v="1"/>
    <x v="42"/>
    <x v="0"/>
    <x v="0"/>
    <x v="0"/>
    <x v="0"/>
    <x v="1"/>
    <x v="0"/>
    <x v="132"/>
    <x v="62"/>
  </r>
  <r>
    <x v="143"/>
    <x v="0"/>
    <x v="0"/>
    <x v="131"/>
    <x v="140"/>
    <x v="0"/>
    <x v="0"/>
    <x v="19"/>
    <x v="3"/>
    <x v="1"/>
    <x v="0"/>
    <x v="1"/>
    <x v="0"/>
    <x v="1"/>
    <x v="133"/>
    <x v="85"/>
  </r>
  <r>
    <x v="144"/>
    <x v="0"/>
    <x v="2"/>
    <x v="132"/>
    <x v="141"/>
    <x v="0"/>
    <x v="0"/>
    <x v="24"/>
    <x v="3"/>
    <x v="1"/>
    <x v="0"/>
    <x v="1"/>
    <x v="0"/>
    <x v="1"/>
    <x v="134"/>
    <x v="86"/>
  </r>
  <r>
    <x v="145"/>
    <x v="0"/>
    <x v="2"/>
    <x v="133"/>
    <x v="142"/>
    <x v="0"/>
    <x v="0"/>
    <x v="19"/>
    <x v="3"/>
    <x v="0"/>
    <x v="1"/>
    <x v="3"/>
    <x v="0"/>
    <x v="0"/>
    <x v="135"/>
    <x v="87"/>
  </r>
  <r>
    <x v="146"/>
    <x v="1"/>
    <x v="0"/>
    <x v="13"/>
    <x v="143"/>
    <x v="0"/>
    <x v="0"/>
    <x v="7"/>
    <x v="0"/>
    <x v="1"/>
    <x v="0"/>
    <x v="1"/>
    <x v="1"/>
    <x v="1"/>
    <x v="136"/>
    <x v="88"/>
  </r>
  <r>
    <x v="147"/>
    <x v="0"/>
    <x v="0"/>
    <x v="82"/>
    <x v="144"/>
    <x v="2"/>
    <x v="1"/>
    <x v="52"/>
    <x v="2"/>
    <x v="4"/>
    <x v="2"/>
    <x v="2"/>
    <x v="0"/>
    <x v="2"/>
    <x v="84"/>
    <x v="63"/>
  </r>
  <r>
    <x v="148"/>
    <x v="0"/>
    <x v="2"/>
    <x v="134"/>
    <x v="145"/>
    <x v="0"/>
    <x v="0"/>
    <x v="53"/>
    <x v="0"/>
    <x v="1"/>
    <x v="2"/>
    <x v="3"/>
    <x v="0"/>
    <x v="0"/>
    <x v="137"/>
    <x v="19"/>
  </r>
  <r>
    <x v="149"/>
    <x v="0"/>
    <x v="2"/>
    <x v="135"/>
    <x v="146"/>
    <x v="5"/>
    <x v="0"/>
    <x v="22"/>
    <x v="0"/>
    <x v="1"/>
    <x v="0"/>
    <x v="1"/>
    <x v="0"/>
    <x v="1"/>
    <x v="138"/>
    <x v="16"/>
  </r>
  <r>
    <x v="150"/>
    <x v="0"/>
    <x v="2"/>
    <x v="136"/>
    <x v="147"/>
    <x v="5"/>
    <x v="0"/>
    <x v="54"/>
    <x v="0"/>
    <x v="1"/>
    <x v="0"/>
    <x v="1"/>
    <x v="0"/>
    <x v="1"/>
    <x v="139"/>
    <x v="89"/>
  </r>
  <r>
    <x v="151"/>
    <x v="1"/>
    <x v="1"/>
    <x v="137"/>
    <x v="148"/>
    <x v="1"/>
    <x v="1"/>
    <x v="0"/>
    <x v="0"/>
    <x v="0"/>
    <x v="0"/>
    <x v="0"/>
    <x v="1"/>
    <x v="0"/>
    <x v="140"/>
    <x v="90"/>
  </r>
  <r>
    <x v="152"/>
    <x v="0"/>
    <x v="0"/>
    <x v="138"/>
    <x v="149"/>
    <x v="0"/>
    <x v="0"/>
    <x v="55"/>
    <x v="0"/>
    <x v="1"/>
    <x v="0"/>
    <x v="1"/>
    <x v="0"/>
    <x v="1"/>
    <x v="141"/>
    <x v="4"/>
  </r>
  <r>
    <x v="153"/>
    <x v="0"/>
    <x v="0"/>
    <x v="139"/>
    <x v="150"/>
    <x v="0"/>
    <x v="0"/>
    <x v="56"/>
    <x v="0"/>
    <x v="1"/>
    <x v="2"/>
    <x v="3"/>
    <x v="0"/>
    <x v="0"/>
    <x v="142"/>
    <x v="80"/>
  </r>
  <r>
    <x v="154"/>
    <x v="0"/>
    <x v="0"/>
    <x v="140"/>
    <x v="151"/>
    <x v="0"/>
    <x v="0"/>
    <x v="4"/>
    <x v="1"/>
    <x v="1"/>
    <x v="0"/>
    <x v="1"/>
    <x v="0"/>
    <x v="1"/>
    <x v="143"/>
    <x v="91"/>
  </r>
  <r>
    <x v="155"/>
    <x v="0"/>
    <x v="1"/>
    <x v="17"/>
    <x v="152"/>
    <x v="0"/>
    <x v="0"/>
    <x v="54"/>
    <x v="0"/>
    <x v="1"/>
    <x v="1"/>
    <x v="0"/>
    <x v="0"/>
    <x v="0"/>
    <x v="144"/>
    <x v="92"/>
  </r>
  <r>
    <x v="156"/>
    <x v="1"/>
    <x v="0"/>
    <x v="141"/>
    <x v="153"/>
    <x v="2"/>
    <x v="1"/>
    <x v="36"/>
    <x v="3"/>
    <x v="1"/>
    <x v="0"/>
    <x v="1"/>
    <x v="1"/>
    <x v="1"/>
    <x v="145"/>
    <x v="93"/>
  </r>
  <r>
    <x v="157"/>
    <x v="0"/>
    <x v="0"/>
    <x v="142"/>
    <x v="154"/>
    <x v="0"/>
    <x v="0"/>
    <x v="39"/>
    <x v="0"/>
    <x v="1"/>
    <x v="0"/>
    <x v="1"/>
    <x v="0"/>
    <x v="1"/>
    <x v="146"/>
    <x v="4"/>
  </r>
  <r>
    <x v="158"/>
    <x v="0"/>
    <x v="0"/>
    <x v="143"/>
    <x v="155"/>
    <x v="0"/>
    <x v="0"/>
    <x v="4"/>
    <x v="1"/>
    <x v="1"/>
    <x v="0"/>
    <x v="1"/>
    <x v="0"/>
    <x v="1"/>
    <x v="147"/>
    <x v="51"/>
  </r>
  <r>
    <x v="159"/>
    <x v="0"/>
    <x v="0"/>
    <x v="144"/>
    <x v="156"/>
    <x v="3"/>
    <x v="0"/>
    <x v="4"/>
    <x v="1"/>
    <x v="6"/>
    <x v="2"/>
    <x v="8"/>
    <x v="0"/>
    <x v="2"/>
    <x v="148"/>
    <x v="94"/>
  </r>
  <r>
    <x v="160"/>
    <x v="0"/>
    <x v="0"/>
    <x v="145"/>
    <x v="157"/>
    <x v="0"/>
    <x v="0"/>
    <x v="57"/>
    <x v="0"/>
    <x v="1"/>
    <x v="1"/>
    <x v="0"/>
    <x v="0"/>
    <x v="0"/>
    <x v="149"/>
    <x v="95"/>
  </r>
  <r>
    <x v="161"/>
    <x v="1"/>
    <x v="2"/>
    <x v="146"/>
    <x v="158"/>
    <x v="1"/>
    <x v="1"/>
    <x v="20"/>
    <x v="0"/>
    <x v="1"/>
    <x v="0"/>
    <x v="1"/>
    <x v="1"/>
    <x v="1"/>
    <x v="150"/>
    <x v="96"/>
  </r>
  <r>
    <x v="162"/>
    <x v="0"/>
    <x v="0"/>
    <x v="147"/>
    <x v="159"/>
    <x v="0"/>
    <x v="0"/>
    <x v="2"/>
    <x v="0"/>
    <x v="1"/>
    <x v="0"/>
    <x v="1"/>
    <x v="0"/>
    <x v="1"/>
    <x v="151"/>
    <x v="71"/>
  </r>
  <r>
    <x v="163"/>
    <x v="0"/>
    <x v="0"/>
    <x v="148"/>
    <x v="160"/>
    <x v="0"/>
    <x v="0"/>
    <x v="34"/>
    <x v="3"/>
    <x v="1"/>
    <x v="0"/>
    <x v="1"/>
    <x v="0"/>
    <x v="1"/>
    <x v="152"/>
    <x v="51"/>
  </r>
  <r>
    <x v="164"/>
    <x v="0"/>
    <x v="0"/>
    <x v="48"/>
    <x v="161"/>
    <x v="3"/>
    <x v="0"/>
    <x v="58"/>
    <x v="2"/>
    <x v="3"/>
    <x v="1"/>
    <x v="5"/>
    <x v="0"/>
    <x v="2"/>
    <x v="49"/>
    <x v="40"/>
  </r>
  <r>
    <x v="165"/>
    <x v="1"/>
    <x v="0"/>
    <x v="149"/>
    <x v="162"/>
    <x v="3"/>
    <x v="0"/>
    <x v="52"/>
    <x v="2"/>
    <x v="1"/>
    <x v="2"/>
    <x v="3"/>
    <x v="1"/>
    <x v="0"/>
    <x v="153"/>
    <x v="97"/>
  </r>
  <r>
    <x v="166"/>
    <x v="1"/>
    <x v="1"/>
    <x v="150"/>
    <x v="163"/>
    <x v="1"/>
    <x v="1"/>
    <x v="4"/>
    <x v="1"/>
    <x v="1"/>
    <x v="1"/>
    <x v="0"/>
    <x v="1"/>
    <x v="0"/>
    <x v="154"/>
    <x v="98"/>
  </r>
  <r>
    <x v="167"/>
    <x v="0"/>
    <x v="0"/>
    <x v="61"/>
    <x v="164"/>
    <x v="1"/>
    <x v="1"/>
    <x v="33"/>
    <x v="0"/>
    <x v="0"/>
    <x v="5"/>
    <x v="5"/>
    <x v="0"/>
    <x v="2"/>
    <x v="62"/>
    <x v="48"/>
  </r>
  <r>
    <x v="168"/>
    <x v="0"/>
    <x v="1"/>
    <x v="151"/>
    <x v="165"/>
    <x v="0"/>
    <x v="0"/>
    <x v="4"/>
    <x v="1"/>
    <x v="1"/>
    <x v="0"/>
    <x v="1"/>
    <x v="0"/>
    <x v="1"/>
    <x v="155"/>
    <x v="99"/>
  </r>
  <r>
    <x v="169"/>
    <x v="0"/>
    <x v="0"/>
    <x v="152"/>
    <x v="73"/>
    <x v="0"/>
    <x v="0"/>
    <x v="17"/>
    <x v="0"/>
    <x v="1"/>
    <x v="0"/>
    <x v="1"/>
    <x v="0"/>
    <x v="1"/>
    <x v="72"/>
    <x v="54"/>
  </r>
  <r>
    <x v="170"/>
    <x v="0"/>
    <x v="1"/>
    <x v="153"/>
    <x v="166"/>
    <x v="0"/>
    <x v="0"/>
    <x v="59"/>
    <x v="4"/>
    <x v="1"/>
    <x v="0"/>
    <x v="1"/>
    <x v="0"/>
    <x v="1"/>
    <x v="156"/>
    <x v="100"/>
  </r>
  <r>
    <x v="171"/>
    <x v="0"/>
    <x v="0"/>
    <x v="16"/>
    <x v="167"/>
    <x v="3"/>
    <x v="0"/>
    <x v="9"/>
    <x v="2"/>
    <x v="3"/>
    <x v="1"/>
    <x v="5"/>
    <x v="0"/>
    <x v="2"/>
    <x v="16"/>
    <x v="15"/>
  </r>
  <r>
    <x v="172"/>
    <x v="1"/>
    <x v="0"/>
    <x v="8"/>
    <x v="168"/>
    <x v="2"/>
    <x v="1"/>
    <x v="58"/>
    <x v="2"/>
    <x v="0"/>
    <x v="1"/>
    <x v="3"/>
    <x v="1"/>
    <x v="0"/>
    <x v="8"/>
    <x v="8"/>
  </r>
  <r>
    <x v="173"/>
    <x v="0"/>
    <x v="0"/>
    <x v="154"/>
    <x v="169"/>
    <x v="0"/>
    <x v="0"/>
    <x v="23"/>
    <x v="0"/>
    <x v="1"/>
    <x v="0"/>
    <x v="1"/>
    <x v="0"/>
    <x v="1"/>
    <x v="157"/>
    <x v="2"/>
  </r>
  <r>
    <x v="174"/>
    <x v="0"/>
    <x v="1"/>
    <x v="155"/>
    <x v="170"/>
    <x v="0"/>
    <x v="0"/>
    <x v="60"/>
    <x v="0"/>
    <x v="1"/>
    <x v="0"/>
    <x v="1"/>
    <x v="0"/>
    <x v="1"/>
    <x v="158"/>
    <x v="101"/>
  </r>
  <r>
    <x v="175"/>
    <x v="0"/>
    <x v="0"/>
    <x v="156"/>
    <x v="171"/>
    <x v="0"/>
    <x v="0"/>
    <x v="24"/>
    <x v="3"/>
    <x v="0"/>
    <x v="1"/>
    <x v="3"/>
    <x v="0"/>
    <x v="0"/>
    <x v="159"/>
    <x v="13"/>
  </r>
  <r>
    <x v="176"/>
    <x v="0"/>
    <x v="0"/>
    <x v="157"/>
    <x v="172"/>
    <x v="3"/>
    <x v="0"/>
    <x v="4"/>
    <x v="1"/>
    <x v="2"/>
    <x v="1"/>
    <x v="2"/>
    <x v="0"/>
    <x v="2"/>
    <x v="160"/>
    <x v="102"/>
  </r>
  <r>
    <x v="177"/>
    <x v="0"/>
    <x v="1"/>
    <x v="158"/>
    <x v="173"/>
    <x v="2"/>
    <x v="1"/>
    <x v="61"/>
    <x v="0"/>
    <x v="1"/>
    <x v="0"/>
    <x v="1"/>
    <x v="0"/>
    <x v="1"/>
    <x v="161"/>
    <x v="103"/>
  </r>
  <r>
    <x v="178"/>
    <x v="0"/>
    <x v="2"/>
    <x v="159"/>
    <x v="174"/>
    <x v="0"/>
    <x v="0"/>
    <x v="39"/>
    <x v="0"/>
    <x v="1"/>
    <x v="0"/>
    <x v="1"/>
    <x v="0"/>
    <x v="1"/>
    <x v="162"/>
    <x v="16"/>
  </r>
  <r>
    <x v="179"/>
    <x v="0"/>
    <x v="0"/>
    <x v="160"/>
    <x v="175"/>
    <x v="0"/>
    <x v="0"/>
    <x v="62"/>
    <x v="0"/>
    <x v="1"/>
    <x v="0"/>
    <x v="1"/>
    <x v="0"/>
    <x v="1"/>
    <x v="163"/>
    <x v="104"/>
  </r>
  <r>
    <x v="180"/>
    <x v="0"/>
    <x v="0"/>
    <x v="144"/>
    <x v="176"/>
    <x v="2"/>
    <x v="1"/>
    <x v="4"/>
    <x v="1"/>
    <x v="6"/>
    <x v="2"/>
    <x v="8"/>
    <x v="0"/>
    <x v="2"/>
    <x v="148"/>
    <x v="94"/>
  </r>
  <r>
    <x v="181"/>
    <x v="0"/>
    <x v="2"/>
    <x v="161"/>
    <x v="177"/>
    <x v="0"/>
    <x v="0"/>
    <x v="4"/>
    <x v="1"/>
    <x v="1"/>
    <x v="0"/>
    <x v="1"/>
    <x v="0"/>
    <x v="1"/>
    <x v="164"/>
    <x v="105"/>
  </r>
  <r>
    <x v="182"/>
    <x v="0"/>
    <x v="0"/>
    <x v="24"/>
    <x v="178"/>
    <x v="3"/>
    <x v="0"/>
    <x v="52"/>
    <x v="2"/>
    <x v="3"/>
    <x v="2"/>
    <x v="4"/>
    <x v="0"/>
    <x v="2"/>
    <x v="24"/>
    <x v="22"/>
  </r>
  <r>
    <x v="183"/>
    <x v="1"/>
    <x v="2"/>
    <x v="162"/>
    <x v="179"/>
    <x v="3"/>
    <x v="0"/>
    <x v="58"/>
    <x v="2"/>
    <x v="4"/>
    <x v="1"/>
    <x v="6"/>
    <x v="1"/>
    <x v="2"/>
    <x v="165"/>
    <x v="106"/>
  </r>
  <r>
    <x v="184"/>
    <x v="1"/>
    <x v="0"/>
    <x v="163"/>
    <x v="180"/>
    <x v="2"/>
    <x v="1"/>
    <x v="9"/>
    <x v="2"/>
    <x v="1"/>
    <x v="2"/>
    <x v="3"/>
    <x v="1"/>
    <x v="0"/>
    <x v="166"/>
    <x v="107"/>
  </r>
  <r>
    <x v="185"/>
    <x v="0"/>
    <x v="1"/>
    <x v="164"/>
    <x v="181"/>
    <x v="0"/>
    <x v="0"/>
    <x v="4"/>
    <x v="1"/>
    <x v="1"/>
    <x v="0"/>
    <x v="1"/>
    <x v="0"/>
    <x v="1"/>
    <x v="167"/>
    <x v="108"/>
  </r>
  <r>
    <x v="186"/>
    <x v="1"/>
    <x v="0"/>
    <x v="165"/>
    <x v="182"/>
    <x v="1"/>
    <x v="1"/>
    <x v="4"/>
    <x v="1"/>
    <x v="0"/>
    <x v="0"/>
    <x v="0"/>
    <x v="1"/>
    <x v="0"/>
    <x v="168"/>
    <x v="37"/>
  </r>
  <r>
    <x v="187"/>
    <x v="1"/>
    <x v="1"/>
    <x v="166"/>
    <x v="183"/>
    <x v="0"/>
    <x v="0"/>
    <x v="33"/>
    <x v="0"/>
    <x v="1"/>
    <x v="0"/>
    <x v="1"/>
    <x v="1"/>
    <x v="1"/>
    <x v="169"/>
    <x v="11"/>
  </r>
  <r>
    <x v="188"/>
    <x v="0"/>
    <x v="0"/>
    <x v="167"/>
    <x v="184"/>
    <x v="0"/>
    <x v="0"/>
    <x v="20"/>
    <x v="0"/>
    <x v="0"/>
    <x v="1"/>
    <x v="3"/>
    <x v="0"/>
    <x v="0"/>
    <x v="170"/>
    <x v="37"/>
  </r>
  <r>
    <x v="189"/>
    <x v="0"/>
    <x v="0"/>
    <x v="168"/>
    <x v="185"/>
    <x v="0"/>
    <x v="0"/>
    <x v="62"/>
    <x v="0"/>
    <x v="1"/>
    <x v="0"/>
    <x v="1"/>
    <x v="0"/>
    <x v="1"/>
    <x v="171"/>
    <x v="25"/>
  </r>
  <r>
    <x v="190"/>
    <x v="1"/>
    <x v="2"/>
    <x v="169"/>
    <x v="186"/>
    <x v="1"/>
    <x v="1"/>
    <x v="35"/>
    <x v="0"/>
    <x v="1"/>
    <x v="0"/>
    <x v="1"/>
    <x v="1"/>
    <x v="1"/>
    <x v="172"/>
    <x v="16"/>
  </r>
  <r>
    <x v="191"/>
    <x v="0"/>
    <x v="2"/>
    <x v="170"/>
    <x v="187"/>
    <x v="0"/>
    <x v="0"/>
    <x v="19"/>
    <x v="3"/>
    <x v="1"/>
    <x v="0"/>
    <x v="1"/>
    <x v="0"/>
    <x v="1"/>
    <x v="173"/>
    <x v="16"/>
  </r>
  <r>
    <x v="192"/>
    <x v="1"/>
    <x v="0"/>
    <x v="171"/>
    <x v="188"/>
    <x v="2"/>
    <x v="1"/>
    <x v="19"/>
    <x v="3"/>
    <x v="0"/>
    <x v="0"/>
    <x v="0"/>
    <x v="1"/>
    <x v="0"/>
    <x v="174"/>
    <x v="13"/>
  </r>
  <r>
    <x v="193"/>
    <x v="1"/>
    <x v="2"/>
    <x v="134"/>
    <x v="189"/>
    <x v="3"/>
    <x v="0"/>
    <x v="25"/>
    <x v="2"/>
    <x v="0"/>
    <x v="1"/>
    <x v="3"/>
    <x v="1"/>
    <x v="0"/>
    <x v="137"/>
    <x v="19"/>
  </r>
  <r>
    <x v="194"/>
    <x v="1"/>
    <x v="1"/>
    <x v="172"/>
    <x v="190"/>
    <x v="1"/>
    <x v="1"/>
    <x v="57"/>
    <x v="0"/>
    <x v="1"/>
    <x v="0"/>
    <x v="1"/>
    <x v="1"/>
    <x v="1"/>
    <x v="175"/>
    <x v="26"/>
  </r>
  <r>
    <x v="195"/>
    <x v="1"/>
    <x v="1"/>
    <x v="173"/>
    <x v="191"/>
    <x v="2"/>
    <x v="1"/>
    <x v="10"/>
    <x v="0"/>
    <x v="1"/>
    <x v="0"/>
    <x v="1"/>
    <x v="1"/>
    <x v="1"/>
    <x v="30"/>
    <x v="27"/>
  </r>
  <r>
    <x v="196"/>
    <x v="0"/>
    <x v="0"/>
    <x v="174"/>
    <x v="192"/>
    <x v="0"/>
    <x v="0"/>
    <x v="4"/>
    <x v="1"/>
    <x v="1"/>
    <x v="0"/>
    <x v="1"/>
    <x v="0"/>
    <x v="1"/>
    <x v="176"/>
    <x v="28"/>
  </r>
  <r>
    <x v="197"/>
    <x v="0"/>
    <x v="0"/>
    <x v="140"/>
    <x v="193"/>
    <x v="0"/>
    <x v="0"/>
    <x v="22"/>
    <x v="0"/>
    <x v="1"/>
    <x v="1"/>
    <x v="0"/>
    <x v="0"/>
    <x v="0"/>
    <x v="177"/>
    <x v="109"/>
  </r>
  <r>
    <x v="198"/>
    <x v="1"/>
    <x v="0"/>
    <x v="175"/>
    <x v="194"/>
    <x v="2"/>
    <x v="1"/>
    <x v="4"/>
    <x v="1"/>
    <x v="1"/>
    <x v="0"/>
    <x v="1"/>
    <x v="1"/>
    <x v="1"/>
    <x v="178"/>
    <x v="28"/>
  </r>
  <r>
    <x v="199"/>
    <x v="0"/>
    <x v="2"/>
    <x v="176"/>
    <x v="195"/>
    <x v="2"/>
    <x v="1"/>
    <x v="42"/>
    <x v="0"/>
    <x v="1"/>
    <x v="0"/>
    <x v="1"/>
    <x v="0"/>
    <x v="1"/>
    <x v="179"/>
    <x v="16"/>
  </r>
  <r>
    <x v="200"/>
    <x v="0"/>
    <x v="0"/>
    <x v="177"/>
    <x v="196"/>
    <x v="0"/>
    <x v="0"/>
    <x v="17"/>
    <x v="0"/>
    <x v="1"/>
    <x v="0"/>
    <x v="1"/>
    <x v="0"/>
    <x v="1"/>
    <x v="180"/>
    <x v="59"/>
  </r>
  <r>
    <x v="201"/>
    <x v="0"/>
    <x v="0"/>
    <x v="144"/>
    <x v="197"/>
    <x v="0"/>
    <x v="0"/>
    <x v="4"/>
    <x v="1"/>
    <x v="6"/>
    <x v="2"/>
    <x v="8"/>
    <x v="0"/>
    <x v="2"/>
    <x v="148"/>
    <x v="94"/>
  </r>
  <r>
    <x v="202"/>
    <x v="0"/>
    <x v="0"/>
    <x v="178"/>
    <x v="198"/>
    <x v="0"/>
    <x v="0"/>
    <x v="15"/>
    <x v="0"/>
    <x v="1"/>
    <x v="0"/>
    <x v="1"/>
    <x v="0"/>
    <x v="1"/>
    <x v="181"/>
    <x v="110"/>
  </r>
  <r>
    <x v="203"/>
    <x v="0"/>
    <x v="0"/>
    <x v="179"/>
    <x v="199"/>
    <x v="0"/>
    <x v="0"/>
    <x v="63"/>
    <x v="0"/>
    <x v="1"/>
    <x v="0"/>
    <x v="1"/>
    <x v="0"/>
    <x v="1"/>
    <x v="182"/>
    <x v="18"/>
  </r>
  <r>
    <x v="204"/>
    <x v="1"/>
    <x v="0"/>
    <x v="180"/>
    <x v="200"/>
    <x v="0"/>
    <x v="0"/>
    <x v="24"/>
    <x v="3"/>
    <x v="1"/>
    <x v="0"/>
    <x v="1"/>
    <x v="1"/>
    <x v="1"/>
    <x v="183"/>
    <x v="4"/>
  </r>
  <r>
    <x v="205"/>
    <x v="0"/>
    <x v="0"/>
    <x v="181"/>
    <x v="201"/>
    <x v="2"/>
    <x v="1"/>
    <x v="6"/>
    <x v="2"/>
    <x v="1"/>
    <x v="1"/>
    <x v="0"/>
    <x v="0"/>
    <x v="0"/>
    <x v="184"/>
    <x v="111"/>
  </r>
  <r>
    <x v="206"/>
    <x v="0"/>
    <x v="0"/>
    <x v="81"/>
    <x v="202"/>
    <x v="0"/>
    <x v="0"/>
    <x v="35"/>
    <x v="0"/>
    <x v="0"/>
    <x v="0"/>
    <x v="0"/>
    <x v="0"/>
    <x v="0"/>
    <x v="83"/>
    <x v="62"/>
  </r>
  <r>
    <x v="207"/>
    <x v="1"/>
    <x v="0"/>
    <x v="182"/>
    <x v="203"/>
    <x v="0"/>
    <x v="0"/>
    <x v="2"/>
    <x v="0"/>
    <x v="1"/>
    <x v="0"/>
    <x v="1"/>
    <x v="1"/>
    <x v="1"/>
    <x v="185"/>
    <x v="112"/>
  </r>
  <r>
    <x v="208"/>
    <x v="1"/>
    <x v="0"/>
    <x v="183"/>
    <x v="204"/>
    <x v="2"/>
    <x v="1"/>
    <x v="36"/>
    <x v="3"/>
    <x v="1"/>
    <x v="0"/>
    <x v="1"/>
    <x v="1"/>
    <x v="1"/>
    <x v="186"/>
    <x v="28"/>
  </r>
  <r>
    <x v="209"/>
    <x v="1"/>
    <x v="1"/>
    <x v="184"/>
    <x v="205"/>
    <x v="0"/>
    <x v="0"/>
    <x v="20"/>
    <x v="0"/>
    <x v="1"/>
    <x v="0"/>
    <x v="1"/>
    <x v="1"/>
    <x v="1"/>
    <x v="187"/>
    <x v="113"/>
  </r>
  <r>
    <x v="210"/>
    <x v="0"/>
    <x v="0"/>
    <x v="185"/>
    <x v="206"/>
    <x v="0"/>
    <x v="0"/>
    <x v="42"/>
    <x v="0"/>
    <x v="1"/>
    <x v="0"/>
    <x v="1"/>
    <x v="0"/>
    <x v="1"/>
    <x v="188"/>
    <x v="79"/>
  </r>
  <r>
    <x v="211"/>
    <x v="1"/>
    <x v="2"/>
    <x v="186"/>
    <x v="207"/>
    <x v="2"/>
    <x v="1"/>
    <x v="3"/>
    <x v="0"/>
    <x v="1"/>
    <x v="0"/>
    <x v="1"/>
    <x v="1"/>
    <x v="1"/>
    <x v="189"/>
    <x v="35"/>
  </r>
  <r>
    <x v="212"/>
    <x v="0"/>
    <x v="0"/>
    <x v="187"/>
    <x v="208"/>
    <x v="0"/>
    <x v="0"/>
    <x v="0"/>
    <x v="0"/>
    <x v="1"/>
    <x v="0"/>
    <x v="1"/>
    <x v="0"/>
    <x v="1"/>
    <x v="190"/>
    <x v="0"/>
  </r>
  <r>
    <x v="213"/>
    <x v="0"/>
    <x v="2"/>
    <x v="188"/>
    <x v="209"/>
    <x v="0"/>
    <x v="0"/>
    <x v="39"/>
    <x v="0"/>
    <x v="1"/>
    <x v="0"/>
    <x v="1"/>
    <x v="0"/>
    <x v="1"/>
    <x v="191"/>
    <x v="16"/>
  </r>
  <r>
    <x v="214"/>
    <x v="0"/>
    <x v="0"/>
    <x v="189"/>
    <x v="210"/>
    <x v="0"/>
    <x v="0"/>
    <x v="4"/>
    <x v="1"/>
    <x v="0"/>
    <x v="0"/>
    <x v="0"/>
    <x v="0"/>
    <x v="0"/>
    <x v="192"/>
    <x v="28"/>
  </r>
  <r>
    <x v="215"/>
    <x v="1"/>
    <x v="1"/>
    <x v="190"/>
    <x v="211"/>
    <x v="2"/>
    <x v="1"/>
    <x v="14"/>
    <x v="0"/>
    <x v="0"/>
    <x v="0"/>
    <x v="0"/>
    <x v="1"/>
    <x v="0"/>
    <x v="193"/>
    <x v="114"/>
  </r>
  <r>
    <x v="216"/>
    <x v="1"/>
    <x v="0"/>
    <x v="191"/>
    <x v="212"/>
    <x v="2"/>
    <x v="1"/>
    <x v="7"/>
    <x v="0"/>
    <x v="1"/>
    <x v="0"/>
    <x v="1"/>
    <x v="1"/>
    <x v="1"/>
    <x v="194"/>
    <x v="2"/>
  </r>
  <r>
    <x v="217"/>
    <x v="0"/>
    <x v="2"/>
    <x v="192"/>
    <x v="213"/>
    <x v="0"/>
    <x v="0"/>
    <x v="22"/>
    <x v="0"/>
    <x v="0"/>
    <x v="0"/>
    <x v="0"/>
    <x v="0"/>
    <x v="0"/>
    <x v="195"/>
    <x v="115"/>
  </r>
  <r>
    <x v="218"/>
    <x v="1"/>
    <x v="1"/>
    <x v="193"/>
    <x v="214"/>
    <x v="2"/>
    <x v="1"/>
    <x v="35"/>
    <x v="0"/>
    <x v="1"/>
    <x v="0"/>
    <x v="1"/>
    <x v="1"/>
    <x v="1"/>
    <x v="196"/>
    <x v="116"/>
  </r>
  <r>
    <x v="219"/>
    <x v="0"/>
    <x v="2"/>
    <x v="60"/>
    <x v="215"/>
    <x v="0"/>
    <x v="0"/>
    <x v="39"/>
    <x v="0"/>
    <x v="1"/>
    <x v="0"/>
    <x v="1"/>
    <x v="0"/>
    <x v="1"/>
    <x v="197"/>
    <x v="29"/>
  </r>
  <r>
    <x v="220"/>
    <x v="1"/>
    <x v="0"/>
    <x v="194"/>
    <x v="216"/>
    <x v="0"/>
    <x v="0"/>
    <x v="36"/>
    <x v="3"/>
    <x v="1"/>
    <x v="0"/>
    <x v="1"/>
    <x v="1"/>
    <x v="1"/>
    <x v="198"/>
    <x v="4"/>
  </r>
  <r>
    <x v="221"/>
    <x v="0"/>
    <x v="2"/>
    <x v="195"/>
    <x v="217"/>
    <x v="0"/>
    <x v="0"/>
    <x v="7"/>
    <x v="0"/>
    <x v="1"/>
    <x v="0"/>
    <x v="1"/>
    <x v="0"/>
    <x v="1"/>
    <x v="199"/>
    <x v="16"/>
  </r>
  <r>
    <x v="222"/>
    <x v="0"/>
    <x v="0"/>
    <x v="196"/>
    <x v="218"/>
    <x v="0"/>
    <x v="0"/>
    <x v="54"/>
    <x v="0"/>
    <x v="1"/>
    <x v="0"/>
    <x v="1"/>
    <x v="0"/>
    <x v="1"/>
    <x v="200"/>
    <x v="4"/>
  </r>
  <r>
    <x v="223"/>
    <x v="0"/>
    <x v="0"/>
    <x v="197"/>
    <x v="219"/>
    <x v="0"/>
    <x v="0"/>
    <x v="4"/>
    <x v="1"/>
    <x v="1"/>
    <x v="0"/>
    <x v="1"/>
    <x v="0"/>
    <x v="1"/>
    <x v="201"/>
    <x v="25"/>
  </r>
  <r>
    <x v="224"/>
    <x v="1"/>
    <x v="1"/>
    <x v="198"/>
    <x v="220"/>
    <x v="0"/>
    <x v="0"/>
    <x v="1"/>
    <x v="0"/>
    <x v="0"/>
    <x v="0"/>
    <x v="0"/>
    <x v="1"/>
    <x v="0"/>
    <x v="202"/>
    <x v="117"/>
  </r>
  <r>
    <x v="225"/>
    <x v="0"/>
    <x v="0"/>
    <x v="199"/>
    <x v="221"/>
    <x v="0"/>
    <x v="0"/>
    <x v="0"/>
    <x v="0"/>
    <x v="1"/>
    <x v="0"/>
    <x v="1"/>
    <x v="0"/>
    <x v="1"/>
    <x v="203"/>
    <x v="118"/>
  </r>
  <r>
    <x v="226"/>
    <x v="1"/>
    <x v="2"/>
    <x v="200"/>
    <x v="44"/>
    <x v="0"/>
    <x v="0"/>
    <x v="19"/>
    <x v="3"/>
    <x v="1"/>
    <x v="0"/>
    <x v="1"/>
    <x v="1"/>
    <x v="1"/>
    <x v="204"/>
    <x v="29"/>
  </r>
  <r>
    <x v="227"/>
    <x v="0"/>
    <x v="0"/>
    <x v="201"/>
    <x v="222"/>
    <x v="0"/>
    <x v="0"/>
    <x v="64"/>
    <x v="0"/>
    <x v="1"/>
    <x v="0"/>
    <x v="1"/>
    <x v="0"/>
    <x v="1"/>
    <x v="205"/>
    <x v="0"/>
  </r>
  <r>
    <x v="228"/>
    <x v="0"/>
    <x v="2"/>
    <x v="202"/>
    <x v="223"/>
    <x v="0"/>
    <x v="0"/>
    <x v="24"/>
    <x v="3"/>
    <x v="1"/>
    <x v="0"/>
    <x v="1"/>
    <x v="0"/>
    <x v="1"/>
    <x v="206"/>
    <x v="16"/>
  </r>
  <r>
    <x v="229"/>
    <x v="0"/>
    <x v="0"/>
    <x v="157"/>
    <x v="224"/>
    <x v="2"/>
    <x v="1"/>
    <x v="4"/>
    <x v="1"/>
    <x v="2"/>
    <x v="1"/>
    <x v="2"/>
    <x v="0"/>
    <x v="2"/>
    <x v="160"/>
    <x v="102"/>
  </r>
  <r>
    <x v="230"/>
    <x v="1"/>
    <x v="1"/>
    <x v="60"/>
    <x v="225"/>
    <x v="1"/>
    <x v="1"/>
    <x v="3"/>
    <x v="0"/>
    <x v="0"/>
    <x v="0"/>
    <x v="0"/>
    <x v="1"/>
    <x v="0"/>
    <x v="61"/>
    <x v="47"/>
  </r>
  <r>
    <x v="231"/>
    <x v="0"/>
    <x v="0"/>
    <x v="203"/>
    <x v="226"/>
    <x v="0"/>
    <x v="0"/>
    <x v="28"/>
    <x v="0"/>
    <x v="1"/>
    <x v="0"/>
    <x v="1"/>
    <x v="0"/>
    <x v="1"/>
    <x v="207"/>
    <x v="71"/>
  </r>
  <r>
    <x v="232"/>
    <x v="0"/>
    <x v="2"/>
    <x v="204"/>
    <x v="227"/>
    <x v="0"/>
    <x v="0"/>
    <x v="44"/>
    <x v="0"/>
    <x v="1"/>
    <x v="0"/>
    <x v="1"/>
    <x v="0"/>
    <x v="1"/>
    <x v="208"/>
    <x v="119"/>
  </r>
  <r>
    <x v="233"/>
    <x v="1"/>
    <x v="0"/>
    <x v="24"/>
    <x v="228"/>
    <x v="2"/>
    <x v="1"/>
    <x v="31"/>
    <x v="2"/>
    <x v="3"/>
    <x v="2"/>
    <x v="4"/>
    <x v="1"/>
    <x v="2"/>
    <x v="24"/>
    <x v="22"/>
  </r>
  <r>
    <x v="234"/>
    <x v="0"/>
    <x v="2"/>
    <x v="205"/>
    <x v="229"/>
    <x v="0"/>
    <x v="0"/>
    <x v="42"/>
    <x v="0"/>
    <x v="1"/>
    <x v="0"/>
    <x v="1"/>
    <x v="0"/>
    <x v="1"/>
    <x v="209"/>
    <x v="29"/>
  </r>
  <r>
    <x v="235"/>
    <x v="0"/>
    <x v="0"/>
    <x v="206"/>
    <x v="230"/>
    <x v="2"/>
    <x v="1"/>
    <x v="4"/>
    <x v="1"/>
    <x v="1"/>
    <x v="0"/>
    <x v="1"/>
    <x v="0"/>
    <x v="1"/>
    <x v="210"/>
    <x v="120"/>
  </r>
  <r>
    <x v="236"/>
    <x v="0"/>
    <x v="2"/>
    <x v="207"/>
    <x v="231"/>
    <x v="0"/>
    <x v="0"/>
    <x v="57"/>
    <x v="0"/>
    <x v="0"/>
    <x v="0"/>
    <x v="0"/>
    <x v="0"/>
    <x v="0"/>
    <x v="211"/>
    <x v="19"/>
  </r>
  <r>
    <x v="237"/>
    <x v="1"/>
    <x v="2"/>
    <x v="208"/>
    <x v="232"/>
    <x v="2"/>
    <x v="1"/>
    <x v="18"/>
    <x v="2"/>
    <x v="1"/>
    <x v="2"/>
    <x v="3"/>
    <x v="1"/>
    <x v="0"/>
    <x v="212"/>
    <x v="121"/>
  </r>
  <r>
    <x v="238"/>
    <x v="0"/>
    <x v="2"/>
    <x v="209"/>
    <x v="233"/>
    <x v="0"/>
    <x v="0"/>
    <x v="19"/>
    <x v="3"/>
    <x v="1"/>
    <x v="0"/>
    <x v="1"/>
    <x v="0"/>
    <x v="1"/>
    <x v="213"/>
    <x v="29"/>
  </r>
  <r>
    <x v="239"/>
    <x v="0"/>
    <x v="2"/>
    <x v="210"/>
    <x v="218"/>
    <x v="0"/>
    <x v="0"/>
    <x v="40"/>
    <x v="0"/>
    <x v="1"/>
    <x v="0"/>
    <x v="1"/>
    <x v="0"/>
    <x v="1"/>
    <x v="214"/>
    <x v="122"/>
  </r>
  <r>
    <x v="240"/>
    <x v="0"/>
    <x v="0"/>
    <x v="105"/>
    <x v="234"/>
    <x v="2"/>
    <x v="1"/>
    <x v="4"/>
    <x v="1"/>
    <x v="0"/>
    <x v="0"/>
    <x v="0"/>
    <x v="0"/>
    <x v="0"/>
    <x v="108"/>
    <x v="53"/>
  </r>
  <r>
    <x v="241"/>
    <x v="1"/>
    <x v="0"/>
    <x v="211"/>
    <x v="235"/>
    <x v="2"/>
    <x v="1"/>
    <x v="4"/>
    <x v="1"/>
    <x v="0"/>
    <x v="0"/>
    <x v="0"/>
    <x v="1"/>
    <x v="0"/>
    <x v="215"/>
    <x v="37"/>
  </r>
  <r>
    <x v="242"/>
    <x v="0"/>
    <x v="2"/>
    <x v="212"/>
    <x v="236"/>
    <x v="0"/>
    <x v="0"/>
    <x v="28"/>
    <x v="0"/>
    <x v="1"/>
    <x v="0"/>
    <x v="1"/>
    <x v="0"/>
    <x v="1"/>
    <x v="216"/>
    <x v="29"/>
  </r>
  <r>
    <x v="243"/>
    <x v="0"/>
    <x v="0"/>
    <x v="213"/>
    <x v="237"/>
    <x v="0"/>
    <x v="0"/>
    <x v="0"/>
    <x v="0"/>
    <x v="1"/>
    <x v="0"/>
    <x v="1"/>
    <x v="0"/>
    <x v="1"/>
    <x v="217"/>
    <x v="123"/>
  </r>
  <r>
    <x v="244"/>
    <x v="0"/>
    <x v="0"/>
    <x v="108"/>
    <x v="238"/>
    <x v="0"/>
    <x v="0"/>
    <x v="39"/>
    <x v="0"/>
    <x v="1"/>
    <x v="0"/>
    <x v="1"/>
    <x v="0"/>
    <x v="1"/>
    <x v="218"/>
    <x v="18"/>
  </r>
  <r>
    <x v="245"/>
    <x v="0"/>
    <x v="1"/>
    <x v="214"/>
    <x v="239"/>
    <x v="6"/>
    <x v="0"/>
    <x v="57"/>
    <x v="0"/>
    <x v="4"/>
    <x v="0"/>
    <x v="3"/>
    <x v="0"/>
    <x v="0"/>
    <x v="219"/>
    <x v="117"/>
  </r>
  <r>
    <x v="246"/>
    <x v="0"/>
    <x v="0"/>
    <x v="215"/>
    <x v="240"/>
    <x v="2"/>
    <x v="1"/>
    <x v="37"/>
    <x v="0"/>
    <x v="1"/>
    <x v="0"/>
    <x v="1"/>
    <x v="0"/>
    <x v="1"/>
    <x v="220"/>
    <x v="71"/>
  </r>
  <r>
    <x v="247"/>
    <x v="1"/>
    <x v="2"/>
    <x v="216"/>
    <x v="241"/>
    <x v="1"/>
    <x v="1"/>
    <x v="42"/>
    <x v="0"/>
    <x v="1"/>
    <x v="2"/>
    <x v="3"/>
    <x v="1"/>
    <x v="0"/>
    <x v="221"/>
    <x v="80"/>
  </r>
  <r>
    <x v="248"/>
    <x v="1"/>
    <x v="1"/>
    <x v="217"/>
    <x v="242"/>
    <x v="0"/>
    <x v="0"/>
    <x v="46"/>
    <x v="0"/>
    <x v="0"/>
    <x v="1"/>
    <x v="3"/>
    <x v="1"/>
    <x v="0"/>
    <x v="222"/>
    <x v="124"/>
  </r>
  <r>
    <x v="249"/>
    <x v="0"/>
    <x v="2"/>
    <x v="218"/>
    <x v="243"/>
    <x v="5"/>
    <x v="0"/>
    <x v="5"/>
    <x v="0"/>
    <x v="0"/>
    <x v="0"/>
    <x v="0"/>
    <x v="0"/>
    <x v="0"/>
    <x v="223"/>
    <x v="19"/>
  </r>
  <r>
    <x v="250"/>
    <x v="0"/>
    <x v="0"/>
    <x v="219"/>
    <x v="244"/>
    <x v="0"/>
    <x v="0"/>
    <x v="4"/>
    <x v="1"/>
    <x v="1"/>
    <x v="0"/>
    <x v="1"/>
    <x v="0"/>
    <x v="1"/>
    <x v="224"/>
    <x v="0"/>
  </r>
  <r>
    <x v="251"/>
    <x v="0"/>
    <x v="0"/>
    <x v="181"/>
    <x v="245"/>
    <x v="1"/>
    <x v="1"/>
    <x v="28"/>
    <x v="0"/>
    <x v="0"/>
    <x v="1"/>
    <x v="3"/>
    <x v="0"/>
    <x v="0"/>
    <x v="184"/>
    <x v="111"/>
  </r>
  <r>
    <x v="252"/>
    <x v="0"/>
    <x v="1"/>
    <x v="220"/>
    <x v="246"/>
    <x v="0"/>
    <x v="0"/>
    <x v="65"/>
    <x v="4"/>
    <x v="1"/>
    <x v="0"/>
    <x v="1"/>
    <x v="0"/>
    <x v="1"/>
    <x v="225"/>
    <x v="11"/>
  </r>
  <r>
    <x v="253"/>
    <x v="0"/>
    <x v="0"/>
    <x v="221"/>
    <x v="247"/>
    <x v="0"/>
    <x v="0"/>
    <x v="39"/>
    <x v="0"/>
    <x v="0"/>
    <x v="0"/>
    <x v="0"/>
    <x v="0"/>
    <x v="0"/>
    <x v="226"/>
    <x v="95"/>
  </r>
  <r>
    <x v="254"/>
    <x v="0"/>
    <x v="0"/>
    <x v="222"/>
    <x v="248"/>
    <x v="1"/>
    <x v="1"/>
    <x v="66"/>
    <x v="0"/>
    <x v="1"/>
    <x v="2"/>
    <x v="3"/>
    <x v="0"/>
    <x v="0"/>
    <x v="227"/>
    <x v="125"/>
  </r>
  <r>
    <x v="255"/>
    <x v="1"/>
    <x v="0"/>
    <x v="223"/>
    <x v="249"/>
    <x v="1"/>
    <x v="1"/>
    <x v="28"/>
    <x v="0"/>
    <x v="1"/>
    <x v="2"/>
    <x v="3"/>
    <x v="1"/>
    <x v="0"/>
    <x v="228"/>
    <x v="49"/>
  </r>
  <r>
    <x v="256"/>
    <x v="1"/>
    <x v="1"/>
    <x v="224"/>
    <x v="250"/>
    <x v="1"/>
    <x v="1"/>
    <x v="4"/>
    <x v="1"/>
    <x v="1"/>
    <x v="0"/>
    <x v="1"/>
    <x v="1"/>
    <x v="1"/>
    <x v="229"/>
    <x v="84"/>
  </r>
  <r>
    <x v="257"/>
    <x v="1"/>
    <x v="1"/>
    <x v="225"/>
    <x v="251"/>
    <x v="2"/>
    <x v="1"/>
    <x v="39"/>
    <x v="0"/>
    <x v="1"/>
    <x v="0"/>
    <x v="1"/>
    <x v="1"/>
    <x v="1"/>
    <x v="230"/>
    <x v="126"/>
  </r>
  <r>
    <x v="258"/>
    <x v="1"/>
    <x v="1"/>
    <x v="226"/>
    <x v="125"/>
    <x v="2"/>
    <x v="1"/>
    <x v="3"/>
    <x v="0"/>
    <x v="1"/>
    <x v="0"/>
    <x v="1"/>
    <x v="1"/>
    <x v="1"/>
    <x v="231"/>
    <x v="127"/>
  </r>
  <r>
    <x v="259"/>
    <x v="1"/>
    <x v="2"/>
    <x v="227"/>
    <x v="252"/>
    <x v="1"/>
    <x v="1"/>
    <x v="61"/>
    <x v="0"/>
    <x v="1"/>
    <x v="1"/>
    <x v="0"/>
    <x v="1"/>
    <x v="0"/>
    <x v="232"/>
    <x v="19"/>
  </r>
  <r>
    <x v="260"/>
    <x v="0"/>
    <x v="0"/>
    <x v="155"/>
    <x v="253"/>
    <x v="0"/>
    <x v="0"/>
    <x v="4"/>
    <x v="1"/>
    <x v="1"/>
    <x v="0"/>
    <x v="1"/>
    <x v="0"/>
    <x v="1"/>
    <x v="233"/>
    <x v="28"/>
  </r>
  <r>
    <x v="261"/>
    <x v="1"/>
    <x v="0"/>
    <x v="24"/>
    <x v="254"/>
    <x v="3"/>
    <x v="0"/>
    <x v="25"/>
    <x v="2"/>
    <x v="3"/>
    <x v="2"/>
    <x v="4"/>
    <x v="1"/>
    <x v="2"/>
    <x v="24"/>
    <x v="22"/>
  </r>
  <r>
    <x v="262"/>
    <x v="0"/>
    <x v="1"/>
    <x v="228"/>
    <x v="88"/>
    <x v="0"/>
    <x v="0"/>
    <x v="67"/>
    <x v="0"/>
    <x v="0"/>
    <x v="1"/>
    <x v="3"/>
    <x v="0"/>
    <x v="0"/>
    <x v="234"/>
    <x v="128"/>
  </r>
  <r>
    <x v="263"/>
    <x v="0"/>
    <x v="1"/>
    <x v="229"/>
    <x v="187"/>
    <x v="0"/>
    <x v="0"/>
    <x v="20"/>
    <x v="0"/>
    <x v="1"/>
    <x v="0"/>
    <x v="1"/>
    <x v="0"/>
    <x v="1"/>
    <x v="235"/>
    <x v="104"/>
  </r>
  <r>
    <x v="264"/>
    <x v="0"/>
    <x v="0"/>
    <x v="230"/>
    <x v="255"/>
    <x v="2"/>
    <x v="1"/>
    <x v="4"/>
    <x v="1"/>
    <x v="1"/>
    <x v="0"/>
    <x v="1"/>
    <x v="0"/>
    <x v="1"/>
    <x v="236"/>
    <x v="28"/>
  </r>
  <r>
    <x v="265"/>
    <x v="0"/>
    <x v="2"/>
    <x v="231"/>
    <x v="256"/>
    <x v="0"/>
    <x v="0"/>
    <x v="62"/>
    <x v="0"/>
    <x v="1"/>
    <x v="0"/>
    <x v="1"/>
    <x v="0"/>
    <x v="1"/>
    <x v="237"/>
    <x v="29"/>
  </r>
  <r>
    <x v="266"/>
    <x v="0"/>
    <x v="0"/>
    <x v="48"/>
    <x v="257"/>
    <x v="0"/>
    <x v="0"/>
    <x v="36"/>
    <x v="3"/>
    <x v="3"/>
    <x v="1"/>
    <x v="5"/>
    <x v="0"/>
    <x v="2"/>
    <x v="49"/>
    <x v="40"/>
  </r>
  <r>
    <x v="267"/>
    <x v="1"/>
    <x v="0"/>
    <x v="232"/>
    <x v="258"/>
    <x v="0"/>
    <x v="0"/>
    <x v="37"/>
    <x v="0"/>
    <x v="0"/>
    <x v="0"/>
    <x v="0"/>
    <x v="1"/>
    <x v="0"/>
    <x v="238"/>
    <x v="71"/>
  </r>
  <r>
    <x v="268"/>
    <x v="1"/>
    <x v="1"/>
    <x v="233"/>
    <x v="259"/>
    <x v="1"/>
    <x v="1"/>
    <x v="10"/>
    <x v="0"/>
    <x v="1"/>
    <x v="1"/>
    <x v="0"/>
    <x v="1"/>
    <x v="0"/>
    <x v="239"/>
    <x v="129"/>
  </r>
  <r>
    <x v="269"/>
    <x v="1"/>
    <x v="1"/>
    <x v="234"/>
    <x v="260"/>
    <x v="2"/>
    <x v="1"/>
    <x v="3"/>
    <x v="0"/>
    <x v="1"/>
    <x v="0"/>
    <x v="1"/>
    <x v="1"/>
    <x v="1"/>
    <x v="240"/>
    <x v="130"/>
  </r>
  <r>
    <x v="270"/>
    <x v="0"/>
    <x v="1"/>
    <x v="235"/>
    <x v="261"/>
    <x v="0"/>
    <x v="0"/>
    <x v="4"/>
    <x v="1"/>
    <x v="1"/>
    <x v="0"/>
    <x v="1"/>
    <x v="0"/>
    <x v="1"/>
    <x v="241"/>
    <x v="113"/>
  </r>
  <r>
    <x v="271"/>
    <x v="1"/>
    <x v="0"/>
    <x v="236"/>
    <x v="4"/>
    <x v="0"/>
    <x v="0"/>
    <x v="37"/>
    <x v="0"/>
    <x v="1"/>
    <x v="0"/>
    <x v="1"/>
    <x v="1"/>
    <x v="1"/>
    <x v="163"/>
    <x v="104"/>
  </r>
  <r>
    <x v="272"/>
    <x v="1"/>
    <x v="2"/>
    <x v="237"/>
    <x v="262"/>
    <x v="1"/>
    <x v="1"/>
    <x v="66"/>
    <x v="0"/>
    <x v="1"/>
    <x v="1"/>
    <x v="0"/>
    <x v="1"/>
    <x v="0"/>
    <x v="242"/>
    <x v="131"/>
  </r>
  <r>
    <x v="273"/>
    <x v="0"/>
    <x v="1"/>
    <x v="238"/>
    <x v="263"/>
    <x v="0"/>
    <x v="0"/>
    <x v="46"/>
    <x v="0"/>
    <x v="1"/>
    <x v="1"/>
    <x v="0"/>
    <x v="0"/>
    <x v="0"/>
    <x v="243"/>
    <x v="132"/>
  </r>
  <r>
    <x v="274"/>
    <x v="1"/>
    <x v="0"/>
    <x v="239"/>
    <x v="264"/>
    <x v="2"/>
    <x v="1"/>
    <x v="4"/>
    <x v="1"/>
    <x v="1"/>
    <x v="0"/>
    <x v="1"/>
    <x v="1"/>
    <x v="1"/>
    <x v="244"/>
    <x v="28"/>
  </r>
  <r>
    <x v="275"/>
    <x v="1"/>
    <x v="1"/>
    <x v="240"/>
    <x v="265"/>
    <x v="2"/>
    <x v="1"/>
    <x v="68"/>
    <x v="4"/>
    <x v="0"/>
    <x v="0"/>
    <x v="0"/>
    <x v="1"/>
    <x v="0"/>
    <x v="245"/>
    <x v="133"/>
  </r>
  <r>
    <x v="276"/>
    <x v="0"/>
    <x v="0"/>
    <x v="241"/>
    <x v="266"/>
    <x v="2"/>
    <x v="1"/>
    <x v="33"/>
    <x v="0"/>
    <x v="1"/>
    <x v="0"/>
    <x v="1"/>
    <x v="0"/>
    <x v="1"/>
    <x v="246"/>
    <x v="28"/>
  </r>
  <r>
    <x v="277"/>
    <x v="0"/>
    <x v="2"/>
    <x v="242"/>
    <x v="267"/>
    <x v="0"/>
    <x v="0"/>
    <x v="4"/>
    <x v="1"/>
    <x v="1"/>
    <x v="0"/>
    <x v="1"/>
    <x v="0"/>
    <x v="1"/>
    <x v="247"/>
    <x v="104"/>
  </r>
  <r>
    <x v="278"/>
    <x v="0"/>
    <x v="0"/>
    <x v="16"/>
    <x v="268"/>
    <x v="3"/>
    <x v="0"/>
    <x v="26"/>
    <x v="2"/>
    <x v="3"/>
    <x v="1"/>
    <x v="5"/>
    <x v="0"/>
    <x v="2"/>
    <x v="16"/>
    <x v="15"/>
  </r>
  <r>
    <x v="279"/>
    <x v="1"/>
    <x v="0"/>
    <x v="243"/>
    <x v="269"/>
    <x v="1"/>
    <x v="1"/>
    <x v="3"/>
    <x v="0"/>
    <x v="0"/>
    <x v="1"/>
    <x v="3"/>
    <x v="1"/>
    <x v="0"/>
    <x v="248"/>
    <x v="134"/>
  </r>
  <r>
    <x v="280"/>
    <x v="0"/>
    <x v="0"/>
    <x v="244"/>
    <x v="270"/>
    <x v="0"/>
    <x v="0"/>
    <x v="29"/>
    <x v="4"/>
    <x v="1"/>
    <x v="0"/>
    <x v="1"/>
    <x v="0"/>
    <x v="1"/>
    <x v="249"/>
    <x v="28"/>
  </r>
  <r>
    <x v="281"/>
    <x v="0"/>
    <x v="0"/>
    <x v="245"/>
    <x v="271"/>
    <x v="0"/>
    <x v="0"/>
    <x v="17"/>
    <x v="0"/>
    <x v="1"/>
    <x v="0"/>
    <x v="1"/>
    <x v="0"/>
    <x v="1"/>
    <x v="250"/>
    <x v="13"/>
  </r>
  <r>
    <x v="282"/>
    <x v="0"/>
    <x v="0"/>
    <x v="246"/>
    <x v="272"/>
    <x v="0"/>
    <x v="0"/>
    <x v="36"/>
    <x v="3"/>
    <x v="1"/>
    <x v="0"/>
    <x v="1"/>
    <x v="0"/>
    <x v="1"/>
    <x v="251"/>
    <x v="59"/>
  </r>
  <r>
    <x v="283"/>
    <x v="1"/>
    <x v="0"/>
    <x v="247"/>
    <x v="273"/>
    <x v="0"/>
    <x v="0"/>
    <x v="19"/>
    <x v="3"/>
    <x v="1"/>
    <x v="0"/>
    <x v="1"/>
    <x v="1"/>
    <x v="1"/>
    <x v="252"/>
    <x v="4"/>
  </r>
  <r>
    <x v="284"/>
    <x v="0"/>
    <x v="1"/>
    <x v="155"/>
    <x v="274"/>
    <x v="0"/>
    <x v="0"/>
    <x v="4"/>
    <x v="1"/>
    <x v="1"/>
    <x v="0"/>
    <x v="1"/>
    <x v="0"/>
    <x v="1"/>
    <x v="253"/>
    <x v="19"/>
  </r>
  <r>
    <x v="285"/>
    <x v="0"/>
    <x v="0"/>
    <x v="248"/>
    <x v="75"/>
    <x v="0"/>
    <x v="0"/>
    <x v="40"/>
    <x v="0"/>
    <x v="1"/>
    <x v="0"/>
    <x v="1"/>
    <x v="0"/>
    <x v="1"/>
    <x v="254"/>
    <x v="51"/>
  </r>
  <r>
    <x v="286"/>
    <x v="1"/>
    <x v="0"/>
    <x v="249"/>
    <x v="275"/>
    <x v="0"/>
    <x v="0"/>
    <x v="39"/>
    <x v="0"/>
    <x v="1"/>
    <x v="0"/>
    <x v="1"/>
    <x v="1"/>
    <x v="1"/>
    <x v="255"/>
    <x v="59"/>
  </r>
  <r>
    <x v="287"/>
    <x v="0"/>
    <x v="0"/>
    <x v="250"/>
    <x v="276"/>
    <x v="0"/>
    <x v="0"/>
    <x v="0"/>
    <x v="0"/>
    <x v="1"/>
    <x v="0"/>
    <x v="1"/>
    <x v="0"/>
    <x v="1"/>
    <x v="256"/>
    <x v="25"/>
  </r>
  <r>
    <x v="288"/>
    <x v="1"/>
    <x v="2"/>
    <x v="251"/>
    <x v="277"/>
    <x v="0"/>
    <x v="0"/>
    <x v="22"/>
    <x v="0"/>
    <x v="1"/>
    <x v="0"/>
    <x v="1"/>
    <x v="1"/>
    <x v="1"/>
    <x v="257"/>
    <x v="16"/>
  </r>
  <r>
    <x v="289"/>
    <x v="1"/>
    <x v="0"/>
    <x v="252"/>
    <x v="278"/>
    <x v="2"/>
    <x v="1"/>
    <x v="0"/>
    <x v="0"/>
    <x v="1"/>
    <x v="0"/>
    <x v="1"/>
    <x v="1"/>
    <x v="1"/>
    <x v="258"/>
    <x v="28"/>
  </r>
  <r>
    <x v="290"/>
    <x v="1"/>
    <x v="1"/>
    <x v="253"/>
    <x v="27"/>
    <x v="2"/>
    <x v="1"/>
    <x v="2"/>
    <x v="0"/>
    <x v="1"/>
    <x v="0"/>
    <x v="1"/>
    <x v="1"/>
    <x v="1"/>
    <x v="259"/>
    <x v="135"/>
  </r>
  <r>
    <x v="291"/>
    <x v="1"/>
    <x v="1"/>
    <x v="254"/>
    <x v="279"/>
    <x v="1"/>
    <x v="1"/>
    <x v="19"/>
    <x v="3"/>
    <x v="0"/>
    <x v="0"/>
    <x v="0"/>
    <x v="1"/>
    <x v="0"/>
    <x v="260"/>
    <x v="136"/>
  </r>
  <r>
    <x v="292"/>
    <x v="0"/>
    <x v="2"/>
    <x v="255"/>
    <x v="280"/>
    <x v="0"/>
    <x v="0"/>
    <x v="62"/>
    <x v="0"/>
    <x v="1"/>
    <x v="0"/>
    <x v="1"/>
    <x v="0"/>
    <x v="1"/>
    <x v="261"/>
    <x v="137"/>
  </r>
  <r>
    <x v="293"/>
    <x v="0"/>
    <x v="0"/>
    <x v="256"/>
    <x v="281"/>
    <x v="2"/>
    <x v="1"/>
    <x v="42"/>
    <x v="0"/>
    <x v="1"/>
    <x v="0"/>
    <x v="1"/>
    <x v="0"/>
    <x v="1"/>
    <x v="262"/>
    <x v="138"/>
  </r>
  <r>
    <x v="294"/>
    <x v="0"/>
    <x v="0"/>
    <x v="257"/>
    <x v="75"/>
    <x v="0"/>
    <x v="0"/>
    <x v="42"/>
    <x v="0"/>
    <x v="1"/>
    <x v="0"/>
    <x v="1"/>
    <x v="0"/>
    <x v="1"/>
    <x v="263"/>
    <x v="25"/>
  </r>
  <r>
    <x v="295"/>
    <x v="0"/>
    <x v="1"/>
    <x v="258"/>
    <x v="282"/>
    <x v="0"/>
    <x v="0"/>
    <x v="4"/>
    <x v="1"/>
    <x v="1"/>
    <x v="0"/>
    <x v="1"/>
    <x v="0"/>
    <x v="1"/>
    <x v="264"/>
    <x v="26"/>
  </r>
  <r>
    <x v="296"/>
    <x v="0"/>
    <x v="0"/>
    <x v="259"/>
    <x v="283"/>
    <x v="0"/>
    <x v="0"/>
    <x v="69"/>
    <x v="0"/>
    <x v="1"/>
    <x v="0"/>
    <x v="1"/>
    <x v="0"/>
    <x v="1"/>
    <x v="265"/>
    <x v="32"/>
  </r>
  <r>
    <x v="297"/>
    <x v="0"/>
    <x v="1"/>
    <x v="260"/>
    <x v="284"/>
    <x v="2"/>
    <x v="1"/>
    <x v="6"/>
    <x v="2"/>
    <x v="0"/>
    <x v="2"/>
    <x v="6"/>
    <x v="0"/>
    <x v="2"/>
    <x v="266"/>
    <x v="139"/>
  </r>
  <r>
    <x v="298"/>
    <x v="1"/>
    <x v="1"/>
    <x v="261"/>
    <x v="285"/>
    <x v="0"/>
    <x v="0"/>
    <x v="4"/>
    <x v="1"/>
    <x v="1"/>
    <x v="0"/>
    <x v="1"/>
    <x v="1"/>
    <x v="1"/>
    <x v="267"/>
    <x v="140"/>
  </r>
  <r>
    <x v="299"/>
    <x v="1"/>
    <x v="1"/>
    <x v="111"/>
    <x v="286"/>
    <x v="1"/>
    <x v="1"/>
    <x v="61"/>
    <x v="0"/>
    <x v="1"/>
    <x v="1"/>
    <x v="0"/>
    <x v="1"/>
    <x v="0"/>
    <x v="114"/>
    <x v="75"/>
  </r>
  <r>
    <x v="300"/>
    <x v="1"/>
    <x v="0"/>
    <x v="262"/>
    <x v="287"/>
    <x v="2"/>
    <x v="1"/>
    <x v="4"/>
    <x v="1"/>
    <x v="1"/>
    <x v="0"/>
    <x v="1"/>
    <x v="1"/>
    <x v="1"/>
    <x v="268"/>
    <x v="28"/>
  </r>
  <r>
    <x v="301"/>
    <x v="1"/>
    <x v="0"/>
    <x v="263"/>
    <x v="288"/>
    <x v="0"/>
    <x v="0"/>
    <x v="4"/>
    <x v="1"/>
    <x v="4"/>
    <x v="0"/>
    <x v="3"/>
    <x v="1"/>
    <x v="0"/>
    <x v="269"/>
    <x v="141"/>
  </r>
  <r>
    <x v="302"/>
    <x v="0"/>
    <x v="0"/>
    <x v="8"/>
    <x v="289"/>
    <x v="0"/>
    <x v="0"/>
    <x v="19"/>
    <x v="3"/>
    <x v="1"/>
    <x v="0"/>
    <x v="1"/>
    <x v="0"/>
    <x v="1"/>
    <x v="163"/>
    <x v="104"/>
  </r>
  <r>
    <x v="303"/>
    <x v="1"/>
    <x v="2"/>
    <x v="264"/>
    <x v="290"/>
    <x v="2"/>
    <x v="1"/>
    <x v="4"/>
    <x v="1"/>
    <x v="1"/>
    <x v="0"/>
    <x v="1"/>
    <x v="1"/>
    <x v="1"/>
    <x v="270"/>
    <x v="142"/>
  </r>
  <r>
    <x v="304"/>
    <x v="0"/>
    <x v="0"/>
    <x v="17"/>
    <x v="291"/>
    <x v="0"/>
    <x v="0"/>
    <x v="4"/>
    <x v="1"/>
    <x v="1"/>
    <x v="0"/>
    <x v="1"/>
    <x v="0"/>
    <x v="1"/>
    <x v="271"/>
    <x v="4"/>
  </r>
  <r>
    <x v="305"/>
    <x v="1"/>
    <x v="1"/>
    <x v="260"/>
    <x v="292"/>
    <x v="3"/>
    <x v="0"/>
    <x v="70"/>
    <x v="2"/>
    <x v="0"/>
    <x v="2"/>
    <x v="6"/>
    <x v="1"/>
    <x v="2"/>
    <x v="266"/>
    <x v="139"/>
  </r>
  <r>
    <x v="306"/>
    <x v="1"/>
    <x v="1"/>
    <x v="265"/>
    <x v="293"/>
    <x v="2"/>
    <x v="1"/>
    <x v="4"/>
    <x v="1"/>
    <x v="1"/>
    <x v="0"/>
    <x v="1"/>
    <x v="1"/>
    <x v="1"/>
    <x v="272"/>
    <x v="143"/>
  </r>
  <r>
    <x v="307"/>
    <x v="1"/>
    <x v="1"/>
    <x v="266"/>
    <x v="294"/>
    <x v="1"/>
    <x v="1"/>
    <x v="34"/>
    <x v="3"/>
    <x v="0"/>
    <x v="0"/>
    <x v="0"/>
    <x v="1"/>
    <x v="0"/>
    <x v="273"/>
    <x v="144"/>
  </r>
  <r>
    <x v="308"/>
    <x v="0"/>
    <x v="2"/>
    <x v="267"/>
    <x v="295"/>
    <x v="0"/>
    <x v="0"/>
    <x v="39"/>
    <x v="0"/>
    <x v="0"/>
    <x v="0"/>
    <x v="0"/>
    <x v="0"/>
    <x v="0"/>
    <x v="274"/>
    <x v="145"/>
  </r>
  <r>
    <x v="309"/>
    <x v="1"/>
    <x v="1"/>
    <x v="268"/>
    <x v="296"/>
    <x v="2"/>
    <x v="1"/>
    <x v="39"/>
    <x v="0"/>
    <x v="1"/>
    <x v="0"/>
    <x v="1"/>
    <x v="1"/>
    <x v="1"/>
    <x v="275"/>
    <x v="146"/>
  </r>
  <r>
    <x v="310"/>
    <x v="1"/>
    <x v="1"/>
    <x v="269"/>
    <x v="297"/>
    <x v="2"/>
    <x v="1"/>
    <x v="42"/>
    <x v="0"/>
    <x v="1"/>
    <x v="0"/>
    <x v="1"/>
    <x v="1"/>
    <x v="1"/>
    <x v="276"/>
    <x v="147"/>
  </r>
  <r>
    <x v="311"/>
    <x v="1"/>
    <x v="1"/>
    <x v="270"/>
    <x v="298"/>
    <x v="2"/>
    <x v="1"/>
    <x v="24"/>
    <x v="3"/>
    <x v="4"/>
    <x v="2"/>
    <x v="2"/>
    <x v="1"/>
    <x v="2"/>
    <x v="277"/>
    <x v="148"/>
  </r>
  <r>
    <x v="312"/>
    <x v="0"/>
    <x v="2"/>
    <x v="271"/>
    <x v="299"/>
    <x v="1"/>
    <x v="1"/>
    <x v="2"/>
    <x v="0"/>
    <x v="0"/>
    <x v="1"/>
    <x v="3"/>
    <x v="0"/>
    <x v="0"/>
    <x v="278"/>
    <x v="19"/>
  </r>
  <r>
    <x v="313"/>
    <x v="0"/>
    <x v="0"/>
    <x v="272"/>
    <x v="300"/>
    <x v="0"/>
    <x v="0"/>
    <x v="17"/>
    <x v="0"/>
    <x v="1"/>
    <x v="0"/>
    <x v="1"/>
    <x v="0"/>
    <x v="1"/>
    <x v="279"/>
    <x v="25"/>
  </r>
  <r>
    <x v="314"/>
    <x v="0"/>
    <x v="2"/>
    <x v="273"/>
    <x v="301"/>
    <x v="0"/>
    <x v="0"/>
    <x v="71"/>
    <x v="0"/>
    <x v="0"/>
    <x v="1"/>
    <x v="3"/>
    <x v="0"/>
    <x v="0"/>
    <x v="280"/>
    <x v="121"/>
  </r>
  <r>
    <x v="315"/>
    <x v="1"/>
    <x v="0"/>
    <x v="274"/>
    <x v="302"/>
    <x v="2"/>
    <x v="1"/>
    <x v="2"/>
    <x v="0"/>
    <x v="1"/>
    <x v="0"/>
    <x v="1"/>
    <x v="1"/>
    <x v="1"/>
    <x v="281"/>
    <x v="13"/>
  </r>
  <r>
    <x v="316"/>
    <x v="1"/>
    <x v="2"/>
    <x v="94"/>
    <x v="303"/>
    <x v="1"/>
    <x v="1"/>
    <x v="42"/>
    <x v="0"/>
    <x v="0"/>
    <x v="0"/>
    <x v="0"/>
    <x v="1"/>
    <x v="0"/>
    <x v="96"/>
    <x v="19"/>
  </r>
  <r>
    <x v="317"/>
    <x v="0"/>
    <x v="2"/>
    <x v="275"/>
    <x v="304"/>
    <x v="6"/>
    <x v="0"/>
    <x v="5"/>
    <x v="0"/>
    <x v="1"/>
    <x v="0"/>
    <x v="1"/>
    <x v="0"/>
    <x v="1"/>
    <x v="282"/>
    <x v="149"/>
  </r>
  <r>
    <x v="318"/>
    <x v="1"/>
    <x v="1"/>
    <x v="276"/>
    <x v="305"/>
    <x v="2"/>
    <x v="1"/>
    <x v="14"/>
    <x v="0"/>
    <x v="1"/>
    <x v="2"/>
    <x v="3"/>
    <x v="1"/>
    <x v="0"/>
    <x v="283"/>
    <x v="150"/>
  </r>
  <r>
    <x v="319"/>
    <x v="1"/>
    <x v="1"/>
    <x v="277"/>
    <x v="306"/>
    <x v="1"/>
    <x v="1"/>
    <x v="20"/>
    <x v="0"/>
    <x v="0"/>
    <x v="1"/>
    <x v="3"/>
    <x v="1"/>
    <x v="0"/>
    <x v="284"/>
    <x v="151"/>
  </r>
  <r>
    <x v="320"/>
    <x v="0"/>
    <x v="0"/>
    <x v="278"/>
    <x v="295"/>
    <x v="0"/>
    <x v="0"/>
    <x v="0"/>
    <x v="0"/>
    <x v="1"/>
    <x v="0"/>
    <x v="1"/>
    <x v="0"/>
    <x v="1"/>
    <x v="285"/>
    <x v="0"/>
  </r>
  <r>
    <x v="321"/>
    <x v="0"/>
    <x v="0"/>
    <x v="279"/>
    <x v="307"/>
    <x v="0"/>
    <x v="0"/>
    <x v="7"/>
    <x v="0"/>
    <x v="1"/>
    <x v="0"/>
    <x v="1"/>
    <x v="0"/>
    <x v="1"/>
    <x v="286"/>
    <x v="25"/>
  </r>
  <r>
    <x v="322"/>
    <x v="1"/>
    <x v="2"/>
    <x v="280"/>
    <x v="308"/>
    <x v="2"/>
    <x v="1"/>
    <x v="39"/>
    <x v="0"/>
    <x v="1"/>
    <x v="0"/>
    <x v="1"/>
    <x v="1"/>
    <x v="1"/>
    <x v="287"/>
    <x v="142"/>
  </r>
  <r>
    <x v="323"/>
    <x v="1"/>
    <x v="2"/>
    <x v="74"/>
    <x v="309"/>
    <x v="1"/>
    <x v="1"/>
    <x v="0"/>
    <x v="0"/>
    <x v="0"/>
    <x v="1"/>
    <x v="3"/>
    <x v="1"/>
    <x v="0"/>
    <x v="76"/>
    <x v="56"/>
  </r>
  <r>
    <x v="324"/>
    <x v="0"/>
    <x v="0"/>
    <x v="144"/>
    <x v="310"/>
    <x v="0"/>
    <x v="0"/>
    <x v="4"/>
    <x v="1"/>
    <x v="6"/>
    <x v="2"/>
    <x v="8"/>
    <x v="0"/>
    <x v="2"/>
    <x v="148"/>
    <x v="94"/>
  </r>
  <r>
    <x v="325"/>
    <x v="1"/>
    <x v="1"/>
    <x v="281"/>
    <x v="311"/>
    <x v="2"/>
    <x v="1"/>
    <x v="62"/>
    <x v="0"/>
    <x v="1"/>
    <x v="0"/>
    <x v="1"/>
    <x v="1"/>
    <x v="1"/>
    <x v="240"/>
    <x v="130"/>
  </r>
  <r>
    <x v="326"/>
    <x v="0"/>
    <x v="0"/>
    <x v="282"/>
    <x v="312"/>
    <x v="0"/>
    <x v="0"/>
    <x v="59"/>
    <x v="4"/>
    <x v="1"/>
    <x v="0"/>
    <x v="1"/>
    <x v="0"/>
    <x v="1"/>
    <x v="288"/>
    <x v="152"/>
  </r>
  <r>
    <x v="327"/>
    <x v="1"/>
    <x v="2"/>
    <x v="283"/>
    <x v="313"/>
    <x v="1"/>
    <x v="1"/>
    <x v="62"/>
    <x v="0"/>
    <x v="1"/>
    <x v="0"/>
    <x v="1"/>
    <x v="1"/>
    <x v="1"/>
    <x v="289"/>
    <x v="16"/>
  </r>
  <r>
    <x v="328"/>
    <x v="1"/>
    <x v="0"/>
    <x v="149"/>
    <x v="314"/>
    <x v="1"/>
    <x v="1"/>
    <x v="14"/>
    <x v="0"/>
    <x v="0"/>
    <x v="1"/>
    <x v="3"/>
    <x v="1"/>
    <x v="0"/>
    <x v="153"/>
    <x v="97"/>
  </r>
  <r>
    <x v="329"/>
    <x v="1"/>
    <x v="1"/>
    <x v="284"/>
    <x v="315"/>
    <x v="2"/>
    <x v="1"/>
    <x v="36"/>
    <x v="3"/>
    <x v="1"/>
    <x v="1"/>
    <x v="0"/>
    <x v="1"/>
    <x v="0"/>
    <x v="290"/>
    <x v="153"/>
  </r>
  <r>
    <x v="330"/>
    <x v="1"/>
    <x v="0"/>
    <x v="263"/>
    <x v="316"/>
    <x v="2"/>
    <x v="1"/>
    <x v="4"/>
    <x v="1"/>
    <x v="4"/>
    <x v="0"/>
    <x v="3"/>
    <x v="1"/>
    <x v="0"/>
    <x v="269"/>
    <x v="141"/>
  </r>
  <r>
    <x v="331"/>
    <x v="0"/>
    <x v="1"/>
    <x v="285"/>
    <x v="317"/>
    <x v="0"/>
    <x v="0"/>
    <x v="63"/>
    <x v="0"/>
    <x v="1"/>
    <x v="0"/>
    <x v="1"/>
    <x v="0"/>
    <x v="1"/>
    <x v="291"/>
    <x v="154"/>
  </r>
  <r>
    <x v="332"/>
    <x v="0"/>
    <x v="1"/>
    <x v="233"/>
    <x v="318"/>
    <x v="0"/>
    <x v="0"/>
    <x v="1"/>
    <x v="0"/>
    <x v="1"/>
    <x v="1"/>
    <x v="0"/>
    <x v="0"/>
    <x v="0"/>
    <x v="239"/>
    <x v="129"/>
  </r>
  <r>
    <x v="333"/>
    <x v="0"/>
    <x v="0"/>
    <x v="18"/>
    <x v="319"/>
    <x v="0"/>
    <x v="0"/>
    <x v="36"/>
    <x v="3"/>
    <x v="4"/>
    <x v="0"/>
    <x v="3"/>
    <x v="0"/>
    <x v="0"/>
    <x v="37"/>
    <x v="17"/>
  </r>
  <r>
    <x v="334"/>
    <x v="1"/>
    <x v="1"/>
    <x v="286"/>
    <x v="320"/>
    <x v="1"/>
    <x v="1"/>
    <x v="4"/>
    <x v="1"/>
    <x v="0"/>
    <x v="0"/>
    <x v="0"/>
    <x v="1"/>
    <x v="0"/>
    <x v="292"/>
    <x v="155"/>
  </r>
  <r>
    <x v="335"/>
    <x v="0"/>
    <x v="0"/>
    <x v="287"/>
    <x v="321"/>
    <x v="0"/>
    <x v="0"/>
    <x v="4"/>
    <x v="1"/>
    <x v="1"/>
    <x v="0"/>
    <x v="1"/>
    <x v="0"/>
    <x v="1"/>
    <x v="293"/>
    <x v="25"/>
  </r>
  <r>
    <x v="336"/>
    <x v="0"/>
    <x v="1"/>
    <x v="137"/>
    <x v="322"/>
    <x v="0"/>
    <x v="0"/>
    <x v="28"/>
    <x v="0"/>
    <x v="0"/>
    <x v="0"/>
    <x v="0"/>
    <x v="0"/>
    <x v="0"/>
    <x v="140"/>
    <x v="90"/>
  </r>
  <r>
    <x v="337"/>
    <x v="1"/>
    <x v="1"/>
    <x v="288"/>
    <x v="323"/>
    <x v="2"/>
    <x v="1"/>
    <x v="66"/>
    <x v="0"/>
    <x v="1"/>
    <x v="0"/>
    <x v="1"/>
    <x v="1"/>
    <x v="1"/>
    <x v="284"/>
    <x v="151"/>
  </r>
  <r>
    <x v="338"/>
    <x v="1"/>
    <x v="0"/>
    <x v="289"/>
    <x v="324"/>
    <x v="0"/>
    <x v="0"/>
    <x v="33"/>
    <x v="0"/>
    <x v="1"/>
    <x v="0"/>
    <x v="1"/>
    <x v="1"/>
    <x v="1"/>
    <x v="294"/>
    <x v="4"/>
  </r>
  <r>
    <x v="339"/>
    <x v="0"/>
    <x v="1"/>
    <x v="290"/>
    <x v="325"/>
    <x v="0"/>
    <x v="0"/>
    <x v="33"/>
    <x v="0"/>
    <x v="1"/>
    <x v="0"/>
    <x v="1"/>
    <x v="0"/>
    <x v="1"/>
    <x v="295"/>
    <x v="21"/>
  </r>
  <r>
    <x v="340"/>
    <x v="1"/>
    <x v="2"/>
    <x v="134"/>
    <x v="326"/>
    <x v="3"/>
    <x v="0"/>
    <x v="6"/>
    <x v="2"/>
    <x v="0"/>
    <x v="1"/>
    <x v="3"/>
    <x v="1"/>
    <x v="0"/>
    <x v="137"/>
    <x v="19"/>
  </r>
  <r>
    <x v="341"/>
    <x v="1"/>
    <x v="1"/>
    <x v="26"/>
    <x v="327"/>
    <x v="2"/>
    <x v="1"/>
    <x v="42"/>
    <x v="0"/>
    <x v="2"/>
    <x v="2"/>
    <x v="5"/>
    <x v="1"/>
    <x v="2"/>
    <x v="26"/>
    <x v="23"/>
  </r>
  <r>
    <x v="342"/>
    <x v="0"/>
    <x v="2"/>
    <x v="291"/>
    <x v="328"/>
    <x v="0"/>
    <x v="0"/>
    <x v="17"/>
    <x v="0"/>
    <x v="1"/>
    <x v="0"/>
    <x v="1"/>
    <x v="0"/>
    <x v="1"/>
    <x v="296"/>
    <x v="16"/>
  </r>
  <r>
    <x v="343"/>
    <x v="0"/>
    <x v="2"/>
    <x v="292"/>
    <x v="329"/>
    <x v="0"/>
    <x v="0"/>
    <x v="37"/>
    <x v="0"/>
    <x v="1"/>
    <x v="0"/>
    <x v="1"/>
    <x v="0"/>
    <x v="1"/>
    <x v="297"/>
    <x v="16"/>
  </r>
  <r>
    <x v="344"/>
    <x v="0"/>
    <x v="2"/>
    <x v="293"/>
    <x v="330"/>
    <x v="0"/>
    <x v="0"/>
    <x v="62"/>
    <x v="0"/>
    <x v="1"/>
    <x v="0"/>
    <x v="1"/>
    <x v="0"/>
    <x v="1"/>
    <x v="298"/>
    <x v="16"/>
  </r>
  <r>
    <x v="345"/>
    <x v="1"/>
    <x v="2"/>
    <x v="172"/>
    <x v="331"/>
    <x v="2"/>
    <x v="1"/>
    <x v="42"/>
    <x v="0"/>
    <x v="1"/>
    <x v="0"/>
    <x v="1"/>
    <x v="1"/>
    <x v="1"/>
    <x v="299"/>
    <x v="16"/>
  </r>
  <r>
    <x v="346"/>
    <x v="1"/>
    <x v="2"/>
    <x v="155"/>
    <x v="332"/>
    <x v="2"/>
    <x v="1"/>
    <x v="20"/>
    <x v="0"/>
    <x v="1"/>
    <x v="0"/>
    <x v="1"/>
    <x v="1"/>
    <x v="1"/>
    <x v="300"/>
    <x v="16"/>
  </r>
  <r>
    <x v="347"/>
    <x v="1"/>
    <x v="0"/>
    <x v="294"/>
    <x v="333"/>
    <x v="1"/>
    <x v="1"/>
    <x v="4"/>
    <x v="1"/>
    <x v="0"/>
    <x v="0"/>
    <x v="0"/>
    <x v="1"/>
    <x v="0"/>
    <x v="301"/>
    <x v="95"/>
  </r>
  <r>
    <x v="348"/>
    <x v="1"/>
    <x v="0"/>
    <x v="295"/>
    <x v="334"/>
    <x v="3"/>
    <x v="0"/>
    <x v="25"/>
    <x v="2"/>
    <x v="0"/>
    <x v="1"/>
    <x v="3"/>
    <x v="1"/>
    <x v="0"/>
    <x v="302"/>
    <x v="156"/>
  </r>
  <r>
    <x v="349"/>
    <x v="0"/>
    <x v="0"/>
    <x v="296"/>
    <x v="335"/>
    <x v="0"/>
    <x v="0"/>
    <x v="22"/>
    <x v="0"/>
    <x v="1"/>
    <x v="0"/>
    <x v="1"/>
    <x v="0"/>
    <x v="1"/>
    <x v="303"/>
    <x v="51"/>
  </r>
  <r>
    <x v="350"/>
    <x v="0"/>
    <x v="0"/>
    <x v="297"/>
    <x v="336"/>
    <x v="0"/>
    <x v="0"/>
    <x v="41"/>
    <x v="0"/>
    <x v="1"/>
    <x v="0"/>
    <x v="1"/>
    <x v="0"/>
    <x v="1"/>
    <x v="304"/>
    <x v="157"/>
  </r>
  <r>
    <x v="351"/>
    <x v="0"/>
    <x v="1"/>
    <x v="298"/>
    <x v="337"/>
    <x v="0"/>
    <x v="0"/>
    <x v="4"/>
    <x v="1"/>
    <x v="1"/>
    <x v="0"/>
    <x v="1"/>
    <x v="0"/>
    <x v="1"/>
    <x v="305"/>
    <x v="158"/>
  </r>
  <r>
    <x v="352"/>
    <x v="0"/>
    <x v="0"/>
    <x v="299"/>
    <x v="338"/>
    <x v="0"/>
    <x v="0"/>
    <x v="16"/>
    <x v="3"/>
    <x v="0"/>
    <x v="1"/>
    <x v="3"/>
    <x v="0"/>
    <x v="0"/>
    <x v="306"/>
    <x v="32"/>
  </r>
  <r>
    <x v="353"/>
    <x v="0"/>
    <x v="0"/>
    <x v="47"/>
    <x v="339"/>
    <x v="0"/>
    <x v="0"/>
    <x v="37"/>
    <x v="0"/>
    <x v="0"/>
    <x v="0"/>
    <x v="0"/>
    <x v="0"/>
    <x v="0"/>
    <x v="48"/>
    <x v="39"/>
  </r>
  <r>
    <x v="354"/>
    <x v="0"/>
    <x v="0"/>
    <x v="300"/>
    <x v="340"/>
    <x v="0"/>
    <x v="0"/>
    <x v="4"/>
    <x v="1"/>
    <x v="1"/>
    <x v="0"/>
    <x v="1"/>
    <x v="0"/>
    <x v="1"/>
    <x v="307"/>
    <x v="18"/>
  </r>
  <r>
    <x v="355"/>
    <x v="0"/>
    <x v="0"/>
    <x v="301"/>
    <x v="341"/>
    <x v="0"/>
    <x v="0"/>
    <x v="17"/>
    <x v="0"/>
    <x v="1"/>
    <x v="0"/>
    <x v="1"/>
    <x v="0"/>
    <x v="1"/>
    <x v="308"/>
    <x v="59"/>
  </r>
  <r>
    <x v="356"/>
    <x v="1"/>
    <x v="1"/>
    <x v="302"/>
    <x v="342"/>
    <x v="2"/>
    <x v="1"/>
    <x v="0"/>
    <x v="0"/>
    <x v="1"/>
    <x v="1"/>
    <x v="0"/>
    <x v="1"/>
    <x v="0"/>
    <x v="154"/>
    <x v="98"/>
  </r>
  <r>
    <x v="357"/>
    <x v="0"/>
    <x v="2"/>
    <x v="303"/>
    <x v="343"/>
    <x v="2"/>
    <x v="1"/>
    <x v="1"/>
    <x v="0"/>
    <x v="1"/>
    <x v="0"/>
    <x v="1"/>
    <x v="0"/>
    <x v="1"/>
    <x v="309"/>
    <x v="16"/>
  </r>
  <r>
    <x v="358"/>
    <x v="1"/>
    <x v="0"/>
    <x v="304"/>
    <x v="344"/>
    <x v="2"/>
    <x v="1"/>
    <x v="4"/>
    <x v="1"/>
    <x v="1"/>
    <x v="0"/>
    <x v="1"/>
    <x v="1"/>
    <x v="1"/>
    <x v="310"/>
    <x v="24"/>
  </r>
  <r>
    <x v="359"/>
    <x v="1"/>
    <x v="0"/>
    <x v="305"/>
    <x v="345"/>
    <x v="2"/>
    <x v="1"/>
    <x v="4"/>
    <x v="1"/>
    <x v="1"/>
    <x v="0"/>
    <x v="1"/>
    <x v="1"/>
    <x v="1"/>
    <x v="311"/>
    <x v="24"/>
  </r>
  <r>
    <x v="360"/>
    <x v="0"/>
    <x v="0"/>
    <x v="61"/>
    <x v="346"/>
    <x v="0"/>
    <x v="0"/>
    <x v="20"/>
    <x v="0"/>
    <x v="0"/>
    <x v="5"/>
    <x v="5"/>
    <x v="0"/>
    <x v="2"/>
    <x v="62"/>
    <x v="48"/>
  </r>
  <r>
    <x v="361"/>
    <x v="0"/>
    <x v="2"/>
    <x v="306"/>
    <x v="347"/>
    <x v="0"/>
    <x v="0"/>
    <x v="28"/>
    <x v="0"/>
    <x v="0"/>
    <x v="0"/>
    <x v="0"/>
    <x v="0"/>
    <x v="0"/>
    <x v="312"/>
    <x v="26"/>
  </r>
  <r>
    <x v="362"/>
    <x v="0"/>
    <x v="0"/>
    <x v="307"/>
    <x v="348"/>
    <x v="1"/>
    <x v="1"/>
    <x v="33"/>
    <x v="0"/>
    <x v="1"/>
    <x v="1"/>
    <x v="0"/>
    <x v="0"/>
    <x v="0"/>
    <x v="313"/>
    <x v="53"/>
  </r>
  <r>
    <x v="363"/>
    <x v="0"/>
    <x v="0"/>
    <x v="308"/>
    <x v="349"/>
    <x v="0"/>
    <x v="0"/>
    <x v="3"/>
    <x v="0"/>
    <x v="1"/>
    <x v="0"/>
    <x v="1"/>
    <x v="0"/>
    <x v="1"/>
    <x v="314"/>
    <x v="79"/>
  </r>
  <r>
    <x v="364"/>
    <x v="0"/>
    <x v="0"/>
    <x v="165"/>
    <x v="253"/>
    <x v="0"/>
    <x v="0"/>
    <x v="4"/>
    <x v="1"/>
    <x v="0"/>
    <x v="0"/>
    <x v="0"/>
    <x v="0"/>
    <x v="0"/>
    <x v="168"/>
    <x v="37"/>
  </r>
  <r>
    <x v="365"/>
    <x v="0"/>
    <x v="0"/>
    <x v="309"/>
    <x v="350"/>
    <x v="0"/>
    <x v="0"/>
    <x v="39"/>
    <x v="0"/>
    <x v="1"/>
    <x v="0"/>
    <x v="1"/>
    <x v="0"/>
    <x v="1"/>
    <x v="315"/>
    <x v="0"/>
  </r>
  <r>
    <x v="366"/>
    <x v="1"/>
    <x v="1"/>
    <x v="310"/>
    <x v="351"/>
    <x v="1"/>
    <x v="1"/>
    <x v="72"/>
    <x v="4"/>
    <x v="0"/>
    <x v="0"/>
    <x v="0"/>
    <x v="1"/>
    <x v="0"/>
    <x v="316"/>
    <x v="159"/>
  </r>
  <r>
    <x v="367"/>
    <x v="1"/>
    <x v="0"/>
    <x v="311"/>
    <x v="352"/>
    <x v="1"/>
    <x v="1"/>
    <x v="4"/>
    <x v="1"/>
    <x v="1"/>
    <x v="0"/>
    <x v="1"/>
    <x v="1"/>
    <x v="1"/>
    <x v="317"/>
    <x v="32"/>
  </r>
  <r>
    <x v="368"/>
    <x v="1"/>
    <x v="0"/>
    <x v="312"/>
    <x v="353"/>
    <x v="2"/>
    <x v="1"/>
    <x v="4"/>
    <x v="1"/>
    <x v="1"/>
    <x v="0"/>
    <x v="1"/>
    <x v="1"/>
    <x v="1"/>
    <x v="318"/>
    <x v="28"/>
  </r>
  <r>
    <x v="369"/>
    <x v="1"/>
    <x v="1"/>
    <x v="313"/>
    <x v="354"/>
    <x v="7"/>
    <x v="2"/>
    <x v="42"/>
    <x v="0"/>
    <x v="1"/>
    <x v="0"/>
    <x v="1"/>
    <x v="1"/>
    <x v="1"/>
    <x v="319"/>
    <x v="160"/>
  </r>
  <r>
    <x v="370"/>
    <x v="1"/>
    <x v="1"/>
    <x v="314"/>
    <x v="355"/>
    <x v="0"/>
    <x v="0"/>
    <x v="37"/>
    <x v="0"/>
    <x v="0"/>
    <x v="0"/>
    <x v="0"/>
    <x v="1"/>
    <x v="0"/>
    <x v="320"/>
    <x v="161"/>
  </r>
  <r>
    <x v="371"/>
    <x v="0"/>
    <x v="0"/>
    <x v="315"/>
    <x v="198"/>
    <x v="0"/>
    <x v="0"/>
    <x v="24"/>
    <x v="3"/>
    <x v="0"/>
    <x v="0"/>
    <x v="0"/>
    <x v="0"/>
    <x v="0"/>
    <x v="321"/>
    <x v="110"/>
  </r>
  <r>
    <x v="372"/>
    <x v="0"/>
    <x v="0"/>
    <x v="316"/>
    <x v="246"/>
    <x v="0"/>
    <x v="0"/>
    <x v="19"/>
    <x v="3"/>
    <x v="1"/>
    <x v="0"/>
    <x v="1"/>
    <x v="0"/>
    <x v="1"/>
    <x v="322"/>
    <x v="4"/>
  </r>
  <r>
    <x v="373"/>
    <x v="0"/>
    <x v="1"/>
    <x v="317"/>
    <x v="356"/>
    <x v="0"/>
    <x v="0"/>
    <x v="0"/>
    <x v="0"/>
    <x v="1"/>
    <x v="0"/>
    <x v="1"/>
    <x v="0"/>
    <x v="1"/>
    <x v="240"/>
    <x v="130"/>
  </r>
  <r>
    <x v="374"/>
    <x v="0"/>
    <x v="0"/>
    <x v="7"/>
    <x v="357"/>
    <x v="2"/>
    <x v="1"/>
    <x v="25"/>
    <x v="2"/>
    <x v="2"/>
    <x v="1"/>
    <x v="2"/>
    <x v="0"/>
    <x v="2"/>
    <x v="7"/>
    <x v="7"/>
  </r>
  <r>
    <x v="375"/>
    <x v="1"/>
    <x v="1"/>
    <x v="33"/>
    <x v="358"/>
    <x v="1"/>
    <x v="1"/>
    <x v="4"/>
    <x v="1"/>
    <x v="0"/>
    <x v="0"/>
    <x v="0"/>
    <x v="1"/>
    <x v="0"/>
    <x v="33"/>
    <x v="30"/>
  </r>
  <r>
    <x v="376"/>
    <x v="1"/>
    <x v="0"/>
    <x v="318"/>
    <x v="359"/>
    <x v="2"/>
    <x v="1"/>
    <x v="0"/>
    <x v="0"/>
    <x v="1"/>
    <x v="0"/>
    <x v="1"/>
    <x v="1"/>
    <x v="1"/>
    <x v="323"/>
    <x v="0"/>
  </r>
  <r>
    <x v="377"/>
    <x v="0"/>
    <x v="1"/>
    <x v="319"/>
    <x v="360"/>
    <x v="0"/>
    <x v="0"/>
    <x v="7"/>
    <x v="0"/>
    <x v="1"/>
    <x v="2"/>
    <x v="3"/>
    <x v="0"/>
    <x v="0"/>
    <x v="324"/>
    <x v="162"/>
  </r>
  <r>
    <x v="378"/>
    <x v="0"/>
    <x v="0"/>
    <x v="320"/>
    <x v="338"/>
    <x v="0"/>
    <x v="0"/>
    <x v="11"/>
    <x v="0"/>
    <x v="1"/>
    <x v="0"/>
    <x v="1"/>
    <x v="0"/>
    <x v="1"/>
    <x v="325"/>
    <x v="163"/>
  </r>
  <r>
    <x v="379"/>
    <x v="0"/>
    <x v="0"/>
    <x v="99"/>
    <x v="361"/>
    <x v="0"/>
    <x v="0"/>
    <x v="19"/>
    <x v="3"/>
    <x v="1"/>
    <x v="0"/>
    <x v="1"/>
    <x v="0"/>
    <x v="1"/>
    <x v="326"/>
    <x v="71"/>
  </r>
  <r>
    <x v="380"/>
    <x v="1"/>
    <x v="1"/>
    <x v="321"/>
    <x v="362"/>
    <x v="2"/>
    <x v="1"/>
    <x v="22"/>
    <x v="0"/>
    <x v="1"/>
    <x v="0"/>
    <x v="1"/>
    <x v="1"/>
    <x v="1"/>
    <x v="327"/>
    <x v="164"/>
  </r>
  <r>
    <x v="381"/>
    <x v="1"/>
    <x v="0"/>
    <x v="322"/>
    <x v="363"/>
    <x v="2"/>
    <x v="1"/>
    <x v="58"/>
    <x v="2"/>
    <x v="1"/>
    <x v="2"/>
    <x v="3"/>
    <x v="1"/>
    <x v="0"/>
    <x v="328"/>
    <x v="165"/>
  </r>
  <r>
    <x v="382"/>
    <x v="0"/>
    <x v="0"/>
    <x v="323"/>
    <x v="364"/>
    <x v="0"/>
    <x v="0"/>
    <x v="35"/>
    <x v="0"/>
    <x v="1"/>
    <x v="0"/>
    <x v="1"/>
    <x v="0"/>
    <x v="1"/>
    <x v="329"/>
    <x v="2"/>
  </r>
  <r>
    <x v="383"/>
    <x v="1"/>
    <x v="1"/>
    <x v="34"/>
    <x v="365"/>
    <x v="1"/>
    <x v="1"/>
    <x v="3"/>
    <x v="0"/>
    <x v="0"/>
    <x v="0"/>
    <x v="0"/>
    <x v="1"/>
    <x v="0"/>
    <x v="34"/>
    <x v="31"/>
  </r>
  <r>
    <x v="384"/>
    <x v="0"/>
    <x v="0"/>
    <x v="324"/>
    <x v="366"/>
    <x v="0"/>
    <x v="0"/>
    <x v="4"/>
    <x v="1"/>
    <x v="1"/>
    <x v="0"/>
    <x v="1"/>
    <x v="0"/>
    <x v="1"/>
    <x v="330"/>
    <x v="25"/>
  </r>
  <r>
    <x v="385"/>
    <x v="0"/>
    <x v="2"/>
    <x v="325"/>
    <x v="367"/>
    <x v="0"/>
    <x v="0"/>
    <x v="24"/>
    <x v="3"/>
    <x v="1"/>
    <x v="0"/>
    <x v="1"/>
    <x v="0"/>
    <x v="1"/>
    <x v="70"/>
    <x v="52"/>
  </r>
  <r>
    <x v="386"/>
    <x v="0"/>
    <x v="0"/>
    <x v="57"/>
    <x v="368"/>
    <x v="3"/>
    <x v="0"/>
    <x v="58"/>
    <x v="2"/>
    <x v="5"/>
    <x v="2"/>
    <x v="7"/>
    <x v="0"/>
    <x v="2"/>
    <x v="58"/>
    <x v="45"/>
  </r>
  <r>
    <x v="387"/>
    <x v="1"/>
    <x v="2"/>
    <x v="326"/>
    <x v="278"/>
    <x v="2"/>
    <x v="1"/>
    <x v="62"/>
    <x v="0"/>
    <x v="1"/>
    <x v="0"/>
    <x v="1"/>
    <x v="1"/>
    <x v="1"/>
    <x v="331"/>
    <x v="16"/>
  </r>
  <r>
    <x v="388"/>
    <x v="0"/>
    <x v="0"/>
    <x v="327"/>
    <x v="369"/>
    <x v="0"/>
    <x v="0"/>
    <x v="4"/>
    <x v="1"/>
    <x v="1"/>
    <x v="0"/>
    <x v="1"/>
    <x v="0"/>
    <x v="1"/>
    <x v="332"/>
    <x v="166"/>
  </r>
  <r>
    <x v="389"/>
    <x v="1"/>
    <x v="2"/>
    <x v="328"/>
    <x v="82"/>
    <x v="2"/>
    <x v="1"/>
    <x v="34"/>
    <x v="3"/>
    <x v="1"/>
    <x v="0"/>
    <x v="1"/>
    <x v="1"/>
    <x v="1"/>
    <x v="333"/>
    <x v="167"/>
  </r>
  <r>
    <x v="390"/>
    <x v="1"/>
    <x v="1"/>
    <x v="218"/>
    <x v="370"/>
    <x v="0"/>
    <x v="0"/>
    <x v="62"/>
    <x v="0"/>
    <x v="0"/>
    <x v="2"/>
    <x v="6"/>
    <x v="1"/>
    <x v="2"/>
    <x v="334"/>
    <x v="168"/>
  </r>
  <r>
    <x v="391"/>
    <x v="1"/>
    <x v="0"/>
    <x v="329"/>
    <x v="371"/>
    <x v="0"/>
    <x v="0"/>
    <x v="23"/>
    <x v="0"/>
    <x v="1"/>
    <x v="0"/>
    <x v="1"/>
    <x v="1"/>
    <x v="1"/>
    <x v="335"/>
    <x v="88"/>
  </r>
  <r>
    <x v="392"/>
    <x v="0"/>
    <x v="0"/>
    <x v="99"/>
    <x v="372"/>
    <x v="0"/>
    <x v="0"/>
    <x v="17"/>
    <x v="0"/>
    <x v="4"/>
    <x v="0"/>
    <x v="3"/>
    <x v="0"/>
    <x v="0"/>
    <x v="336"/>
    <x v="2"/>
  </r>
  <r>
    <x v="393"/>
    <x v="1"/>
    <x v="1"/>
    <x v="190"/>
    <x v="373"/>
    <x v="2"/>
    <x v="1"/>
    <x v="41"/>
    <x v="0"/>
    <x v="0"/>
    <x v="0"/>
    <x v="0"/>
    <x v="1"/>
    <x v="0"/>
    <x v="193"/>
    <x v="114"/>
  </r>
  <r>
    <x v="394"/>
    <x v="1"/>
    <x v="0"/>
    <x v="10"/>
    <x v="374"/>
    <x v="1"/>
    <x v="1"/>
    <x v="42"/>
    <x v="0"/>
    <x v="1"/>
    <x v="2"/>
    <x v="3"/>
    <x v="1"/>
    <x v="0"/>
    <x v="10"/>
    <x v="10"/>
  </r>
  <r>
    <x v="395"/>
    <x v="0"/>
    <x v="0"/>
    <x v="98"/>
    <x v="375"/>
    <x v="0"/>
    <x v="0"/>
    <x v="0"/>
    <x v="0"/>
    <x v="1"/>
    <x v="0"/>
    <x v="1"/>
    <x v="0"/>
    <x v="1"/>
    <x v="337"/>
    <x v="88"/>
  </r>
  <r>
    <x v="396"/>
    <x v="0"/>
    <x v="0"/>
    <x v="245"/>
    <x v="376"/>
    <x v="2"/>
    <x v="1"/>
    <x v="14"/>
    <x v="0"/>
    <x v="1"/>
    <x v="0"/>
    <x v="1"/>
    <x v="0"/>
    <x v="1"/>
    <x v="338"/>
    <x v="13"/>
  </r>
  <r>
    <x v="397"/>
    <x v="0"/>
    <x v="2"/>
    <x v="330"/>
    <x v="377"/>
    <x v="0"/>
    <x v="0"/>
    <x v="43"/>
    <x v="0"/>
    <x v="1"/>
    <x v="0"/>
    <x v="1"/>
    <x v="0"/>
    <x v="1"/>
    <x v="339"/>
    <x v="19"/>
  </r>
  <r>
    <x v="398"/>
    <x v="0"/>
    <x v="2"/>
    <x v="331"/>
    <x v="378"/>
    <x v="6"/>
    <x v="0"/>
    <x v="41"/>
    <x v="0"/>
    <x v="1"/>
    <x v="0"/>
    <x v="1"/>
    <x v="0"/>
    <x v="1"/>
    <x v="340"/>
    <x v="29"/>
  </r>
  <r>
    <x v="399"/>
    <x v="1"/>
    <x v="2"/>
    <x v="332"/>
    <x v="379"/>
    <x v="1"/>
    <x v="1"/>
    <x v="17"/>
    <x v="0"/>
    <x v="1"/>
    <x v="0"/>
    <x v="1"/>
    <x v="1"/>
    <x v="1"/>
    <x v="341"/>
    <x v="169"/>
  </r>
  <r>
    <x v="400"/>
    <x v="1"/>
    <x v="0"/>
    <x v="333"/>
    <x v="380"/>
    <x v="0"/>
    <x v="0"/>
    <x v="12"/>
    <x v="0"/>
    <x v="1"/>
    <x v="0"/>
    <x v="1"/>
    <x v="1"/>
    <x v="1"/>
    <x v="342"/>
    <x v="2"/>
  </r>
  <r>
    <x v="401"/>
    <x v="0"/>
    <x v="0"/>
    <x v="334"/>
    <x v="184"/>
    <x v="0"/>
    <x v="0"/>
    <x v="2"/>
    <x v="0"/>
    <x v="1"/>
    <x v="0"/>
    <x v="1"/>
    <x v="0"/>
    <x v="1"/>
    <x v="343"/>
    <x v="4"/>
  </r>
  <r>
    <x v="402"/>
    <x v="0"/>
    <x v="0"/>
    <x v="107"/>
    <x v="381"/>
    <x v="2"/>
    <x v="1"/>
    <x v="23"/>
    <x v="0"/>
    <x v="0"/>
    <x v="0"/>
    <x v="0"/>
    <x v="0"/>
    <x v="0"/>
    <x v="344"/>
    <x v="73"/>
  </r>
  <r>
    <x v="403"/>
    <x v="0"/>
    <x v="0"/>
    <x v="130"/>
    <x v="382"/>
    <x v="0"/>
    <x v="0"/>
    <x v="17"/>
    <x v="0"/>
    <x v="0"/>
    <x v="0"/>
    <x v="0"/>
    <x v="0"/>
    <x v="0"/>
    <x v="132"/>
    <x v="62"/>
  </r>
  <r>
    <x v="404"/>
    <x v="0"/>
    <x v="0"/>
    <x v="335"/>
    <x v="383"/>
    <x v="2"/>
    <x v="1"/>
    <x v="11"/>
    <x v="0"/>
    <x v="1"/>
    <x v="0"/>
    <x v="1"/>
    <x v="0"/>
    <x v="1"/>
    <x v="345"/>
    <x v="51"/>
  </r>
  <r>
    <x v="405"/>
    <x v="0"/>
    <x v="2"/>
    <x v="336"/>
    <x v="384"/>
    <x v="0"/>
    <x v="0"/>
    <x v="15"/>
    <x v="0"/>
    <x v="0"/>
    <x v="0"/>
    <x v="0"/>
    <x v="0"/>
    <x v="0"/>
    <x v="346"/>
    <x v="35"/>
  </r>
  <r>
    <x v="406"/>
    <x v="0"/>
    <x v="0"/>
    <x v="337"/>
    <x v="385"/>
    <x v="0"/>
    <x v="0"/>
    <x v="54"/>
    <x v="0"/>
    <x v="1"/>
    <x v="0"/>
    <x v="1"/>
    <x v="0"/>
    <x v="1"/>
    <x v="347"/>
    <x v="28"/>
  </r>
  <r>
    <x v="407"/>
    <x v="1"/>
    <x v="2"/>
    <x v="338"/>
    <x v="386"/>
    <x v="3"/>
    <x v="0"/>
    <x v="25"/>
    <x v="2"/>
    <x v="0"/>
    <x v="1"/>
    <x v="3"/>
    <x v="1"/>
    <x v="0"/>
    <x v="348"/>
    <x v="170"/>
  </r>
  <r>
    <x v="408"/>
    <x v="0"/>
    <x v="0"/>
    <x v="339"/>
    <x v="387"/>
    <x v="0"/>
    <x v="0"/>
    <x v="23"/>
    <x v="0"/>
    <x v="1"/>
    <x v="0"/>
    <x v="1"/>
    <x v="0"/>
    <x v="1"/>
    <x v="349"/>
    <x v="71"/>
  </r>
  <r>
    <x v="409"/>
    <x v="0"/>
    <x v="0"/>
    <x v="157"/>
    <x v="388"/>
    <x v="2"/>
    <x v="1"/>
    <x v="4"/>
    <x v="1"/>
    <x v="2"/>
    <x v="1"/>
    <x v="2"/>
    <x v="0"/>
    <x v="2"/>
    <x v="160"/>
    <x v="102"/>
  </r>
  <r>
    <x v="410"/>
    <x v="0"/>
    <x v="0"/>
    <x v="340"/>
    <x v="389"/>
    <x v="0"/>
    <x v="0"/>
    <x v="4"/>
    <x v="1"/>
    <x v="1"/>
    <x v="0"/>
    <x v="1"/>
    <x v="0"/>
    <x v="1"/>
    <x v="350"/>
    <x v="25"/>
  </r>
  <r>
    <x v="411"/>
    <x v="0"/>
    <x v="0"/>
    <x v="273"/>
    <x v="205"/>
    <x v="0"/>
    <x v="0"/>
    <x v="4"/>
    <x v="1"/>
    <x v="1"/>
    <x v="0"/>
    <x v="1"/>
    <x v="0"/>
    <x v="1"/>
    <x v="351"/>
    <x v="171"/>
  </r>
  <r>
    <x v="412"/>
    <x v="1"/>
    <x v="1"/>
    <x v="214"/>
    <x v="390"/>
    <x v="2"/>
    <x v="1"/>
    <x v="40"/>
    <x v="0"/>
    <x v="0"/>
    <x v="0"/>
    <x v="0"/>
    <x v="1"/>
    <x v="0"/>
    <x v="219"/>
    <x v="117"/>
  </r>
  <r>
    <x v="413"/>
    <x v="0"/>
    <x v="2"/>
    <x v="341"/>
    <x v="391"/>
    <x v="0"/>
    <x v="0"/>
    <x v="4"/>
    <x v="1"/>
    <x v="1"/>
    <x v="0"/>
    <x v="1"/>
    <x v="0"/>
    <x v="1"/>
    <x v="247"/>
    <x v="104"/>
  </r>
  <r>
    <x v="414"/>
    <x v="1"/>
    <x v="0"/>
    <x v="342"/>
    <x v="392"/>
    <x v="0"/>
    <x v="0"/>
    <x v="57"/>
    <x v="0"/>
    <x v="1"/>
    <x v="0"/>
    <x v="1"/>
    <x v="1"/>
    <x v="1"/>
    <x v="352"/>
    <x v="2"/>
  </r>
  <r>
    <x v="415"/>
    <x v="0"/>
    <x v="0"/>
    <x v="343"/>
    <x v="393"/>
    <x v="1"/>
    <x v="1"/>
    <x v="4"/>
    <x v="1"/>
    <x v="1"/>
    <x v="0"/>
    <x v="1"/>
    <x v="0"/>
    <x v="1"/>
    <x v="353"/>
    <x v="4"/>
  </r>
  <r>
    <x v="416"/>
    <x v="1"/>
    <x v="2"/>
    <x v="344"/>
    <x v="394"/>
    <x v="1"/>
    <x v="1"/>
    <x v="15"/>
    <x v="0"/>
    <x v="0"/>
    <x v="1"/>
    <x v="3"/>
    <x v="1"/>
    <x v="0"/>
    <x v="354"/>
    <x v="172"/>
  </r>
  <r>
    <x v="417"/>
    <x v="1"/>
    <x v="2"/>
    <x v="345"/>
    <x v="395"/>
    <x v="2"/>
    <x v="1"/>
    <x v="24"/>
    <x v="3"/>
    <x v="1"/>
    <x v="2"/>
    <x v="3"/>
    <x v="1"/>
    <x v="0"/>
    <x v="355"/>
    <x v="16"/>
  </r>
  <r>
    <x v="418"/>
    <x v="0"/>
    <x v="2"/>
    <x v="346"/>
    <x v="44"/>
    <x v="0"/>
    <x v="0"/>
    <x v="39"/>
    <x v="0"/>
    <x v="1"/>
    <x v="0"/>
    <x v="1"/>
    <x v="0"/>
    <x v="1"/>
    <x v="356"/>
    <x v="16"/>
  </r>
  <r>
    <x v="419"/>
    <x v="0"/>
    <x v="0"/>
    <x v="347"/>
    <x v="396"/>
    <x v="2"/>
    <x v="1"/>
    <x v="73"/>
    <x v="2"/>
    <x v="1"/>
    <x v="2"/>
    <x v="3"/>
    <x v="0"/>
    <x v="0"/>
    <x v="357"/>
    <x v="72"/>
  </r>
  <r>
    <x v="420"/>
    <x v="0"/>
    <x v="0"/>
    <x v="348"/>
    <x v="397"/>
    <x v="0"/>
    <x v="0"/>
    <x v="4"/>
    <x v="1"/>
    <x v="1"/>
    <x v="0"/>
    <x v="1"/>
    <x v="0"/>
    <x v="1"/>
    <x v="358"/>
    <x v="25"/>
  </r>
  <r>
    <x v="421"/>
    <x v="0"/>
    <x v="0"/>
    <x v="349"/>
    <x v="256"/>
    <x v="0"/>
    <x v="0"/>
    <x v="23"/>
    <x v="0"/>
    <x v="1"/>
    <x v="0"/>
    <x v="1"/>
    <x v="0"/>
    <x v="1"/>
    <x v="359"/>
    <x v="93"/>
  </r>
  <r>
    <x v="422"/>
    <x v="0"/>
    <x v="0"/>
    <x v="350"/>
    <x v="398"/>
    <x v="0"/>
    <x v="0"/>
    <x v="28"/>
    <x v="0"/>
    <x v="1"/>
    <x v="0"/>
    <x v="1"/>
    <x v="0"/>
    <x v="1"/>
    <x v="360"/>
    <x v="173"/>
  </r>
  <r>
    <x v="423"/>
    <x v="0"/>
    <x v="0"/>
    <x v="351"/>
    <x v="399"/>
    <x v="1"/>
    <x v="1"/>
    <x v="17"/>
    <x v="0"/>
    <x v="0"/>
    <x v="1"/>
    <x v="3"/>
    <x v="0"/>
    <x v="0"/>
    <x v="361"/>
    <x v="174"/>
  </r>
  <r>
    <x v="424"/>
    <x v="0"/>
    <x v="0"/>
    <x v="222"/>
    <x v="400"/>
    <x v="0"/>
    <x v="0"/>
    <x v="24"/>
    <x v="3"/>
    <x v="0"/>
    <x v="1"/>
    <x v="3"/>
    <x v="0"/>
    <x v="0"/>
    <x v="227"/>
    <x v="125"/>
  </r>
  <r>
    <x v="425"/>
    <x v="0"/>
    <x v="0"/>
    <x v="352"/>
    <x v="401"/>
    <x v="0"/>
    <x v="0"/>
    <x v="4"/>
    <x v="1"/>
    <x v="1"/>
    <x v="0"/>
    <x v="1"/>
    <x v="0"/>
    <x v="1"/>
    <x v="362"/>
    <x v="0"/>
  </r>
  <r>
    <x v="426"/>
    <x v="1"/>
    <x v="2"/>
    <x v="353"/>
    <x v="402"/>
    <x v="1"/>
    <x v="1"/>
    <x v="17"/>
    <x v="0"/>
    <x v="0"/>
    <x v="0"/>
    <x v="0"/>
    <x v="1"/>
    <x v="0"/>
    <x v="363"/>
    <x v="19"/>
  </r>
  <r>
    <x v="427"/>
    <x v="1"/>
    <x v="2"/>
    <x v="354"/>
    <x v="403"/>
    <x v="2"/>
    <x v="1"/>
    <x v="19"/>
    <x v="3"/>
    <x v="1"/>
    <x v="0"/>
    <x v="1"/>
    <x v="1"/>
    <x v="1"/>
    <x v="364"/>
    <x v="19"/>
  </r>
  <r>
    <x v="428"/>
    <x v="0"/>
    <x v="0"/>
    <x v="355"/>
    <x v="5"/>
    <x v="0"/>
    <x v="0"/>
    <x v="4"/>
    <x v="1"/>
    <x v="1"/>
    <x v="0"/>
    <x v="1"/>
    <x v="0"/>
    <x v="1"/>
    <x v="365"/>
    <x v="28"/>
  </r>
  <r>
    <x v="429"/>
    <x v="1"/>
    <x v="0"/>
    <x v="356"/>
    <x v="404"/>
    <x v="0"/>
    <x v="0"/>
    <x v="35"/>
    <x v="0"/>
    <x v="1"/>
    <x v="0"/>
    <x v="1"/>
    <x v="1"/>
    <x v="1"/>
    <x v="366"/>
    <x v="4"/>
  </r>
  <r>
    <x v="430"/>
    <x v="1"/>
    <x v="1"/>
    <x v="357"/>
    <x v="405"/>
    <x v="0"/>
    <x v="0"/>
    <x v="17"/>
    <x v="0"/>
    <x v="1"/>
    <x v="0"/>
    <x v="1"/>
    <x v="1"/>
    <x v="1"/>
    <x v="367"/>
    <x v="11"/>
  </r>
  <r>
    <x v="431"/>
    <x v="1"/>
    <x v="0"/>
    <x v="358"/>
    <x v="406"/>
    <x v="1"/>
    <x v="1"/>
    <x v="4"/>
    <x v="1"/>
    <x v="0"/>
    <x v="0"/>
    <x v="0"/>
    <x v="1"/>
    <x v="0"/>
    <x v="368"/>
    <x v="95"/>
  </r>
  <r>
    <x v="432"/>
    <x v="1"/>
    <x v="2"/>
    <x v="359"/>
    <x v="407"/>
    <x v="1"/>
    <x v="1"/>
    <x v="22"/>
    <x v="0"/>
    <x v="0"/>
    <x v="0"/>
    <x v="0"/>
    <x v="1"/>
    <x v="0"/>
    <x v="369"/>
    <x v="19"/>
  </r>
  <r>
    <x v="433"/>
    <x v="0"/>
    <x v="0"/>
    <x v="360"/>
    <x v="408"/>
    <x v="0"/>
    <x v="0"/>
    <x v="34"/>
    <x v="3"/>
    <x v="1"/>
    <x v="0"/>
    <x v="1"/>
    <x v="0"/>
    <x v="1"/>
    <x v="370"/>
    <x v="123"/>
  </r>
  <r>
    <x v="434"/>
    <x v="0"/>
    <x v="1"/>
    <x v="361"/>
    <x v="409"/>
    <x v="0"/>
    <x v="0"/>
    <x v="61"/>
    <x v="0"/>
    <x v="0"/>
    <x v="0"/>
    <x v="0"/>
    <x v="0"/>
    <x v="0"/>
    <x v="371"/>
    <x v="175"/>
  </r>
  <r>
    <x v="435"/>
    <x v="1"/>
    <x v="1"/>
    <x v="218"/>
    <x v="410"/>
    <x v="2"/>
    <x v="1"/>
    <x v="8"/>
    <x v="3"/>
    <x v="0"/>
    <x v="2"/>
    <x v="6"/>
    <x v="1"/>
    <x v="2"/>
    <x v="334"/>
    <x v="168"/>
  </r>
  <r>
    <x v="436"/>
    <x v="0"/>
    <x v="0"/>
    <x v="82"/>
    <x v="411"/>
    <x v="2"/>
    <x v="1"/>
    <x v="23"/>
    <x v="0"/>
    <x v="4"/>
    <x v="2"/>
    <x v="2"/>
    <x v="0"/>
    <x v="2"/>
    <x v="84"/>
    <x v="63"/>
  </r>
  <r>
    <x v="437"/>
    <x v="1"/>
    <x v="2"/>
    <x v="338"/>
    <x v="412"/>
    <x v="1"/>
    <x v="1"/>
    <x v="42"/>
    <x v="0"/>
    <x v="4"/>
    <x v="4"/>
    <x v="5"/>
    <x v="1"/>
    <x v="2"/>
    <x v="348"/>
    <x v="170"/>
  </r>
  <r>
    <x v="438"/>
    <x v="0"/>
    <x v="1"/>
    <x v="26"/>
    <x v="413"/>
    <x v="0"/>
    <x v="0"/>
    <x v="74"/>
    <x v="4"/>
    <x v="0"/>
    <x v="5"/>
    <x v="5"/>
    <x v="0"/>
    <x v="2"/>
    <x v="26"/>
    <x v="23"/>
  </r>
  <r>
    <x v="439"/>
    <x v="0"/>
    <x v="2"/>
    <x v="362"/>
    <x v="414"/>
    <x v="0"/>
    <x v="0"/>
    <x v="14"/>
    <x v="0"/>
    <x v="1"/>
    <x v="0"/>
    <x v="1"/>
    <x v="0"/>
    <x v="1"/>
    <x v="372"/>
    <x v="29"/>
  </r>
  <r>
    <x v="440"/>
    <x v="1"/>
    <x v="2"/>
    <x v="273"/>
    <x v="415"/>
    <x v="1"/>
    <x v="1"/>
    <x v="33"/>
    <x v="0"/>
    <x v="0"/>
    <x v="1"/>
    <x v="3"/>
    <x v="1"/>
    <x v="0"/>
    <x v="280"/>
    <x v="121"/>
  </r>
  <r>
    <x v="441"/>
    <x v="0"/>
    <x v="0"/>
    <x v="363"/>
    <x v="416"/>
    <x v="0"/>
    <x v="0"/>
    <x v="11"/>
    <x v="0"/>
    <x v="1"/>
    <x v="0"/>
    <x v="1"/>
    <x v="0"/>
    <x v="1"/>
    <x v="373"/>
    <x v="59"/>
  </r>
  <r>
    <x v="442"/>
    <x v="0"/>
    <x v="0"/>
    <x v="364"/>
    <x v="417"/>
    <x v="0"/>
    <x v="0"/>
    <x v="37"/>
    <x v="0"/>
    <x v="0"/>
    <x v="0"/>
    <x v="0"/>
    <x v="0"/>
    <x v="0"/>
    <x v="374"/>
    <x v="71"/>
  </r>
  <r>
    <x v="443"/>
    <x v="1"/>
    <x v="2"/>
    <x v="365"/>
    <x v="418"/>
    <x v="8"/>
    <x v="2"/>
    <x v="17"/>
    <x v="0"/>
    <x v="1"/>
    <x v="0"/>
    <x v="1"/>
    <x v="1"/>
    <x v="1"/>
    <x v="375"/>
    <x v="16"/>
  </r>
  <r>
    <x v="444"/>
    <x v="1"/>
    <x v="0"/>
    <x v="366"/>
    <x v="419"/>
    <x v="0"/>
    <x v="0"/>
    <x v="4"/>
    <x v="1"/>
    <x v="1"/>
    <x v="0"/>
    <x v="1"/>
    <x v="1"/>
    <x v="1"/>
    <x v="376"/>
    <x v="176"/>
  </r>
  <r>
    <x v="445"/>
    <x v="1"/>
    <x v="1"/>
    <x v="367"/>
    <x v="420"/>
    <x v="3"/>
    <x v="0"/>
    <x v="9"/>
    <x v="2"/>
    <x v="1"/>
    <x v="2"/>
    <x v="3"/>
    <x v="1"/>
    <x v="0"/>
    <x v="377"/>
    <x v="177"/>
  </r>
  <r>
    <x v="446"/>
    <x v="1"/>
    <x v="2"/>
    <x v="237"/>
    <x v="421"/>
    <x v="2"/>
    <x v="1"/>
    <x v="75"/>
    <x v="3"/>
    <x v="1"/>
    <x v="1"/>
    <x v="0"/>
    <x v="1"/>
    <x v="0"/>
    <x v="242"/>
    <x v="131"/>
  </r>
  <r>
    <x v="447"/>
    <x v="1"/>
    <x v="1"/>
    <x v="368"/>
    <x v="422"/>
    <x v="0"/>
    <x v="0"/>
    <x v="15"/>
    <x v="0"/>
    <x v="1"/>
    <x v="0"/>
    <x v="1"/>
    <x v="1"/>
    <x v="1"/>
    <x v="378"/>
    <x v="11"/>
  </r>
  <r>
    <x v="448"/>
    <x v="1"/>
    <x v="0"/>
    <x v="369"/>
    <x v="423"/>
    <x v="2"/>
    <x v="1"/>
    <x v="31"/>
    <x v="2"/>
    <x v="4"/>
    <x v="1"/>
    <x v="6"/>
    <x v="1"/>
    <x v="2"/>
    <x v="379"/>
    <x v="178"/>
  </r>
  <r>
    <x v="449"/>
    <x v="1"/>
    <x v="1"/>
    <x v="370"/>
    <x v="424"/>
    <x v="9"/>
    <x v="2"/>
    <x v="67"/>
    <x v="0"/>
    <x v="1"/>
    <x v="0"/>
    <x v="1"/>
    <x v="1"/>
    <x v="1"/>
    <x v="380"/>
    <x v="140"/>
  </r>
  <r>
    <x v="450"/>
    <x v="0"/>
    <x v="2"/>
    <x v="56"/>
    <x v="425"/>
    <x v="0"/>
    <x v="0"/>
    <x v="62"/>
    <x v="0"/>
    <x v="0"/>
    <x v="2"/>
    <x v="6"/>
    <x v="0"/>
    <x v="2"/>
    <x v="57"/>
    <x v="44"/>
  </r>
  <r>
    <x v="451"/>
    <x v="0"/>
    <x v="0"/>
    <x v="371"/>
    <x v="426"/>
    <x v="0"/>
    <x v="0"/>
    <x v="4"/>
    <x v="1"/>
    <x v="0"/>
    <x v="0"/>
    <x v="0"/>
    <x v="0"/>
    <x v="0"/>
    <x v="381"/>
    <x v="179"/>
  </r>
  <r>
    <x v="452"/>
    <x v="0"/>
    <x v="1"/>
    <x v="372"/>
    <x v="427"/>
    <x v="0"/>
    <x v="0"/>
    <x v="39"/>
    <x v="0"/>
    <x v="1"/>
    <x v="0"/>
    <x v="1"/>
    <x v="0"/>
    <x v="1"/>
    <x v="382"/>
    <x v="44"/>
  </r>
  <r>
    <x v="453"/>
    <x v="1"/>
    <x v="1"/>
    <x v="373"/>
    <x v="428"/>
    <x v="0"/>
    <x v="0"/>
    <x v="27"/>
    <x v="0"/>
    <x v="0"/>
    <x v="0"/>
    <x v="0"/>
    <x v="1"/>
    <x v="0"/>
    <x v="383"/>
    <x v="180"/>
  </r>
  <r>
    <x v="454"/>
    <x v="0"/>
    <x v="0"/>
    <x v="374"/>
    <x v="429"/>
    <x v="0"/>
    <x v="0"/>
    <x v="4"/>
    <x v="1"/>
    <x v="1"/>
    <x v="0"/>
    <x v="1"/>
    <x v="0"/>
    <x v="1"/>
    <x v="384"/>
    <x v="4"/>
  </r>
  <r>
    <x v="455"/>
    <x v="1"/>
    <x v="0"/>
    <x v="375"/>
    <x v="75"/>
    <x v="0"/>
    <x v="0"/>
    <x v="28"/>
    <x v="0"/>
    <x v="1"/>
    <x v="0"/>
    <x v="1"/>
    <x v="1"/>
    <x v="1"/>
    <x v="385"/>
    <x v="25"/>
  </r>
  <r>
    <x v="456"/>
    <x v="0"/>
    <x v="1"/>
    <x v="376"/>
    <x v="430"/>
    <x v="0"/>
    <x v="0"/>
    <x v="29"/>
    <x v="4"/>
    <x v="1"/>
    <x v="0"/>
    <x v="1"/>
    <x v="0"/>
    <x v="1"/>
    <x v="386"/>
    <x v="11"/>
  </r>
  <r>
    <x v="457"/>
    <x v="1"/>
    <x v="1"/>
    <x v="377"/>
    <x v="431"/>
    <x v="1"/>
    <x v="1"/>
    <x v="4"/>
    <x v="1"/>
    <x v="0"/>
    <x v="0"/>
    <x v="0"/>
    <x v="1"/>
    <x v="0"/>
    <x v="387"/>
    <x v="6"/>
  </r>
  <r>
    <x v="458"/>
    <x v="1"/>
    <x v="2"/>
    <x v="378"/>
    <x v="432"/>
    <x v="2"/>
    <x v="1"/>
    <x v="61"/>
    <x v="0"/>
    <x v="1"/>
    <x v="0"/>
    <x v="1"/>
    <x v="1"/>
    <x v="1"/>
    <x v="388"/>
    <x v="29"/>
  </r>
  <r>
    <x v="459"/>
    <x v="0"/>
    <x v="0"/>
    <x v="379"/>
    <x v="433"/>
    <x v="0"/>
    <x v="0"/>
    <x v="4"/>
    <x v="1"/>
    <x v="1"/>
    <x v="0"/>
    <x v="1"/>
    <x v="0"/>
    <x v="1"/>
    <x v="389"/>
    <x v="28"/>
  </r>
  <r>
    <x v="460"/>
    <x v="1"/>
    <x v="1"/>
    <x v="380"/>
    <x v="154"/>
    <x v="0"/>
    <x v="0"/>
    <x v="76"/>
    <x v="0"/>
    <x v="1"/>
    <x v="0"/>
    <x v="1"/>
    <x v="1"/>
    <x v="1"/>
    <x v="390"/>
    <x v="11"/>
  </r>
  <r>
    <x v="461"/>
    <x v="0"/>
    <x v="0"/>
    <x v="381"/>
    <x v="187"/>
    <x v="0"/>
    <x v="0"/>
    <x v="15"/>
    <x v="0"/>
    <x v="1"/>
    <x v="0"/>
    <x v="1"/>
    <x v="0"/>
    <x v="1"/>
    <x v="391"/>
    <x v="4"/>
  </r>
  <r>
    <x v="462"/>
    <x v="0"/>
    <x v="1"/>
    <x v="382"/>
    <x v="434"/>
    <x v="0"/>
    <x v="0"/>
    <x v="47"/>
    <x v="0"/>
    <x v="1"/>
    <x v="0"/>
    <x v="1"/>
    <x v="0"/>
    <x v="1"/>
    <x v="392"/>
    <x v="181"/>
  </r>
  <r>
    <x v="463"/>
    <x v="0"/>
    <x v="2"/>
    <x v="383"/>
    <x v="435"/>
    <x v="0"/>
    <x v="0"/>
    <x v="76"/>
    <x v="0"/>
    <x v="1"/>
    <x v="0"/>
    <x v="1"/>
    <x v="0"/>
    <x v="1"/>
    <x v="393"/>
    <x v="16"/>
  </r>
  <r>
    <x v="464"/>
    <x v="0"/>
    <x v="0"/>
    <x v="384"/>
    <x v="436"/>
    <x v="0"/>
    <x v="0"/>
    <x v="4"/>
    <x v="1"/>
    <x v="1"/>
    <x v="0"/>
    <x v="1"/>
    <x v="0"/>
    <x v="1"/>
    <x v="394"/>
    <x v="4"/>
  </r>
  <r>
    <x v="465"/>
    <x v="0"/>
    <x v="0"/>
    <x v="385"/>
    <x v="437"/>
    <x v="0"/>
    <x v="0"/>
    <x v="1"/>
    <x v="0"/>
    <x v="1"/>
    <x v="0"/>
    <x v="1"/>
    <x v="0"/>
    <x v="1"/>
    <x v="395"/>
    <x v="79"/>
  </r>
  <r>
    <x v="466"/>
    <x v="0"/>
    <x v="2"/>
    <x v="386"/>
    <x v="187"/>
    <x v="0"/>
    <x v="0"/>
    <x v="4"/>
    <x v="1"/>
    <x v="1"/>
    <x v="0"/>
    <x v="1"/>
    <x v="0"/>
    <x v="1"/>
    <x v="247"/>
    <x v="104"/>
  </r>
  <r>
    <x v="467"/>
    <x v="0"/>
    <x v="1"/>
    <x v="387"/>
    <x v="438"/>
    <x v="0"/>
    <x v="0"/>
    <x v="60"/>
    <x v="0"/>
    <x v="1"/>
    <x v="0"/>
    <x v="1"/>
    <x v="0"/>
    <x v="1"/>
    <x v="396"/>
    <x v="11"/>
  </r>
  <r>
    <x v="468"/>
    <x v="0"/>
    <x v="0"/>
    <x v="388"/>
    <x v="5"/>
    <x v="0"/>
    <x v="0"/>
    <x v="4"/>
    <x v="1"/>
    <x v="1"/>
    <x v="0"/>
    <x v="1"/>
    <x v="0"/>
    <x v="1"/>
    <x v="397"/>
    <x v="182"/>
  </r>
  <r>
    <x v="469"/>
    <x v="1"/>
    <x v="0"/>
    <x v="369"/>
    <x v="439"/>
    <x v="2"/>
    <x v="1"/>
    <x v="77"/>
    <x v="2"/>
    <x v="4"/>
    <x v="1"/>
    <x v="6"/>
    <x v="1"/>
    <x v="2"/>
    <x v="379"/>
    <x v="178"/>
  </r>
  <r>
    <x v="470"/>
    <x v="0"/>
    <x v="0"/>
    <x v="389"/>
    <x v="167"/>
    <x v="0"/>
    <x v="0"/>
    <x v="4"/>
    <x v="1"/>
    <x v="1"/>
    <x v="0"/>
    <x v="1"/>
    <x v="0"/>
    <x v="1"/>
    <x v="398"/>
    <x v="0"/>
  </r>
  <r>
    <x v="471"/>
    <x v="0"/>
    <x v="0"/>
    <x v="390"/>
    <x v="440"/>
    <x v="0"/>
    <x v="0"/>
    <x v="1"/>
    <x v="0"/>
    <x v="1"/>
    <x v="0"/>
    <x v="1"/>
    <x v="0"/>
    <x v="1"/>
    <x v="399"/>
    <x v="51"/>
  </r>
  <r>
    <x v="472"/>
    <x v="1"/>
    <x v="2"/>
    <x v="56"/>
    <x v="441"/>
    <x v="1"/>
    <x v="1"/>
    <x v="40"/>
    <x v="0"/>
    <x v="0"/>
    <x v="2"/>
    <x v="6"/>
    <x v="1"/>
    <x v="2"/>
    <x v="57"/>
    <x v="44"/>
  </r>
  <r>
    <x v="473"/>
    <x v="1"/>
    <x v="2"/>
    <x v="391"/>
    <x v="442"/>
    <x v="1"/>
    <x v="1"/>
    <x v="41"/>
    <x v="0"/>
    <x v="1"/>
    <x v="0"/>
    <x v="1"/>
    <x v="1"/>
    <x v="1"/>
    <x v="400"/>
    <x v="183"/>
  </r>
  <r>
    <x v="474"/>
    <x v="0"/>
    <x v="0"/>
    <x v="392"/>
    <x v="443"/>
    <x v="2"/>
    <x v="1"/>
    <x v="0"/>
    <x v="0"/>
    <x v="1"/>
    <x v="0"/>
    <x v="1"/>
    <x v="0"/>
    <x v="1"/>
    <x v="401"/>
    <x v="184"/>
  </r>
  <r>
    <x v="475"/>
    <x v="0"/>
    <x v="1"/>
    <x v="393"/>
    <x v="444"/>
    <x v="0"/>
    <x v="0"/>
    <x v="4"/>
    <x v="1"/>
    <x v="1"/>
    <x v="0"/>
    <x v="1"/>
    <x v="0"/>
    <x v="1"/>
    <x v="107"/>
    <x v="31"/>
  </r>
  <r>
    <x v="476"/>
    <x v="0"/>
    <x v="2"/>
    <x v="394"/>
    <x v="445"/>
    <x v="0"/>
    <x v="0"/>
    <x v="15"/>
    <x v="0"/>
    <x v="0"/>
    <x v="0"/>
    <x v="0"/>
    <x v="0"/>
    <x v="0"/>
    <x v="402"/>
    <x v="35"/>
  </r>
  <r>
    <x v="477"/>
    <x v="0"/>
    <x v="0"/>
    <x v="0"/>
    <x v="446"/>
    <x v="0"/>
    <x v="0"/>
    <x v="28"/>
    <x v="0"/>
    <x v="0"/>
    <x v="0"/>
    <x v="0"/>
    <x v="0"/>
    <x v="0"/>
    <x v="403"/>
    <x v="185"/>
  </r>
  <r>
    <x v="478"/>
    <x v="0"/>
    <x v="0"/>
    <x v="395"/>
    <x v="447"/>
    <x v="0"/>
    <x v="0"/>
    <x v="0"/>
    <x v="0"/>
    <x v="1"/>
    <x v="0"/>
    <x v="1"/>
    <x v="0"/>
    <x v="1"/>
    <x v="404"/>
    <x v="186"/>
  </r>
  <r>
    <x v="479"/>
    <x v="1"/>
    <x v="0"/>
    <x v="396"/>
    <x v="448"/>
    <x v="2"/>
    <x v="1"/>
    <x v="6"/>
    <x v="2"/>
    <x v="1"/>
    <x v="1"/>
    <x v="0"/>
    <x v="1"/>
    <x v="0"/>
    <x v="405"/>
    <x v="187"/>
  </r>
  <r>
    <x v="480"/>
    <x v="0"/>
    <x v="0"/>
    <x v="57"/>
    <x v="449"/>
    <x v="3"/>
    <x v="0"/>
    <x v="52"/>
    <x v="2"/>
    <x v="5"/>
    <x v="2"/>
    <x v="7"/>
    <x v="0"/>
    <x v="2"/>
    <x v="58"/>
    <x v="45"/>
  </r>
  <r>
    <x v="481"/>
    <x v="0"/>
    <x v="2"/>
    <x v="397"/>
    <x v="450"/>
    <x v="0"/>
    <x v="0"/>
    <x v="4"/>
    <x v="1"/>
    <x v="1"/>
    <x v="0"/>
    <x v="1"/>
    <x v="0"/>
    <x v="1"/>
    <x v="406"/>
    <x v="104"/>
  </r>
  <r>
    <x v="482"/>
    <x v="0"/>
    <x v="0"/>
    <x v="398"/>
    <x v="451"/>
    <x v="0"/>
    <x v="0"/>
    <x v="61"/>
    <x v="0"/>
    <x v="1"/>
    <x v="0"/>
    <x v="1"/>
    <x v="0"/>
    <x v="1"/>
    <x v="407"/>
    <x v="4"/>
  </r>
  <r>
    <x v="483"/>
    <x v="1"/>
    <x v="0"/>
    <x v="399"/>
    <x v="452"/>
    <x v="1"/>
    <x v="1"/>
    <x v="68"/>
    <x v="4"/>
    <x v="1"/>
    <x v="0"/>
    <x v="1"/>
    <x v="1"/>
    <x v="1"/>
    <x v="408"/>
    <x v="188"/>
  </r>
  <r>
    <x v="484"/>
    <x v="1"/>
    <x v="1"/>
    <x v="254"/>
    <x v="453"/>
    <x v="0"/>
    <x v="0"/>
    <x v="37"/>
    <x v="0"/>
    <x v="0"/>
    <x v="0"/>
    <x v="0"/>
    <x v="1"/>
    <x v="0"/>
    <x v="260"/>
    <x v="136"/>
  </r>
  <r>
    <x v="485"/>
    <x v="0"/>
    <x v="0"/>
    <x v="157"/>
    <x v="454"/>
    <x v="2"/>
    <x v="1"/>
    <x v="4"/>
    <x v="1"/>
    <x v="2"/>
    <x v="1"/>
    <x v="2"/>
    <x v="0"/>
    <x v="2"/>
    <x v="160"/>
    <x v="102"/>
  </r>
  <r>
    <x v="486"/>
    <x v="1"/>
    <x v="1"/>
    <x v="198"/>
    <x v="455"/>
    <x v="1"/>
    <x v="1"/>
    <x v="3"/>
    <x v="0"/>
    <x v="0"/>
    <x v="0"/>
    <x v="0"/>
    <x v="1"/>
    <x v="0"/>
    <x v="202"/>
    <x v="117"/>
  </r>
  <r>
    <x v="487"/>
    <x v="0"/>
    <x v="1"/>
    <x v="400"/>
    <x v="456"/>
    <x v="0"/>
    <x v="0"/>
    <x v="10"/>
    <x v="0"/>
    <x v="1"/>
    <x v="0"/>
    <x v="1"/>
    <x v="0"/>
    <x v="1"/>
    <x v="409"/>
    <x v="132"/>
  </r>
  <r>
    <x v="488"/>
    <x v="0"/>
    <x v="0"/>
    <x v="401"/>
    <x v="457"/>
    <x v="0"/>
    <x v="0"/>
    <x v="39"/>
    <x v="0"/>
    <x v="1"/>
    <x v="0"/>
    <x v="1"/>
    <x v="0"/>
    <x v="1"/>
    <x v="410"/>
    <x v="4"/>
  </r>
  <r>
    <x v="489"/>
    <x v="1"/>
    <x v="0"/>
    <x v="295"/>
    <x v="458"/>
    <x v="3"/>
    <x v="0"/>
    <x v="52"/>
    <x v="2"/>
    <x v="0"/>
    <x v="1"/>
    <x v="3"/>
    <x v="1"/>
    <x v="0"/>
    <x v="302"/>
    <x v="156"/>
  </r>
  <r>
    <x v="490"/>
    <x v="0"/>
    <x v="0"/>
    <x v="371"/>
    <x v="459"/>
    <x v="0"/>
    <x v="0"/>
    <x v="4"/>
    <x v="1"/>
    <x v="0"/>
    <x v="0"/>
    <x v="0"/>
    <x v="0"/>
    <x v="0"/>
    <x v="411"/>
    <x v="179"/>
  </r>
  <r>
    <x v="491"/>
    <x v="0"/>
    <x v="0"/>
    <x v="402"/>
    <x v="460"/>
    <x v="0"/>
    <x v="0"/>
    <x v="23"/>
    <x v="0"/>
    <x v="1"/>
    <x v="0"/>
    <x v="1"/>
    <x v="0"/>
    <x v="1"/>
    <x v="412"/>
    <x v="0"/>
  </r>
  <r>
    <x v="492"/>
    <x v="0"/>
    <x v="1"/>
    <x v="403"/>
    <x v="461"/>
    <x v="0"/>
    <x v="0"/>
    <x v="13"/>
    <x v="0"/>
    <x v="1"/>
    <x v="0"/>
    <x v="1"/>
    <x v="0"/>
    <x v="1"/>
    <x v="413"/>
    <x v="140"/>
  </r>
  <r>
    <x v="493"/>
    <x v="0"/>
    <x v="1"/>
    <x v="404"/>
    <x v="462"/>
    <x v="0"/>
    <x v="0"/>
    <x v="45"/>
    <x v="4"/>
    <x v="1"/>
    <x v="0"/>
    <x v="1"/>
    <x v="0"/>
    <x v="1"/>
    <x v="414"/>
    <x v="189"/>
  </r>
  <r>
    <x v="494"/>
    <x v="0"/>
    <x v="0"/>
    <x v="405"/>
    <x v="463"/>
    <x v="0"/>
    <x v="0"/>
    <x v="23"/>
    <x v="0"/>
    <x v="1"/>
    <x v="0"/>
    <x v="1"/>
    <x v="0"/>
    <x v="1"/>
    <x v="415"/>
    <x v="4"/>
  </r>
  <r>
    <x v="495"/>
    <x v="0"/>
    <x v="0"/>
    <x v="406"/>
    <x v="199"/>
    <x v="0"/>
    <x v="0"/>
    <x v="4"/>
    <x v="1"/>
    <x v="1"/>
    <x v="0"/>
    <x v="1"/>
    <x v="0"/>
    <x v="1"/>
    <x v="111"/>
    <x v="74"/>
  </r>
  <r>
    <x v="496"/>
    <x v="1"/>
    <x v="1"/>
    <x v="407"/>
    <x v="464"/>
    <x v="2"/>
    <x v="1"/>
    <x v="5"/>
    <x v="0"/>
    <x v="0"/>
    <x v="0"/>
    <x v="0"/>
    <x v="1"/>
    <x v="0"/>
    <x v="416"/>
    <x v="190"/>
  </r>
  <r>
    <x v="497"/>
    <x v="0"/>
    <x v="0"/>
    <x v="408"/>
    <x v="233"/>
    <x v="0"/>
    <x v="0"/>
    <x v="4"/>
    <x v="1"/>
    <x v="1"/>
    <x v="0"/>
    <x v="1"/>
    <x v="0"/>
    <x v="1"/>
    <x v="417"/>
    <x v="191"/>
  </r>
  <r>
    <x v="498"/>
    <x v="0"/>
    <x v="1"/>
    <x v="260"/>
    <x v="465"/>
    <x v="1"/>
    <x v="1"/>
    <x v="37"/>
    <x v="0"/>
    <x v="0"/>
    <x v="2"/>
    <x v="6"/>
    <x v="0"/>
    <x v="2"/>
    <x v="266"/>
    <x v="139"/>
  </r>
  <r>
    <x v="499"/>
    <x v="0"/>
    <x v="0"/>
    <x v="409"/>
    <x v="466"/>
    <x v="0"/>
    <x v="0"/>
    <x v="42"/>
    <x v="0"/>
    <x v="1"/>
    <x v="0"/>
    <x v="1"/>
    <x v="0"/>
    <x v="1"/>
    <x v="418"/>
    <x v="88"/>
  </r>
  <r>
    <x v="500"/>
    <x v="0"/>
    <x v="0"/>
    <x v="148"/>
    <x v="467"/>
    <x v="0"/>
    <x v="0"/>
    <x v="34"/>
    <x v="3"/>
    <x v="1"/>
    <x v="0"/>
    <x v="1"/>
    <x v="0"/>
    <x v="1"/>
    <x v="419"/>
    <x v="51"/>
  </r>
  <r>
    <x v="501"/>
    <x v="0"/>
    <x v="0"/>
    <x v="410"/>
    <x v="344"/>
    <x v="2"/>
    <x v="1"/>
    <x v="23"/>
    <x v="0"/>
    <x v="1"/>
    <x v="0"/>
    <x v="1"/>
    <x v="0"/>
    <x v="1"/>
    <x v="420"/>
    <x v="28"/>
  </r>
  <r>
    <x v="502"/>
    <x v="0"/>
    <x v="0"/>
    <x v="411"/>
    <x v="468"/>
    <x v="2"/>
    <x v="1"/>
    <x v="4"/>
    <x v="1"/>
    <x v="1"/>
    <x v="0"/>
    <x v="1"/>
    <x v="0"/>
    <x v="1"/>
    <x v="421"/>
    <x v="192"/>
  </r>
  <r>
    <x v="503"/>
    <x v="0"/>
    <x v="0"/>
    <x v="412"/>
    <x v="469"/>
    <x v="2"/>
    <x v="1"/>
    <x v="46"/>
    <x v="0"/>
    <x v="1"/>
    <x v="0"/>
    <x v="1"/>
    <x v="0"/>
    <x v="1"/>
    <x v="422"/>
    <x v="188"/>
  </r>
  <r>
    <x v="504"/>
    <x v="1"/>
    <x v="1"/>
    <x v="413"/>
    <x v="470"/>
    <x v="2"/>
    <x v="1"/>
    <x v="36"/>
    <x v="3"/>
    <x v="1"/>
    <x v="0"/>
    <x v="1"/>
    <x v="1"/>
    <x v="1"/>
    <x v="230"/>
    <x v="126"/>
  </r>
  <r>
    <x v="505"/>
    <x v="0"/>
    <x v="1"/>
    <x v="266"/>
    <x v="471"/>
    <x v="0"/>
    <x v="0"/>
    <x v="24"/>
    <x v="3"/>
    <x v="0"/>
    <x v="0"/>
    <x v="0"/>
    <x v="0"/>
    <x v="0"/>
    <x v="273"/>
    <x v="144"/>
  </r>
  <r>
    <x v="506"/>
    <x v="1"/>
    <x v="2"/>
    <x v="414"/>
    <x v="472"/>
    <x v="1"/>
    <x v="1"/>
    <x v="40"/>
    <x v="0"/>
    <x v="1"/>
    <x v="2"/>
    <x v="3"/>
    <x v="1"/>
    <x v="0"/>
    <x v="423"/>
    <x v="19"/>
  </r>
  <r>
    <x v="507"/>
    <x v="1"/>
    <x v="1"/>
    <x v="415"/>
    <x v="473"/>
    <x v="0"/>
    <x v="0"/>
    <x v="4"/>
    <x v="1"/>
    <x v="1"/>
    <x v="0"/>
    <x v="1"/>
    <x v="1"/>
    <x v="1"/>
    <x v="424"/>
    <x v="11"/>
  </r>
  <r>
    <x v="508"/>
    <x v="0"/>
    <x v="0"/>
    <x v="140"/>
    <x v="474"/>
    <x v="0"/>
    <x v="0"/>
    <x v="17"/>
    <x v="0"/>
    <x v="1"/>
    <x v="0"/>
    <x v="1"/>
    <x v="0"/>
    <x v="1"/>
    <x v="425"/>
    <x v="193"/>
  </r>
  <r>
    <x v="509"/>
    <x v="1"/>
    <x v="0"/>
    <x v="416"/>
    <x v="475"/>
    <x v="0"/>
    <x v="0"/>
    <x v="2"/>
    <x v="0"/>
    <x v="1"/>
    <x v="0"/>
    <x v="1"/>
    <x v="1"/>
    <x v="1"/>
    <x v="72"/>
    <x v="54"/>
  </r>
  <r>
    <x v="510"/>
    <x v="1"/>
    <x v="0"/>
    <x v="417"/>
    <x v="476"/>
    <x v="0"/>
    <x v="0"/>
    <x v="28"/>
    <x v="0"/>
    <x v="1"/>
    <x v="0"/>
    <x v="1"/>
    <x v="1"/>
    <x v="1"/>
    <x v="426"/>
    <x v="28"/>
  </r>
  <r>
    <x v="511"/>
    <x v="0"/>
    <x v="0"/>
    <x v="114"/>
    <x v="5"/>
    <x v="0"/>
    <x v="0"/>
    <x v="4"/>
    <x v="1"/>
    <x v="1"/>
    <x v="0"/>
    <x v="1"/>
    <x v="0"/>
    <x v="1"/>
    <x v="427"/>
    <x v="4"/>
  </r>
  <r>
    <x v="512"/>
    <x v="1"/>
    <x v="1"/>
    <x v="418"/>
    <x v="477"/>
    <x v="0"/>
    <x v="0"/>
    <x v="62"/>
    <x v="0"/>
    <x v="1"/>
    <x v="0"/>
    <x v="1"/>
    <x v="1"/>
    <x v="1"/>
    <x v="428"/>
    <x v="194"/>
  </r>
  <r>
    <x v="513"/>
    <x v="1"/>
    <x v="1"/>
    <x v="419"/>
    <x v="478"/>
    <x v="1"/>
    <x v="1"/>
    <x v="5"/>
    <x v="0"/>
    <x v="0"/>
    <x v="0"/>
    <x v="0"/>
    <x v="1"/>
    <x v="0"/>
    <x v="429"/>
    <x v="195"/>
  </r>
  <r>
    <x v="514"/>
    <x v="0"/>
    <x v="0"/>
    <x v="420"/>
    <x v="479"/>
    <x v="0"/>
    <x v="0"/>
    <x v="42"/>
    <x v="0"/>
    <x v="1"/>
    <x v="0"/>
    <x v="1"/>
    <x v="0"/>
    <x v="1"/>
    <x v="430"/>
    <x v="196"/>
  </r>
  <r>
    <x v="515"/>
    <x v="0"/>
    <x v="1"/>
    <x v="421"/>
    <x v="480"/>
    <x v="0"/>
    <x v="0"/>
    <x v="47"/>
    <x v="0"/>
    <x v="1"/>
    <x v="0"/>
    <x v="1"/>
    <x v="0"/>
    <x v="1"/>
    <x v="431"/>
    <x v="197"/>
  </r>
  <r>
    <x v="516"/>
    <x v="1"/>
    <x v="2"/>
    <x v="422"/>
    <x v="481"/>
    <x v="1"/>
    <x v="1"/>
    <x v="15"/>
    <x v="0"/>
    <x v="1"/>
    <x v="0"/>
    <x v="1"/>
    <x v="1"/>
    <x v="1"/>
    <x v="432"/>
    <x v="29"/>
  </r>
  <r>
    <x v="517"/>
    <x v="0"/>
    <x v="0"/>
    <x v="423"/>
    <x v="113"/>
    <x v="0"/>
    <x v="0"/>
    <x v="4"/>
    <x v="1"/>
    <x v="1"/>
    <x v="0"/>
    <x v="1"/>
    <x v="0"/>
    <x v="1"/>
    <x v="106"/>
    <x v="72"/>
  </r>
  <r>
    <x v="518"/>
    <x v="1"/>
    <x v="2"/>
    <x v="424"/>
    <x v="482"/>
    <x v="1"/>
    <x v="1"/>
    <x v="62"/>
    <x v="0"/>
    <x v="0"/>
    <x v="0"/>
    <x v="0"/>
    <x v="1"/>
    <x v="0"/>
    <x v="433"/>
    <x v="19"/>
  </r>
  <r>
    <x v="519"/>
    <x v="0"/>
    <x v="0"/>
    <x v="425"/>
    <x v="483"/>
    <x v="0"/>
    <x v="0"/>
    <x v="35"/>
    <x v="0"/>
    <x v="1"/>
    <x v="0"/>
    <x v="1"/>
    <x v="0"/>
    <x v="1"/>
    <x v="434"/>
    <x v="25"/>
  </r>
  <r>
    <x v="520"/>
    <x v="1"/>
    <x v="1"/>
    <x v="426"/>
    <x v="484"/>
    <x v="2"/>
    <x v="1"/>
    <x v="39"/>
    <x v="0"/>
    <x v="1"/>
    <x v="0"/>
    <x v="1"/>
    <x v="1"/>
    <x v="1"/>
    <x v="435"/>
    <x v="198"/>
  </r>
  <r>
    <x v="521"/>
    <x v="0"/>
    <x v="0"/>
    <x v="427"/>
    <x v="485"/>
    <x v="0"/>
    <x v="0"/>
    <x v="0"/>
    <x v="0"/>
    <x v="1"/>
    <x v="0"/>
    <x v="1"/>
    <x v="0"/>
    <x v="1"/>
    <x v="436"/>
    <x v="25"/>
  </r>
  <r>
    <x v="522"/>
    <x v="0"/>
    <x v="0"/>
    <x v="428"/>
    <x v="486"/>
    <x v="0"/>
    <x v="0"/>
    <x v="4"/>
    <x v="1"/>
    <x v="1"/>
    <x v="0"/>
    <x v="1"/>
    <x v="0"/>
    <x v="1"/>
    <x v="437"/>
    <x v="18"/>
  </r>
  <r>
    <x v="523"/>
    <x v="1"/>
    <x v="1"/>
    <x v="284"/>
    <x v="487"/>
    <x v="1"/>
    <x v="1"/>
    <x v="57"/>
    <x v="0"/>
    <x v="1"/>
    <x v="1"/>
    <x v="0"/>
    <x v="1"/>
    <x v="0"/>
    <x v="290"/>
    <x v="153"/>
  </r>
  <r>
    <x v="524"/>
    <x v="0"/>
    <x v="0"/>
    <x v="429"/>
    <x v="488"/>
    <x v="0"/>
    <x v="0"/>
    <x v="4"/>
    <x v="1"/>
    <x v="1"/>
    <x v="0"/>
    <x v="1"/>
    <x v="0"/>
    <x v="1"/>
    <x v="438"/>
    <x v="32"/>
  </r>
  <r>
    <x v="525"/>
    <x v="0"/>
    <x v="0"/>
    <x v="430"/>
    <x v="5"/>
    <x v="0"/>
    <x v="0"/>
    <x v="56"/>
    <x v="0"/>
    <x v="1"/>
    <x v="0"/>
    <x v="1"/>
    <x v="0"/>
    <x v="1"/>
    <x v="439"/>
    <x v="28"/>
  </r>
  <r>
    <x v="526"/>
    <x v="1"/>
    <x v="2"/>
    <x v="431"/>
    <x v="489"/>
    <x v="2"/>
    <x v="1"/>
    <x v="61"/>
    <x v="0"/>
    <x v="1"/>
    <x v="0"/>
    <x v="1"/>
    <x v="1"/>
    <x v="1"/>
    <x v="440"/>
    <x v="29"/>
  </r>
  <r>
    <x v="527"/>
    <x v="0"/>
    <x v="1"/>
    <x v="432"/>
    <x v="184"/>
    <x v="0"/>
    <x v="0"/>
    <x v="4"/>
    <x v="1"/>
    <x v="1"/>
    <x v="0"/>
    <x v="1"/>
    <x v="0"/>
    <x v="1"/>
    <x v="441"/>
    <x v="199"/>
  </r>
  <r>
    <x v="528"/>
    <x v="0"/>
    <x v="0"/>
    <x v="433"/>
    <x v="490"/>
    <x v="0"/>
    <x v="0"/>
    <x v="12"/>
    <x v="0"/>
    <x v="1"/>
    <x v="0"/>
    <x v="1"/>
    <x v="0"/>
    <x v="1"/>
    <x v="442"/>
    <x v="2"/>
  </r>
  <r>
    <x v="529"/>
    <x v="0"/>
    <x v="2"/>
    <x v="434"/>
    <x v="491"/>
    <x v="0"/>
    <x v="0"/>
    <x v="41"/>
    <x v="0"/>
    <x v="4"/>
    <x v="1"/>
    <x v="6"/>
    <x v="0"/>
    <x v="2"/>
    <x v="443"/>
    <x v="86"/>
  </r>
  <r>
    <x v="530"/>
    <x v="1"/>
    <x v="2"/>
    <x v="414"/>
    <x v="492"/>
    <x v="2"/>
    <x v="1"/>
    <x v="6"/>
    <x v="2"/>
    <x v="0"/>
    <x v="1"/>
    <x v="3"/>
    <x v="1"/>
    <x v="0"/>
    <x v="423"/>
    <x v="19"/>
  </r>
  <r>
    <x v="531"/>
    <x v="0"/>
    <x v="0"/>
    <x v="435"/>
    <x v="493"/>
    <x v="0"/>
    <x v="0"/>
    <x v="4"/>
    <x v="1"/>
    <x v="1"/>
    <x v="0"/>
    <x v="1"/>
    <x v="0"/>
    <x v="1"/>
    <x v="444"/>
    <x v="32"/>
  </r>
  <r>
    <x v="532"/>
    <x v="0"/>
    <x v="0"/>
    <x v="299"/>
    <x v="494"/>
    <x v="0"/>
    <x v="0"/>
    <x v="34"/>
    <x v="3"/>
    <x v="0"/>
    <x v="1"/>
    <x v="3"/>
    <x v="0"/>
    <x v="0"/>
    <x v="445"/>
    <x v="32"/>
  </r>
  <r>
    <x v="533"/>
    <x v="1"/>
    <x v="0"/>
    <x v="117"/>
    <x v="495"/>
    <x v="1"/>
    <x v="1"/>
    <x v="4"/>
    <x v="1"/>
    <x v="1"/>
    <x v="2"/>
    <x v="3"/>
    <x v="1"/>
    <x v="0"/>
    <x v="119"/>
    <x v="77"/>
  </r>
  <r>
    <x v="534"/>
    <x v="0"/>
    <x v="0"/>
    <x v="390"/>
    <x v="383"/>
    <x v="2"/>
    <x v="1"/>
    <x v="39"/>
    <x v="0"/>
    <x v="1"/>
    <x v="0"/>
    <x v="1"/>
    <x v="0"/>
    <x v="1"/>
    <x v="446"/>
    <x v="51"/>
  </r>
  <r>
    <x v="535"/>
    <x v="1"/>
    <x v="2"/>
    <x v="273"/>
    <x v="496"/>
    <x v="2"/>
    <x v="1"/>
    <x v="26"/>
    <x v="2"/>
    <x v="1"/>
    <x v="2"/>
    <x v="3"/>
    <x v="1"/>
    <x v="0"/>
    <x v="280"/>
    <x v="121"/>
  </r>
  <r>
    <x v="536"/>
    <x v="0"/>
    <x v="1"/>
    <x v="436"/>
    <x v="497"/>
    <x v="9"/>
    <x v="2"/>
    <x v="33"/>
    <x v="0"/>
    <x v="1"/>
    <x v="0"/>
    <x v="1"/>
    <x v="0"/>
    <x v="1"/>
    <x v="447"/>
    <x v="11"/>
  </r>
  <r>
    <x v="537"/>
    <x v="1"/>
    <x v="1"/>
    <x v="437"/>
    <x v="82"/>
    <x v="2"/>
    <x v="1"/>
    <x v="39"/>
    <x v="0"/>
    <x v="1"/>
    <x v="0"/>
    <x v="1"/>
    <x v="1"/>
    <x v="1"/>
    <x v="448"/>
    <x v="200"/>
  </r>
  <r>
    <x v="538"/>
    <x v="0"/>
    <x v="0"/>
    <x v="438"/>
    <x v="498"/>
    <x v="0"/>
    <x v="0"/>
    <x v="4"/>
    <x v="1"/>
    <x v="1"/>
    <x v="0"/>
    <x v="1"/>
    <x v="0"/>
    <x v="1"/>
    <x v="449"/>
    <x v="80"/>
  </r>
  <r>
    <x v="539"/>
    <x v="1"/>
    <x v="1"/>
    <x v="439"/>
    <x v="499"/>
    <x v="2"/>
    <x v="1"/>
    <x v="0"/>
    <x v="0"/>
    <x v="1"/>
    <x v="2"/>
    <x v="3"/>
    <x v="1"/>
    <x v="0"/>
    <x v="450"/>
    <x v="201"/>
  </r>
  <r>
    <x v="540"/>
    <x v="1"/>
    <x v="1"/>
    <x v="440"/>
    <x v="500"/>
    <x v="2"/>
    <x v="1"/>
    <x v="62"/>
    <x v="0"/>
    <x v="1"/>
    <x v="2"/>
    <x v="3"/>
    <x v="1"/>
    <x v="0"/>
    <x v="451"/>
    <x v="202"/>
  </r>
  <r>
    <x v="541"/>
    <x v="0"/>
    <x v="0"/>
    <x v="13"/>
    <x v="501"/>
    <x v="2"/>
    <x v="1"/>
    <x v="52"/>
    <x v="2"/>
    <x v="3"/>
    <x v="2"/>
    <x v="4"/>
    <x v="0"/>
    <x v="2"/>
    <x v="13"/>
    <x v="12"/>
  </r>
  <r>
    <x v="542"/>
    <x v="0"/>
    <x v="0"/>
    <x v="13"/>
    <x v="502"/>
    <x v="2"/>
    <x v="1"/>
    <x v="32"/>
    <x v="2"/>
    <x v="3"/>
    <x v="2"/>
    <x v="4"/>
    <x v="0"/>
    <x v="2"/>
    <x v="13"/>
    <x v="12"/>
  </r>
  <r>
    <x v="543"/>
    <x v="1"/>
    <x v="2"/>
    <x v="441"/>
    <x v="503"/>
    <x v="0"/>
    <x v="0"/>
    <x v="35"/>
    <x v="0"/>
    <x v="0"/>
    <x v="0"/>
    <x v="0"/>
    <x v="1"/>
    <x v="0"/>
    <x v="452"/>
    <x v="19"/>
  </r>
  <r>
    <x v="544"/>
    <x v="0"/>
    <x v="1"/>
    <x v="442"/>
    <x v="504"/>
    <x v="0"/>
    <x v="0"/>
    <x v="61"/>
    <x v="0"/>
    <x v="0"/>
    <x v="0"/>
    <x v="0"/>
    <x v="0"/>
    <x v="0"/>
    <x v="448"/>
    <x v="200"/>
  </r>
  <r>
    <x v="545"/>
    <x v="0"/>
    <x v="1"/>
    <x v="443"/>
    <x v="505"/>
    <x v="0"/>
    <x v="0"/>
    <x v="74"/>
    <x v="4"/>
    <x v="1"/>
    <x v="0"/>
    <x v="1"/>
    <x v="0"/>
    <x v="1"/>
    <x v="453"/>
    <x v="19"/>
  </r>
  <r>
    <x v="546"/>
    <x v="1"/>
    <x v="2"/>
    <x v="441"/>
    <x v="506"/>
    <x v="1"/>
    <x v="1"/>
    <x v="19"/>
    <x v="3"/>
    <x v="0"/>
    <x v="0"/>
    <x v="0"/>
    <x v="1"/>
    <x v="0"/>
    <x v="452"/>
    <x v="19"/>
  </r>
  <r>
    <x v="547"/>
    <x v="1"/>
    <x v="2"/>
    <x v="444"/>
    <x v="507"/>
    <x v="0"/>
    <x v="0"/>
    <x v="4"/>
    <x v="1"/>
    <x v="1"/>
    <x v="0"/>
    <x v="1"/>
    <x v="1"/>
    <x v="1"/>
    <x v="454"/>
    <x v="203"/>
  </r>
  <r>
    <x v="548"/>
    <x v="0"/>
    <x v="0"/>
    <x v="149"/>
    <x v="508"/>
    <x v="0"/>
    <x v="0"/>
    <x v="40"/>
    <x v="0"/>
    <x v="0"/>
    <x v="1"/>
    <x v="3"/>
    <x v="0"/>
    <x v="0"/>
    <x v="153"/>
    <x v="97"/>
  </r>
  <r>
    <x v="549"/>
    <x v="1"/>
    <x v="2"/>
    <x v="325"/>
    <x v="509"/>
    <x v="3"/>
    <x v="0"/>
    <x v="18"/>
    <x v="2"/>
    <x v="0"/>
    <x v="1"/>
    <x v="3"/>
    <x v="1"/>
    <x v="0"/>
    <x v="135"/>
    <x v="87"/>
  </r>
  <r>
    <x v="550"/>
    <x v="1"/>
    <x v="1"/>
    <x v="445"/>
    <x v="510"/>
    <x v="0"/>
    <x v="0"/>
    <x v="34"/>
    <x v="3"/>
    <x v="1"/>
    <x v="2"/>
    <x v="3"/>
    <x v="1"/>
    <x v="0"/>
    <x v="272"/>
    <x v="143"/>
  </r>
  <r>
    <x v="551"/>
    <x v="0"/>
    <x v="2"/>
    <x v="446"/>
    <x v="511"/>
    <x v="0"/>
    <x v="0"/>
    <x v="7"/>
    <x v="0"/>
    <x v="1"/>
    <x v="0"/>
    <x v="1"/>
    <x v="0"/>
    <x v="1"/>
    <x v="455"/>
    <x v="19"/>
  </r>
  <r>
    <x v="552"/>
    <x v="0"/>
    <x v="0"/>
    <x v="165"/>
    <x v="512"/>
    <x v="0"/>
    <x v="0"/>
    <x v="4"/>
    <x v="1"/>
    <x v="1"/>
    <x v="0"/>
    <x v="1"/>
    <x v="0"/>
    <x v="1"/>
    <x v="456"/>
    <x v="204"/>
  </r>
  <r>
    <x v="553"/>
    <x v="1"/>
    <x v="0"/>
    <x v="447"/>
    <x v="513"/>
    <x v="0"/>
    <x v="0"/>
    <x v="0"/>
    <x v="0"/>
    <x v="1"/>
    <x v="0"/>
    <x v="1"/>
    <x v="1"/>
    <x v="1"/>
    <x v="457"/>
    <x v="18"/>
  </r>
  <r>
    <x v="554"/>
    <x v="1"/>
    <x v="0"/>
    <x v="448"/>
    <x v="514"/>
    <x v="2"/>
    <x v="1"/>
    <x v="0"/>
    <x v="0"/>
    <x v="1"/>
    <x v="0"/>
    <x v="1"/>
    <x v="1"/>
    <x v="1"/>
    <x v="458"/>
    <x v="71"/>
  </r>
  <r>
    <x v="555"/>
    <x v="0"/>
    <x v="1"/>
    <x v="449"/>
    <x v="515"/>
    <x v="0"/>
    <x v="0"/>
    <x v="65"/>
    <x v="4"/>
    <x v="1"/>
    <x v="0"/>
    <x v="1"/>
    <x v="0"/>
    <x v="1"/>
    <x v="459"/>
    <x v="11"/>
  </r>
  <r>
    <x v="556"/>
    <x v="1"/>
    <x v="1"/>
    <x v="450"/>
    <x v="516"/>
    <x v="10"/>
    <x v="2"/>
    <x v="76"/>
    <x v="0"/>
    <x v="0"/>
    <x v="0"/>
    <x v="0"/>
    <x v="1"/>
    <x v="0"/>
    <x v="460"/>
    <x v="205"/>
  </r>
  <r>
    <x v="557"/>
    <x v="0"/>
    <x v="1"/>
    <x v="451"/>
    <x v="136"/>
    <x v="0"/>
    <x v="0"/>
    <x v="4"/>
    <x v="1"/>
    <x v="1"/>
    <x v="0"/>
    <x v="1"/>
    <x v="0"/>
    <x v="1"/>
    <x v="327"/>
    <x v="164"/>
  </r>
  <r>
    <x v="558"/>
    <x v="1"/>
    <x v="1"/>
    <x v="228"/>
    <x v="517"/>
    <x v="1"/>
    <x v="1"/>
    <x v="12"/>
    <x v="0"/>
    <x v="0"/>
    <x v="1"/>
    <x v="3"/>
    <x v="1"/>
    <x v="0"/>
    <x v="234"/>
    <x v="128"/>
  </r>
  <r>
    <x v="559"/>
    <x v="1"/>
    <x v="0"/>
    <x v="452"/>
    <x v="518"/>
    <x v="1"/>
    <x v="1"/>
    <x v="62"/>
    <x v="0"/>
    <x v="0"/>
    <x v="0"/>
    <x v="0"/>
    <x v="1"/>
    <x v="0"/>
    <x v="461"/>
    <x v="206"/>
  </r>
  <r>
    <x v="560"/>
    <x v="0"/>
    <x v="0"/>
    <x v="453"/>
    <x v="519"/>
    <x v="0"/>
    <x v="0"/>
    <x v="4"/>
    <x v="1"/>
    <x v="1"/>
    <x v="0"/>
    <x v="1"/>
    <x v="0"/>
    <x v="1"/>
    <x v="462"/>
    <x v="28"/>
  </r>
  <r>
    <x v="561"/>
    <x v="0"/>
    <x v="0"/>
    <x v="454"/>
    <x v="520"/>
    <x v="0"/>
    <x v="0"/>
    <x v="20"/>
    <x v="0"/>
    <x v="1"/>
    <x v="0"/>
    <x v="1"/>
    <x v="0"/>
    <x v="1"/>
    <x v="463"/>
    <x v="25"/>
  </r>
  <r>
    <x v="562"/>
    <x v="0"/>
    <x v="2"/>
    <x v="455"/>
    <x v="521"/>
    <x v="0"/>
    <x v="0"/>
    <x v="17"/>
    <x v="0"/>
    <x v="1"/>
    <x v="0"/>
    <x v="1"/>
    <x v="0"/>
    <x v="1"/>
    <x v="464"/>
    <x v="119"/>
  </r>
  <r>
    <x v="563"/>
    <x v="0"/>
    <x v="0"/>
    <x v="456"/>
    <x v="184"/>
    <x v="0"/>
    <x v="0"/>
    <x v="4"/>
    <x v="1"/>
    <x v="1"/>
    <x v="0"/>
    <x v="1"/>
    <x v="0"/>
    <x v="1"/>
    <x v="465"/>
    <x v="4"/>
  </r>
  <r>
    <x v="564"/>
    <x v="0"/>
    <x v="0"/>
    <x v="457"/>
    <x v="522"/>
    <x v="2"/>
    <x v="1"/>
    <x v="4"/>
    <x v="1"/>
    <x v="1"/>
    <x v="0"/>
    <x v="1"/>
    <x v="0"/>
    <x v="1"/>
    <x v="466"/>
    <x v="4"/>
  </r>
  <r>
    <x v="565"/>
    <x v="0"/>
    <x v="0"/>
    <x v="325"/>
    <x v="523"/>
    <x v="0"/>
    <x v="0"/>
    <x v="42"/>
    <x v="0"/>
    <x v="4"/>
    <x v="0"/>
    <x v="3"/>
    <x v="0"/>
    <x v="0"/>
    <x v="467"/>
    <x v="72"/>
  </r>
  <r>
    <x v="566"/>
    <x v="0"/>
    <x v="0"/>
    <x v="458"/>
    <x v="524"/>
    <x v="0"/>
    <x v="0"/>
    <x v="19"/>
    <x v="3"/>
    <x v="1"/>
    <x v="0"/>
    <x v="1"/>
    <x v="0"/>
    <x v="1"/>
    <x v="468"/>
    <x v="25"/>
  </r>
  <r>
    <x v="567"/>
    <x v="0"/>
    <x v="0"/>
    <x v="7"/>
    <x v="525"/>
    <x v="1"/>
    <x v="1"/>
    <x v="28"/>
    <x v="0"/>
    <x v="1"/>
    <x v="5"/>
    <x v="2"/>
    <x v="0"/>
    <x v="2"/>
    <x v="7"/>
    <x v="7"/>
  </r>
  <r>
    <x v="568"/>
    <x v="0"/>
    <x v="0"/>
    <x v="459"/>
    <x v="338"/>
    <x v="0"/>
    <x v="0"/>
    <x v="4"/>
    <x v="1"/>
    <x v="1"/>
    <x v="0"/>
    <x v="1"/>
    <x v="0"/>
    <x v="1"/>
    <x v="469"/>
    <x v="32"/>
  </r>
  <r>
    <x v="569"/>
    <x v="1"/>
    <x v="0"/>
    <x v="460"/>
    <x v="526"/>
    <x v="0"/>
    <x v="0"/>
    <x v="35"/>
    <x v="0"/>
    <x v="1"/>
    <x v="0"/>
    <x v="1"/>
    <x v="1"/>
    <x v="1"/>
    <x v="470"/>
    <x v="13"/>
  </r>
  <r>
    <x v="570"/>
    <x v="1"/>
    <x v="2"/>
    <x v="60"/>
    <x v="515"/>
    <x v="0"/>
    <x v="0"/>
    <x v="65"/>
    <x v="4"/>
    <x v="1"/>
    <x v="0"/>
    <x v="1"/>
    <x v="1"/>
    <x v="1"/>
    <x v="471"/>
    <x v="29"/>
  </r>
  <r>
    <x v="571"/>
    <x v="1"/>
    <x v="1"/>
    <x v="461"/>
    <x v="527"/>
    <x v="1"/>
    <x v="1"/>
    <x v="78"/>
    <x v="0"/>
    <x v="4"/>
    <x v="0"/>
    <x v="3"/>
    <x v="1"/>
    <x v="0"/>
    <x v="472"/>
    <x v="207"/>
  </r>
  <r>
    <x v="572"/>
    <x v="1"/>
    <x v="1"/>
    <x v="355"/>
    <x v="528"/>
    <x v="0"/>
    <x v="0"/>
    <x v="62"/>
    <x v="0"/>
    <x v="1"/>
    <x v="0"/>
    <x v="1"/>
    <x v="1"/>
    <x v="1"/>
    <x v="473"/>
    <x v="208"/>
  </r>
  <r>
    <x v="573"/>
    <x v="1"/>
    <x v="0"/>
    <x v="262"/>
    <x v="344"/>
    <x v="2"/>
    <x v="1"/>
    <x v="4"/>
    <x v="1"/>
    <x v="1"/>
    <x v="0"/>
    <x v="1"/>
    <x v="1"/>
    <x v="1"/>
    <x v="474"/>
    <x v="28"/>
  </r>
  <r>
    <x v="574"/>
    <x v="0"/>
    <x v="0"/>
    <x v="462"/>
    <x v="529"/>
    <x v="0"/>
    <x v="0"/>
    <x v="36"/>
    <x v="3"/>
    <x v="1"/>
    <x v="0"/>
    <x v="1"/>
    <x v="0"/>
    <x v="1"/>
    <x v="475"/>
    <x v="4"/>
  </r>
  <r>
    <x v="575"/>
    <x v="0"/>
    <x v="0"/>
    <x v="463"/>
    <x v="515"/>
    <x v="0"/>
    <x v="0"/>
    <x v="19"/>
    <x v="3"/>
    <x v="1"/>
    <x v="0"/>
    <x v="1"/>
    <x v="0"/>
    <x v="1"/>
    <x v="476"/>
    <x v="80"/>
  </r>
  <r>
    <x v="576"/>
    <x v="1"/>
    <x v="2"/>
    <x v="464"/>
    <x v="530"/>
    <x v="2"/>
    <x v="1"/>
    <x v="15"/>
    <x v="0"/>
    <x v="1"/>
    <x v="0"/>
    <x v="1"/>
    <x v="1"/>
    <x v="1"/>
    <x v="477"/>
    <x v="16"/>
  </r>
  <r>
    <x v="577"/>
    <x v="1"/>
    <x v="1"/>
    <x v="361"/>
    <x v="531"/>
    <x v="1"/>
    <x v="1"/>
    <x v="12"/>
    <x v="0"/>
    <x v="0"/>
    <x v="0"/>
    <x v="0"/>
    <x v="1"/>
    <x v="0"/>
    <x v="371"/>
    <x v="175"/>
  </r>
  <r>
    <x v="578"/>
    <x v="0"/>
    <x v="0"/>
    <x v="465"/>
    <x v="532"/>
    <x v="1"/>
    <x v="1"/>
    <x v="4"/>
    <x v="1"/>
    <x v="0"/>
    <x v="0"/>
    <x v="0"/>
    <x v="0"/>
    <x v="0"/>
    <x v="478"/>
    <x v="74"/>
  </r>
  <r>
    <x v="579"/>
    <x v="1"/>
    <x v="0"/>
    <x v="107"/>
    <x v="533"/>
    <x v="0"/>
    <x v="0"/>
    <x v="35"/>
    <x v="0"/>
    <x v="1"/>
    <x v="0"/>
    <x v="1"/>
    <x v="1"/>
    <x v="1"/>
    <x v="479"/>
    <x v="2"/>
  </r>
  <r>
    <x v="580"/>
    <x v="1"/>
    <x v="2"/>
    <x v="466"/>
    <x v="534"/>
    <x v="2"/>
    <x v="1"/>
    <x v="37"/>
    <x v="0"/>
    <x v="0"/>
    <x v="1"/>
    <x v="3"/>
    <x v="1"/>
    <x v="0"/>
    <x v="480"/>
    <x v="209"/>
  </r>
  <r>
    <x v="581"/>
    <x v="1"/>
    <x v="1"/>
    <x v="445"/>
    <x v="535"/>
    <x v="1"/>
    <x v="1"/>
    <x v="12"/>
    <x v="0"/>
    <x v="0"/>
    <x v="1"/>
    <x v="3"/>
    <x v="1"/>
    <x v="0"/>
    <x v="272"/>
    <x v="143"/>
  </r>
  <r>
    <x v="582"/>
    <x v="0"/>
    <x v="2"/>
    <x v="467"/>
    <x v="536"/>
    <x v="0"/>
    <x v="0"/>
    <x v="5"/>
    <x v="0"/>
    <x v="1"/>
    <x v="0"/>
    <x v="1"/>
    <x v="0"/>
    <x v="1"/>
    <x v="339"/>
    <x v="19"/>
  </r>
  <r>
    <x v="583"/>
    <x v="0"/>
    <x v="1"/>
    <x v="468"/>
    <x v="537"/>
    <x v="0"/>
    <x v="0"/>
    <x v="62"/>
    <x v="0"/>
    <x v="1"/>
    <x v="0"/>
    <x v="1"/>
    <x v="0"/>
    <x v="1"/>
    <x v="481"/>
    <x v="210"/>
  </r>
  <r>
    <x v="584"/>
    <x v="0"/>
    <x v="0"/>
    <x v="469"/>
    <x v="538"/>
    <x v="0"/>
    <x v="0"/>
    <x v="4"/>
    <x v="1"/>
    <x v="1"/>
    <x v="0"/>
    <x v="1"/>
    <x v="0"/>
    <x v="1"/>
    <x v="482"/>
    <x v="211"/>
  </r>
  <r>
    <x v="585"/>
    <x v="1"/>
    <x v="1"/>
    <x v="228"/>
    <x v="539"/>
    <x v="2"/>
    <x v="1"/>
    <x v="24"/>
    <x v="3"/>
    <x v="1"/>
    <x v="2"/>
    <x v="3"/>
    <x v="1"/>
    <x v="0"/>
    <x v="234"/>
    <x v="128"/>
  </r>
  <r>
    <x v="586"/>
    <x v="0"/>
    <x v="2"/>
    <x v="470"/>
    <x v="540"/>
    <x v="0"/>
    <x v="0"/>
    <x v="47"/>
    <x v="0"/>
    <x v="1"/>
    <x v="0"/>
    <x v="1"/>
    <x v="0"/>
    <x v="1"/>
    <x v="483"/>
    <x v="212"/>
  </r>
  <r>
    <x v="587"/>
    <x v="1"/>
    <x v="1"/>
    <x v="471"/>
    <x v="541"/>
    <x v="0"/>
    <x v="0"/>
    <x v="72"/>
    <x v="4"/>
    <x v="0"/>
    <x v="1"/>
    <x v="3"/>
    <x v="1"/>
    <x v="0"/>
    <x v="484"/>
    <x v="84"/>
  </r>
  <r>
    <x v="588"/>
    <x v="0"/>
    <x v="0"/>
    <x v="472"/>
    <x v="542"/>
    <x v="0"/>
    <x v="0"/>
    <x v="0"/>
    <x v="0"/>
    <x v="1"/>
    <x v="0"/>
    <x v="1"/>
    <x v="0"/>
    <x v="1"/>
    <x v="485"/>
    <x v="4"/>
  </r>
  <r>
    <x v="589"/>
    <x v="0"/>
    <x v="0"/>
    <x v="473"/>
    <x v="429"/>
    <x v="0"/>
    <x v="0"/>
    <x v="4"/>
    <x v="1"/>
    <x v="1"/>
    <x v="0"/>
    <x v="1"/>
    <x v="0"/>
    <x v="1"/>
    <x v="486"/>
    <x v="4"/>
  </r>
  <r>
    <x v="590"/>
    <x v="0"/>
    <x v="0"/>
    <x v="474"/>
    <x v="543"/>
    <x v="0"/>
    <x v="0"/>
    <x v="3"/>
    <x v="0"/>
    <x v="1"/>
    <x v="0"/>
    <x v="1"/>
    <x v="0"/>
    <x v="1"/>
    <x v="487"/>
    <x v="123"/>
  </r>
  <r>
    <x v="591"/>
    <x v="1"/>
    <x v="1"/>
    <x v="475"/>
    <x v="544"/>
    <x v="1"/>
    <x v="1"/>
    <x v="67"/>
    <x v="0"/>
    <x v="0"/>
    <x v="0"/>
    <x v="0"/>
    <x v="1"/>
    <x v="0"/>
    <x v="416"/>
    <x v="190"/>
  </r>
  <r>
    <x v="592"/>
    <x v="0"/>
    <x v="0"/>
    <x v="476"/>
    <x v="536"/>
    <x v="0"/>
    <x v="0"/>
    <x v="47"/>
    <x v="0"/>
    <x v="1"/>
    <x v="0"/>
    <x v="1"/>
    <x v="0"/>
    <x v="1"/>
    <x v="488"/>
    <x v="0"/>
  </r>
  <r>
    <x v="593"/>
    <x v="0"/>
    <x v="0"/>
    <x v="167"/>
    <x v="344"/>
    <x v="2"/>
    <x v="1"/>
    <x v="4"/>
    <x v="1"/>
    <x v="1"/>
    <x v="2"/>
    <x v="3"/>
    <x v="0"/>
    <x v="0"/>
    <x v="489"/>
    <x v="28"/>
  </r>
  <r>
    <x v="594"/>
    <x v="0"/>
    <x v="2"/>
    <x v="477"/>
    <x v="208"/>
    <x v="0"/>
    <x v="0"/>
    <x v="46"/>
    <x v="0"/>
    <x v="0"/>
    <x v="0"/>
    <x v="0"/>
    <x v="0"/>
    <x v="0"/>
    <x v="490"/>
    <x v="19"/>
  </r>
  <r>
    <x v="595"/>
    <x v="0"/>
    <x v="0"/>
    <x v="347"/>
    <x v="545"/>
    <x v="0"/>
    <x v="0"/>
    <x v="62"/>
    <x v="0"/>
    <x v="0"/>
    <x v="1"/>
    <x v="3"/>
    <x v="0"/>
    <x v="0"/>
    <x v="357"/>
    <x v="72"/>
  </r>
  <r>
    <x v="596"/>
    <x v="1"/>
    <x v="2"/>
    <x v="478"/>
    <x v="546"/>
    <x v="2"/>
    <x v="1"/>
    <x v="4"/>
    <x v="1"/>
    <x v="1"/>
    <x v="0"/>
    <x v="1"/>
    <x v="1"/>
    <x v="1"/>
    <x v="491"/>
    <x v="213"/>
  </r>
  <r>
    <x v="597"/>
    <x v="0"/>
    <x v="0"/>
    <x v="8"/>
    <x v="378"/>
    <x v="0"/>
    <x v="0"/>
    <x v="27"/>
    <x v="0"/>
    <x v="1"/>
    <x v="0"/>
    <x v="1"/>
    <x v="0"/>
    <x v="1"/>
    <x v="163"/>
    <x v="104"/>
  </r>
  <r>
    <x v="598"/>
    <x v="0"/>
    <x v="0"/>
    <x v="128"/>
    <x v="35"/>
    <x v="0"/>
    <x v="0"/>
    <x v="4"/>
    <x v="1"/>
    <x v="1"/>
    <x v="0"/>
    <x v="1"/>
    <x v="0"/>
    <x v="1"/>
    <x v="492"/>
    <x v="18"/>
  </r>
  <r>
    <x v="599"/>
    <x v="1"/>
    <x v="1"/>
    <x v="450"/>
    <x v="547"/>
    <x v="11"/>
    <x v="2"/>
    <x v="27"/>
    <x v="0"/>
    <x v="0"/>
    <x v="0"/>
    <x v="0"/>
    <x v="1"/>
    <x v="0"/>
    <x v="275"/>
    <x v="146"/>
  </r>
  <r>
    <x v="600"/>
    <x v="1"/>
    <x v="2"/>
    <x v="192"/>
    <x v="548"/>
    <x v="1"/>
    <x v="1"/>
    <x v="42"/>
    <x v="0"/>
    <x v="4"/>
    <x v="1"/>
    <x v="6"/>
    <x v="1"/>
    <x v="2"/>
    <x v="195"/>
    <x v="115"/>
  </r>
  <r>
    <x v="601"/>
    <x v="0"/>
    <x v="0"/>
    <x v="479"/>
    <x v="549"/>
    <x v="0"/>
    <x v="0"/>
    <x v="4"/>
    <x v="1"/>
    <x v="1"/>
    <x v="0"/>
    <x v="1"/>
    <x v="0"/>
    <x v="1"/>
    <x v="493"/>
    <x v="25"/>
  </r>
  <r>
    <x v="602"/>
    <x v="0"/>
    <x v="1"/>
    <x v="480"/>
    <x v="263"/>
    <x v="0"/>
    <x v="0"/>
    <x v="4"/>
    <x v="1"/>
    <x v="1"/>
    <x v="0"/>
    <x v="1"/>
    <x v="0"/>
    <x v="1"/>
    <x v="494"/>
    <x v="214"/>
  </r>
  <r>
    <x v="603"/>
    <x v="0"/>
    <x v="0"/>
    <x v="481"/>
    <x v="550"/>
    <x v="0"/>
    <x v="0"/>
    <x v="57"/>
    <x v="0"/>
    <x v="1"/>
    <x v="0"/>
    <x v="1"/>
    <x v="0"/>
    <x v="1"/>
    <x v="495"/>
    <x v="4"/>
  </r>
  <r>
    <x v="604"/>
    <x v="1"/>
    <x v="1"/>
    <x v="482"/>
    <x v="551"/>
    <x v="0"/>
    <x v="0"/>
    <x v="3"/>
    <x v="0"/>
    <x v="1"/>
    <x v="0"/>
    <x v="1"/>
    <x v="1"/>
    <x v="1"/>
    <x v="496"/>
    <x v="11"/>
  </r>
  <r>
    <x v="605"/>
    <x v="0"/>
    <x v="0"/>
    <x v="483"/>
    <x v="552"/>
    <x v="0"/>
    <x v="0"/>
    <x v="62"/>
    <x v="0"/>
    <x v="0"/>
    <x v="0"/>
    <x v="0"/>
    <x v="0"/>
    <x v="0"/>
    <x v="497"/>
    <x v="215"/>
  </r>
  <r>
    <x v="606"/>
    <x v="0"/>
    <x v="0"/>
    <x v="484"/>
    <x v="553"/>
    <x v="0"/>
    <x v="0"/>
    <x v="39"/>
    <x v="0"/>
    <x v="1"/>
    <x v="0"/>
    <x v="1"/>
    <x v="0"/>
    <x v="1"/>
    <x v="498"/>
    <x v="25"/>
  </r>
  <r>
    <x v="607"/>
    <x v="1"/>
    <x v="1"/>
    <x v="485"/>
    <x v="554"/>
    <x v="0"/>
    <x v="0"/>
    <x v="7"/>
    <x v="0"/>
    <x v="1"/>
    <x v="0"/>
    <x v="1"/>
    <x v="1"/>
    <x v="1"/>
    <x v="499"/>
    <x v="140"/>
  </r>
  <r>
    <x v="608"/>
    <x v="1"/>
    <x v="2"/>
    <x v="41"/>
    <x v="555"/>
    <x v="1"/>
    <x v="1"/>
    <x v="0"/>
    <x v="0"/>
    <x v="0"/>
    <x v="2"/>
    <x v="6"/>
    <x v="1"/>
    <x v="2"/>
    <x v="42"/>
    <x v="36"/>
  </r>
  <r>
    <x v="609"/>
    <x v="1"/>
    <x v="1"/>
    <x v="486"/>
    <x v="556"/>
    <x v="2"/>
    <x v="1"/>
    <x v="20"/>
    <x v="0"/>
    <x v="1"/>
    <x v="0"/>
    <x v="1"/>
    <x v="1"/>
    <x v="1"/>
    <x v="239"/>
    <x v="129"/>
  </r>
  <r>
    <x v="610"/>
    <x v="0"/>
    <x v="0"/>
    <x v="13"/>
    <x v="557"/>
    <x v="1"/>
    <x v="1"/>
    <x v="12"/>
    <x v="0"/>
    <x v="0"/>
    <x v="3"/>
    <x v="4"/>
    <x v="0"/>
    <x v="2"/>
    <x v="13"/>
    <x v="12"/>
  </r>
  <r>
    <x v="611"/>
    <x v="0"/>
    <x v="0"/>
    <x v="487"/>
    <x v="558"/>
    <x v="0"/>
    <x v="0"/>
    <x v="4"/>
    <x v="1"/>
    <x v="1"/>
    <x v="0"/>
    <x v="1"/>
    <x v="0"/>
    <x v="1"/>
    <x v="500"/>
    <x v="79"/>
  </r>
  <r>
    <x v="612"/>
    <x v="1"/>
    <x v="0"/>
    <x v="211"/>
    <x v="559"/>
    <x v="2"/>
    <x v="1"/>
    <x v="4"/>
    <x v="1"/>
    <x v="0"/>
    <x v="0"/>
    <x v="0"/>
    <x v="1"/>
    <x v="0"/>
    <x v="215"/>
    <x v="37"/>
  </r>
  <r>
    <x v="613"/>
    <x v="0"/>
    <x v="0"/>
    <x v="488"/>
    <x v="184"/>
    <x v="0"/>
    <x v="0"/>
    <x v="4"/>
    <x v="1"/>
    <x v="1"/>
    <x v="0"/>
    <x v="1"/>
    <x v="0"/>
    <x v="1"/>
    <x v="501"/>
    <x v="28"/>
  </r>
  <r>
    <x v="614"/>
    <x v="0"/>
    <x v="0"/>
    <x v="489"/>
    <x v="560"/>
    <x v="0"/>
    <x v="0"/>
    <x v="3"/>
    <x v="0"/>
    <x v="1"/>
    <x v="0"/>
    <x v="1"/>
    <x v="0"/>
    <x v="1"/>
    <x v="502"/>
    <x v="4"/>
  </r>
  <r>
    <x v="615"/>
    <x v="1"/>
    <x v="2"/>
    <x v="490"/>
    <x v="561"/>
    <x v="2"/>
    <x v="1"/>
    <x v="42"/>
    <x v="0"/>
    <x v="0"/>
    <x v="2"/>
    <x v="6"/>
    <x v="1"/>
    <x v="2"/>
    <x v="503"/>
    <x v="216"/>
  </r>
  <r>
    <x v="616"/>
    <x v="0"/>
    <x v="0"/>
    <x v="351"/>
    <x v="562"/>
    <x v="0"/>
    <x v="0"/>
    <x v="15"/>
    <x v="0"/>
    <x v="0"/>
    <x v="1"/>
    <x v="3"/>
    <x v="0"/>
    <x v="0"/>
    <x v="361"/>
    <x v="174"/>
  </r>
  <r>
    <x v="617"/>
    <x v="0"/>
    <x v="0"/>
    <x v="221"/>
    <x v="563"/>
    <x v="1"/>
    <x v="1"/>
    <x v="2"/>
    <x v="0"/>
    <x v="0"/>
    <x v="0"/>
    <x v="0"/>
    <x v="0"/>
    <x v="0"/>
    <x v="226"/>
    <x v="95"/>
  </r>
  <r>
    <x v="618"/>
    <x v="1"/>
    <x v="2"/>
    <x v="162"/>
    <x v="564"/>
    <x v="2"/>
    <x v="1"/>
    <x v="9"/>
    <x v="2"/>
    <x v="4"/>
    <x v="1"/>
    <x v="6"/>
    <x v="1"/>
    <x v="2"/>
    <x v="165"/>
    <x v="106"/>
  </r>
  <r>
    <x v="619"/>
    <x v="0"/>
    <x v="2"/>
    <x v="491"/>
    <x v="20"/>
    <x v="0"/>
    <x v="0"/>
    <x v="2"/>
    <x v="0"/>
    <x v="1"/>
    <x v="0"/>
    <x v="1"/>
    <x v="0"/>
    <x v="1"/>
    <x v="504"/>
    <x v="29"/>
  </r>
  <r>
    <x v="620"/>
    <x v="0"/>
    <x v="0"/>
    <x v="492"/>
    <x v="565"/>
    <x v="0"/>
    <x v="0"/>
    <x v="7"/>
    <x v="0"/>
    <x v="0"/>
    <x v="0"/>
    <x v="0"/>
    <x v="0"/>
    <x v="0"/>
    <x v="505"/>
    <x v="53"/>
  </r>
  <r>
    <x v="621"/>
    <x v="1"/>
    <x v="1"/>
    <x v="493"/>
    <x v="566"/>
    <x v="0"/>
    <x v="0"/>
    <x v="22"/>
    <x v="0"/>
    <x v="0"/>
    <x v="0"/>
    <x v="0"/>
    <x v="1"/>
    <x v="0"/>
    <x v="506"/>
    <x v="124"/>
  </r>
  <r>
    <x v="622"/>
    <x v="1"/>
    <x v="0"/>
    <x v="322"/>
    <x v="567"/>
    <x v="0"/>
    <x v="0"/>
    <x v="11"/>
    <x v="0"/>
    <x v="0"/>
    <x v="1"/>
    <x v="3"/>
    <x v="1"/>
    <x v="0"/>
    <x v="328"/>
    <x v="165"/>
  </r>
  <r>
    <x v="623"/>
    <x v="0"/>
    <x v="0"/>
    <x v="494"/>
    <x v="568"/>
    <x v="0"/>
    <x v="0"/>
    <x v="23"/>
    <x v="0"/>
    <x v="1"/>
    <x v="0"/>
    <x v="1"/>
    <x v="0"/>
    <x v="1"/>
    <x v="507"/>
    <x v="13"/>
  </r>
  <r>
    <x v="624"/>
    <x v="0"/>
    <x v="0"/>
    <x v="495"/>
    <x v="569"/>
    <x v="0"/>
    <x v="0"/>
    <x v="23"/>
    <x v="0"/>
    <x v="1"/>
    <x v="0"/>
    <x v="1"/>
    <x v="0"/>
    <x v="1"/>
    <x v="508"/>
    <x v="95"/>
  </r>
  <r>
    <x v="625"/>
    <x v="0"/>
    <x v="1"/>
    <x v="496"/>
    <x v="197"/>
    <x v="0"/>
    <x v="0"/>
    <x v="59"/>
    <x v="4"/>
    <x v="1"/>
    <x v="0"/>
    <x v="1"/>
    <x v="0"/>
    <x v="1"/>
    <x v="509"/>
    <x v="217"/>
  </r>
  <r>
    <x v="626"/>
    <x v="0"/>
    <x v="2"/>
    <x v="497"/>
    <x v="570"/>
    <x v="5"/>
    <x v="0"/>
    <x v="79"/>
    <x v="0"/>
    <x v="1"/>
    <x v="0"/>
    <x v="1"/>
    <x v="0"/>
    <x v="1"/>
    <x v="510"/>
    <x v="142"/>
  </r>
  <r>
    <x v="627"/>
    <x v="1"/>
    <x v="1"/>
    <x v="498"/>
    <x v="571"/>
    <x v="2"/>
    <x v="1"/>
    <x v="23"/>
    <x v="0"/>
    <x v="1"/>
    <x v="0"/>
    <x v="1"/>
    <x v="1"/>
    <x v="1"/>
    <x v="245"/>
    <x v="133"/>
  </r>
  <r>
    <x v="628"/>
    <x v="0"/>
    <x v="0"/>
    <x v="499"/>
    <x v="572"/>
    <x v="0"/>
    <x v="0"/>
    <x v="2"/>
    <x v="0"/>
    <x v="1"/>
    <x v="0"/>
    <x v="1"/>
    <x v="0"/>
    <x v="1"/>
    <x v="511"/>
    <x v="25"/>
  </r>
  <r>
    <x v="629"/>
    <x v="0"/>
    <x v="0"/>
    <x v="500"/>
    <x v="573"/>
    <x v="0"/>
    <x v="0"/>
    <x v="4"/>
    <x v="1"/>
    <x v="1"/>
    <x v="0"/>
    <x v="1"/>
    <x v="0"/>
    <x v="1"/>
    <x v="512"/>
    <x v="93"/>
  </r>
  <r>
    <x v="630"/>
    <x v="1"/>
    <x v="1"/>
    <x v="501"/>
    <x v="574"/>
    <x v="0"/>
    <x v="0"/>
    <x v="80"/>
    <x v="4"/>
    <x v="1"/>
    <x v="0"/>
    <x v="1"/>
    <x v="1"/>
    <x v="1"/>
    <x v="513"/>
    <x v="209"/>
  </r>
  <r>
    <x v="631"/>
    <x v="0"/>
    <x v="0"/>
    <x v="502"/>
    <x v="575"/>
    <x v="0"/>
    <x v="0"/>
    <x v="54"/>
    <x v="0"/>
    <x v="1"/>
    <x v="0"/>
    <x v="1"/>
    <x v="0"/>
    <x v="1"/>
    <x v="514"/>
    <x v="218"/>
  </r>
  <r>
    <x v="632"/>
    <x v="1"/>
    <x v="1"/>
    <x v="503"/>
    <x v="576"/>
    <x v="6"/>
    <x v="0"/>
    <x v="35"/>
    <x v="0"/>
    <x v="1"/>
    <x v="0"/>
    <x v="1"/>
    <x v="1"/>
    <x v="1"/>
    <x v="515"/>
    <x v="140"/>
  </r>
  <r>
    <x v="633"/>
    <x v="0"/>
    <x v="1"/>
    <x v="504"/>
    <x v="577"/>
    <x v="0"/>
    <x v="0"/>
    <x v="4"/>
    <x v="1"/>
    <x v="1"/>
    <x v="0"/>
    <x v="1"/>
    <x v="0"/>
    <x v="1"/>
    <x v="516"/>
    <x v="104"/>
  </r>
  <r>
    <x v="634"/>
    <x v="0"/>
    <x v="0"/>
    <x v="61"/>
    <x v="578"/>
    <x v="2"/>
    <x v="1"/>
    <x v="52"/>
    <x v="2"/>
    <x v="2"/>
    <x v="2"/>
    <x v="5"/>
    <x v="0"/>
    <x v="2"/>
    <x v="62"/>
    <x v="48"/>
  </r>
  <r>
    <x v="635"/>
    <x v="1"/>
    <x v="2"/>
    <x v="505"/>
    <x v="344"/>
    <x v="2"/>
    <x v="1"/>
    <x v="17"/>
    <x v="0"/>
    <x v="1"/>
    <x v="0"/>
    <x v="1"/>
    <x v="1"/>
    <x v="1"/>
    <x v="517"/>
    <x v="16"/>
  </r>
  <r>
    <x v="636"/>
    <x v="0"/>
    <x v="0"/>
    <x v="506"/>
    <x v="579"/>
    <x v="0"/>
    <x v="0"/>
    <x v="35"/>
    <x v="0"/>
    <x v="1"/>
    <x v="0"/>
    <x v="1"/>
    <x v="0"/>
    <x v="1"/>
    <x v="518"/>
    <x v="2"/>
  </r>
  <r>
    <x v="637"/>
    <x v="0"/>
    <x v="2"/>
    <x v="208"/>
    <x v="580"/>
    <x v="0"/>
    <x v="0"/>
    <x v="14"/>
    <x v="0"/>
    <x v="0"/>
    <x v="1"/>
    <x v="3"/>
    <x v="0"/>
    <x v="0"/>
    <x v="212"/>
    <x v="121"/>
  </r>
  <r>
    <x v="638"/>
    <x v="0"/>
    <x v="0"/>
    <x v="48"/>
    <x v="581"/>
    <x v="1"/>
    <x v="1"/>
    <x v="66"/>
    <x v="0"/>
    <x v="1"/>
    <x v="3"/>
    <x v="5"/>
    <x v="0"/>
    <x v="2"/>
    <x v="49"/>
    <x v="40"/>
  </r>
  <r>
    <x v="639"/>
    <x v="0"/>
    <x v="0"/>
    <x v="358"/>
    <x v="582"/>
    <x v="0"/>
    <x v="0"/>
    <x v="4"/>
    <x v="1"/>
    <x v="0"/>
    <x v="0"/>
    <x v="0"/>
    <x v="0"/>
    <x v="0"/>
    <x v="368"/>
    <x v="95"/>
  </r>
  <r>
    <x v="640"/>
    <x v="0"/>
    <x v="0"/>
    <x v="507"/>
    <x v="583"/>
    <x v="0"/>
    <x v="0"/>
    <x v="11"/>
    <x v="0"/>
    <x v="1"/>
    <x v="0"/>
    <x v="1"/>
    <x v="0"/>
    <x v="1"/>
    <x v="519"/>
    <x v="13"/>
  </r>
  <r>
    <x v="641"/>
    <x v="1"/>
    <x v="1"/>
    <x v="508"/>
    <x v="584"/>
    <x v="12"/>
    <x v="2"/>
    <x v="42"/>
    <x v="0"/>
    <x v="1"/>
    <x v="0"/>
    <x v="1"/>
    <x v="1"/>
    <x v="1"/>
    <x v="319"/>
    <x v="160"/>
  </r>
  <r>
    <x v="642"/>
    <x v="0"/>
    <x v="0"/>
    <x v="61"/>
    <x v="585"/>
    <x v="2"/>
    <x v="1"/>
    <x v="6"/>
    <x v="2"/>
    <x v="2"/>
    <x v="2"/>
    <x v="5"/>
    <x v="0"/>
    <x v="2"/>
    <x v="62"/>
    <x v="48"/>
  </r>
  <r>
    <x v="643"/>
    <x v="1"/>
    <x v="0"/>
    <x v="509"/>
    <x v="586"/>
    <x v="0"/>
    <x v="0"/>
    <x v="4"/>
    <x v="1"/>
    <x v="1"/>
    <x v="0"/>
    <x v="1"/>
    <x v="1"/>
    <x v="1"/>
    <x v="72"/>
    <x v="54"/>
  </r>
  <r>
    <x v="644"/>
    <x v="1"/>
    <x v="0"/>
    <x v="369"/>
    <x v="587"/>
    <x v="2"/>
    <x v="1"/>
    <x v="77"/>
    <x v="2"/>
    <x v="4"/>
    <x v="1"/>
    <x v="6"/>
    <x v="1"/>
    <x v="2"/>
    <x v="379"/>
    <x v="178"/>
  </r>
  <r>
    <x v="645"/>
    <x v="1"/>
    <x v="1"/>
    <x v="50"/>
    <x v="588"/>
    <x v="0"/>
    <x v="0"/>
    <x v="76"/>
    <x v="0"/>
    <x v="0"/>
    <x v="0"/>
    <x v="0"/>
    <x v="1"/>
    <x v="0"/>
    <x v="51"/>
    <x v="42"/>
  </r>
  <r>
    <x v="646"/>
    <x v="0"/>
    <x v="0"/>
    <x v="510"/>
    <x v="589"/>
    <x v="0"/>
    <x v="0"/>
    <x v="19"/>
    <x v="3"/>
    <x v="1"/>
    <x v="0"/>
    <x v="1"/>
    <x v="0"/>
    <x v="1"/>
    <x v="520"/>
    <x v="25"/>
  </r>
  <r>
    <x v="647"/>
    <x v="1"/>
    <x v="1"/>
    <x v="511"/>
    <x v="590"/>
    <x v="13"/>
    <x v="0"/>
    <x v="60"/>
    <x v="0"/>
    <x v="1"/>
    <x v="0"/>
    <x v="1"/>
    <x v="1"/>
    <x v="1"/>
    <x v="521"/>
    <x v="21"/>
  </r>
  <r>
    <x v="648"/>
    <x v="0"/>
    <x v="0"/>
    <x v="512"/>
    <x v="503"/>
    <x v="0"/>
    <x v="0"/>
    <x v="4"/>
    <x v="1"/>
    <x v="1"/>
    <x v="0"/>
    <x v="1"/>
    <x v="0"/>
    <x v="1"/>
    <x v="522"/>
    <x v="120"/>
  </r>
  <r>
    <x v="649"/>
    <x v="1"/>
    <x v="0"/>
    <x v="405"/>
    <x v="591"/>
    <x v="2"/>
    <x v="1"/>
    <x v="41"/>
    <x v="0"/>
    <x v="1"/>
    <x v="0"/>
    <x v="1"/>
    <x v="1"/>
    <x v="1"/>
    <x v="523"/>
    <x v="120"/>
  </r>
  <r>
    <x v="650"/>
    <x v="0"/>
    <x v="0"/>
    <x v="513"/>
    <x v="592"/>
    <x v="0"/>
    <x v="0"/>
    <x v="4"/>
    <x v="1"/>
    <x v="1"/>
    <x v="0"/>
    <x v="1"/>
    <x v="0"/>
    <x v="1"/>
    <x v="524"/>
    <x v="25"/>
  </r>
  <r>
    <x v="651"/>
    <x v="1"/>
    <x v="2"/>
    <x v="93"/>
    <x v="593"/>
    <x v="2"/>
    <x v="1"/>
    <x v="24"/>
    <x v="3"/>
    <x v="1"/>
    <x v="1"/>
    <x v="0"/>
    <x v="1"/>
    <x v="0"/>
    <x v="95"/>
    <x v="68"/>
  </r>
  <r>
    <x v="652"/>
    <x v="0"/>
    <x v="0"/>
    <x v="514"/>
    <x v="594"/>
    <x v="0"/>
    <x v="0"/>
    <x v="23"/>
    <x v="0"/>
    <x v="1"/>
    <x v="0"/>
    <x v="1"/>
    <x v="0"/>
    <x v="1"/>
    <x v="525"/>
    <x v="219"/>
  </r>
  <r>
    <x v="653"/>
    <x v="1"/>
    <x v="0"/>
    <x v="515"/>
    <x v="595"/>
    <x v="2"/>
    <x v="1"/>
    <x v="4"/>
    <x v="1"/>
    <x v="1"/>
    <x v="0"/>
    <x v="1"/>
    <x v="1"/>
    <x v="1"/>
    <x v="526"/>
    <x v="204"/>
  </r>
  <r>
    <x v="654"/>
    <x v="0"/>
    <x v="0"/>
    <x v="516"/>
    <x v="264"/>
    <x v="2"/>
    <x v="1"/>
    <x v="24"/>
    <x v="3"/>
    <x v="1"/>
    <x v="0"/>
    <x v="1"/>
    <x v="0"/>
    <x v="1"/>
    <x v="527"/>
    <x v="85"/>
  </r>
  <r>
    <x v="655"/>
    <x v="0"/>
    <x v="2"/>
    <x v="112"/>
    <x v="596"/>
    <x v="0"/>
    <x v="0"/>
    <x v="42"/>
    <x v="0"/>
    <x v="4"/>
    <x v="0"/>
    <x v="3"/>
    <x v="0"/>
    <x v="0"/>
    <x v="70"/>
    <x v="52"/>
  </r>
  <r>
    <x v="656"/>
    <x v="0"/>
    <x v="0"/>
    <x v="517"/>
    <x v="261"/>
    <x v="0"/>
    <x v="0"/>
    <x v="4"/>
    <x v="1"/>
    <x v="1"/>
    <x v="0"/>
    <x v="1"/>
    <x v="0"/>
    <x v="1"/>
    <x v="528"/>
    <x v="25"/>
  </r>
  <r>
    <x v="657"/>
    <x v="0"/>
    <x v="0"/>
    <x v="167"/>
    <x v="597"/>
    <x v="1"/>
    <x v="1"/>
    <x v="35"/>
    <x v="0"/>
    <x v="0"/>
    <x v="1"/>
    <x v="3"/>
    <x v="0"/>
    <x v="0"/>
    <x v="170"/>
    <x v="37"/>
  </r>
  <r>
    <x v="658"/>
    <x v="0"/>
    <x v="2"/>
    <x v="518"/>
    <x v="598"/>
    <x v="0"/>
    <x v="0"/>
    <x v="41"/>
    <x v="0"/>
    <x v="1"/>
    <x v="0"/>
    <x v="1"/>
    <x v="0"/>
    <x v="1"/>
    <x v="529"/>
    <x v="16"/>
  </r>
  <r>
    <x v="659"/>
    <x v="0"/>
    <x v="1"/>
    <x v="190"/>
    <x v="599"/>
    <x v="0"/>
    <x v="0"/>
    <x v="10"/>
    <x v="0"/>
    <x v="1"/>
    <x v="2"/>
    <x v="3"/>
    <x v="0"/>
    <x v="0"/>
    <x v="193"/>
    <x v="114"/>
  </r>
  <r>
    <x v="660"/>
    <x v="1"/>
    <x v="1"/>
    <x v="286"/>
    <x v="600"/>
    <x v="6"/>
    <x v="0"/>
    <x v="61"/>
    <x v="0"/>
    <x v="4"/>
    <x v="0"/>
    <x v="3"/>
    <x v="1"/>
    <x v="0"/>
    <x v="292"/>
    <x v="155"/>
  </r>
  <r>
    <x v="661"/>
    <x v="0"/>
    <x v="0"/>
    <x v="519"/>
    <x v="601"/>
    <x v="0"/>
    <x v="0"/>
    <x v="20"/>
    <x v="0"/>
    <x v="1"/>
    <x v="0"/>
    <x v="1"/>
    <x v="0"/>
    <x v="1"/>
    <x v="530"/>
    <x v="18"/>
  </r>
  <r>
    <x v="662"/>
    <x v="0"/>
    <x v="1"/>
    <x v="520"/>
    <x v="602"/>
    <x v="0"/>
    <x v="0"/>
    <x v="47"/>
    <x v="0"/>
    <x v="1"/>
    <x v="0"/>
    <x v="1"/>
    <x v="0"/>
    <x v="1"/>
    <x v="531"/>
    <x v="220"/>
  </r>
  <r>
    <x v="663"/>
    <x v="0"/>
    <x v="0"/>
    <x v="420"/>
    <x v="603"/>
    <x v="0"/>
    <x v="0"/>
    <x v="62"/>
    <x v="0"/>
    <x v="1"/>
    <x v="0"/>
    <x v="1"/>
    <x v="0"/>
    <x v="1"/>
    <x v="532"/>
    <x v="196"/>
  </r>
  <r>
    <x v="664"/>
    <x v="1"/>
    <x v="0"/>
    <x v="521"/>
    <x v="604"/>
    <x v="0"/>
    <x v="0"/>
    <x v="11"/>
    <x v="0"/>
    <x v="0"/>
    <x v="0"/>
    <x v="0"/>
    <x v="1"/>
    <x v="0"/>
    <x v="533"/>
    <x v="2"/>
  </r>
  <r>
    <x v="665"/>
    <x v="0"/>
    <x v="2"/>
    <x v="112"/>
    <x v="605"/>
    <x v="0"/>
    <x v="0"/>
    <x v="35"/>
    <x v="0"/>
    <x v="4"/>
    <x v="0"/>
    <x v="3"/>
    <x v="0"/>
    <x v="0"/>
    <x v="70"/>
    <x v="52"/>
  </r>
  <r>
    <x v="666"/>
    <x v="0"/>
    <x v="2"/>
    <x v="522"/>
    <x v="606"/>
    <x v="0"/>
    <x v="0"/>
    <x v="37"/>
    <x v="0"/>
    <x v="1"/>
    <x v="0"/>
    <x v="1"/>
    <x v="0"/>
    <x v="1"/>
    <x v="534"/>
    <x v="16"/>
  </r>
  <r>
    <x v="667"/>
    <x v="0"/>
    <x v="0"/>
    <x v="523"/>
    <x v="607"/>
    <x v="0"/>
    <x v="0"/>
    <x v="4"/>
    <x v="1"/>
    <x v="1"/>
    <x v="0"/>
    <x v="1"/>
    <x v="0"/>
    <x v="1"/>
    <x v="535"/>
    <x v="71"/>
  </r>
  <r>
    <x v="668"/>
    <x v="0"/>
    <x v="0"/>
    <x v="524"/>
    <x v="608"/>
    <x v="0"/>
    <x v="0"/>
    <x v="71"/>
    <x v="0"/>
    <x v="1"/>
    <x v="0"/>
    <x v="1"/>
    <x v="0"/>
    <x v="1"/>
    <x v="536"/>
    <x v="4"/>
  </r>
  <r>
    <x v="669"/>
    <x v="1"/>
    <x v="1"/>
    <x v="525"/>
    <x v="609"/>
    <x v="1"/>
    <x v="1"/>
    <x v="4"/>
    <x v="1"/>
    <x v="0"/>
    <x v="0"/>
    <x v="0"/>
    <x v="1"/>
    <x v="0"/>
    <x v="537"/>
    <x v="31"/>
  </r>
  <r>
    <x v="670"/>
    <x v="1"/>
    <x v="2"/>
    <x v="172"/>
    <x v="610"/>
    <x v="1"/>
    <x v="1"/>
    <x v="20"/>
    <x v="0"/>
    <x v="0"/>
    <x v="1"/>
    <x v="3"/>
    <x v="1"/>
    <x v="0"/>
    <x v="538"/>
    <x v="106"/>
  </r>
  <r>
    <x v="671"/>
    <x v="0"/>
    <x v="1"/>
    <x v="526"/>
    <x v="611"/>
    <x v="0"/>
    <x v="0"/>
    <x v="14"/>
    <x v="0"/>
    <x v="0"/>
    <x v="0"/>
    <x v="0"/>
    <x v="0"/>
    <x v="0"/>
    <x v="539"/>
    <x v="31"/>
  </r>
  <r>
    <x v="672"/>
    <x v="0"/>
    <x v="2"/>
    <x v="527"/>
    <x v="612"/>
    <x v="0"/>
    <x v="0"/>
    <x v="81"/>
    <x v="4"/>
    <x v="1"/>
    <x v="0"/>
    <x v="1"/>
    <x v="0"/>
    <x v="1"/>
    <x v="540"/>
    <x v="29"/>
  </r>
  <r>
    <x v="673"/>
    <x v="1"/>
    <x v="2"/>
    <x v="528"/>
    <x v="613"/>
    <x v="0"/>
    <x v="0"/>
    <x v="14"/>
    <x v="0"/>
    <x v="1"/>
    <x v="0"/>
    <x v="1"/>
    <x v="1"/>
    <x v="1"/>
    <x v="541"/>
    <x v="16"/>
  </r>
  <r>
    <x v="674"/>
    <x v="0"/>
    <x v="2"/>
    <x v="529"/>
    <x v="614"/>
    <x v="0"/>
    <x v="0"/>
    <x v="4"/>
    <x v="1"/>
    <x v="1"/>
    <x v="0"/>
    <x v="1"/>
    <x v="0"/>
    <x v="1"/>
    <x v="542"/>
    <x v="104"/>
  </r>
  <r>
    <x v="675"/>
    <x v="0"/>
    <x v="0"/>
    <x v="530"/>
    <x v="615"/>
    <x v="0"/>
    <x v="0"/>
    <x v="24"/>
    <x v="3"/>
    <x v="1"/>
    <x v="0"/>
    <x v="1"/>
    <x v="0"/>
    <x v="1"/>
    <x v="543"/>
    <x v="71"/>
  </r>
  <r>
    <x v="676"/>
    <x v="0"/>
    <x v="0"/>
    <x v="531"/>
    <x v="616"/>
    <x v="0"/>
    <x v="0"/>
    <x v="82"/>
    <x v="0"/>
    <x v="1"/>
    <x v="0"/>
    <x v="1"/>
    <x v="0"/>
    <x v="1"/>
    <x v="544"/>
    <x v="4"/>
  </r>
  <r>
    <x v="677"/>
    <x v="1"/>
    <x v="0"/>
    <x v="532"/>
    <x v="138"/>
    <x v="2"/>
    <x v="1"/>
    <x v="24"/>
    <x v="3"/>
    <x v="1"/>
    <x v="0"/>
    <x v="1"/>
    <x v="1"/>
    <x v="1"/>
    <x v="545"/>
    <x v="221"/>
  </r>
  <r>
    <x v="678"/>
    <x v="0"/>
    <x v="0"/>
    <x v="57"/>
    <x v="617"/>
    <x v="1"/>
    <x v="1"/>
    <x v="71"/>
    <x v="0"/>
    <x v="0"/>
    <x v="6"/>
    <x v="7"/>
    <x v="0"/>
    <x v="2"/>
    <x v="58"/>
    <x v="45"/>
  </r>
  <r>
    <x v="679"/>
    <x v="1"/>
    <x v="1"/>
    <x v="533"/>
    <x v="618"/>
    <x v="0"/>
    <x v="0"/>
    <x v="62"/>
    <x v="0"/>
    <x v="1"/>
    <x v="1"/>
    <x v="0"/>
    <x v="1"/>
    <x v="0"/>
    <x v="231"/>
    <x v="127"/>
  </r>
  <r>
    <x v="680"/>
    <x v="0"/>
    <x v="0"/>
    <x v="534"/>
    <x v="619"/>
    <x v="2"/>
    <x v="1"/>
    <x v="4"/>
    <x v="1"/>
    <x v="1"/>
    <x v="0"/>
    <x v="1"/>
    <x v="0"/>
    <x v="1"/>
    <x v="546"/>
    <x v="222"/>
  </r>
  <r>
    <x v="681"/>
    <x v="1"/>
    <x v="1"/>
    <x v="535"/>
    <x v="620"/>
    <x v="0"/>
    <x v="0"/>
    <x v="7"/>
    <x v="0"/>
    <x v="1"/>
    <x v="0"/>
    <x v="1"/>
    <x v="1"/>
    <x v="1"/>
    <x v="51"/>
    <x v="42"/>
  </r>
  <r>
    <x v="682"/>
    <x v="0"/>
    <x v="0"/>
    <x v="536"/>
    <x v="621"/>
    <x v="0"/>
    <x v="0"/>
    <x v="11"/>
    <x v="0"/>
    <x v="1"/>
    <x v="0"/>
    <x v="1"/>
    <x v="0"/>
    <x v="1"/>
    <x v="547"/>
    <x v="157"/>
  </r>
  <r>
    <x v="683"/>
    <x v="0"/>
    <x v="0"/>
    <x v="57"/>
    <x v="622"/>
    <x v="0"/>
    <x v="0"/>
    <x v="8"/>
    <x v="3"/>
    <x v="5"/>
    <x v="2"/>
    <x v="7"/>
    <x v="0"/>
    <x v="2"/>
    <x v="58"/>
    <x v="45"/>
  </r>
  <r>
    <x v="684"/>
    <x v="0"/>
    <x v="2"/>
    <x v="172"/>
    <x v="623"/>
    <x v="0"/>
    <x v="0"/>
    <x v="72"/>
    <x v="4"/>
    <x v="0"/>
    <x v="1"/>
    <x v="3"/>
    <x v="0"/>
    <x v="0"/>
    <x v="538"/>
    <x v="106"/>
  </r>
  <r>
    <x v="685"/>
    <x v="0"/>
    <x v="2"/>
    <x v="41"/>
    <x v="624"/>
    <x v="0"/>
    <x v="0"/>
    <x v="37"/>
    <x v="0"/>
    <x v="0"/>
    <x v="2"/>
    <x v="6"/>
    <x v="0"/>
    <x v="2"/>
    <x v="42"/>
    <x v="36"/>
  </r>
  <r>
    <x v="686"/>
    <x v="0"/>
    <x v="0"/>
    <x v="48"/>
    <x v="625"/>
    <x v="0"/>
    <x v="0"/>
    <x v="8"/>
    <x v="3"/>
    <x v="3"/>
    <x v="1"/>
    <x v="5"/>
    <x v="0"/>
    <x v="2"/>
    <x v="49"/>
    <x v="40"/>
  </r>
  <r>
    <x v="687"/>
    <x v="0"/>
    <x v="0"/>
    <x v="537"/>
    <x v="626"/>
    <x v="0"/>
    <x v="0"/>
    <x v="19"/>
    <x v="3"/>
    <x v="1"/>
    <x v="0"/>
    <x v="1"/>
    <x v="0"/>
    <x v="1"/>
    <x v="548"/>
    <x v="223"/>
  </r>
  <r>
    <x v="688"/>
    <x v="0"/>
    <x v="0"/>
    <x v="538"/>
    <x v="627"/>
    <x v="0"/>
    <x v="0"/>
    <x v="24"/>
    <x v="3"/>
    <x v="1"/>
    <x v="0"/>
    <x v="1"/>
    <x v="0"/>
    <x v="1"/>
    <x v="549"/>
    <x v="88"/>
  </r>
  <r>
    <x v="689"/>
    <x v="1"/>
    <x v="1"/>
    <x v="539"/>
    <x v="628"/>
    <x v="2"/>
    <x v="1"/>
    <x v="16"/>
    <x v="3"/>
    <x v="1"/>
    <x v="1"/>
    <x v="0"/>
    <x v="1"/>
    <x v="0"/>
    <x v="550"/>
    <x v="224"/>
  </r>
  <r>
    <x v="690"/>
    <x v="1"/>
    <x v="1"/>
    <x v="540"/>
    <x v="629"/>
    <x v="0"/>
    <x v="0"/>
    <x v="14"/>
    <x v="0"/>
    <x v="0"/>
    <x v="0"/>
    <x v="0"/>
    <x v="1"/>
    <x v="0"/>
    <x v="551"/>
    <x v="225"/>
  </r>
  <r>
    <x v="691"/>
    <x v="1"/>
    <x v="0"/>
    <x v="541"/>
    <x v="630"/>
    <x v="2"/>
    <x v="1"/>
    <x v="9"/>
    <x v="2"/>
    <x v="1"/>
    <x v="1"/>
    <x v="0"/>
    <x v="1"/>
    <x v="0"/>
    <x v="552"/>
    <x v="226"/>
  </r>
  <r>
    <x v="692"/>
    <x v="1"/>
    <x v="0"/>
    <x v="542"/>
    <x v="631"/>
    <x v="0"/>
    <x v="0"/>
    <x v="4"/>
    <x v="1"/>
    <x v="1"/>
    <x v="0"/>
    <x v="1"/>
    <x v="1"/>
    <x v="1"/>
    <x v="72"/>
    <x v="54"/>
  </r>
  <r>
    <x v="693"/>
    <x v="0"/>
    <x v="0"/>
    <x v="543"/>
    <x v="632"/>
    <x v="0"/>
    <x v="0"/>
    <x v="37"/>
    <x v="0"/>
    <x v="1"/>
    <x v="0"/>
    <x v="1"/>
    <x v="0"/>
    <x v="1"/>
    <x v="553"/>
    <x v="18"/>
  </r>
  <r>
    <x v="694"/>
    <x v="0"/>
    <x v="1"/>
    <x v="544"/>
    <x v="184"/>
    <x v="13"/>
    <x v="0"/>
    <x v="72"/>
    <x v="4"/>
    <x v="1"/>
    <x v="0"/>
    <x v="1"/>
    <x v="0"/>
    <x v="1"/>
    <x v="554"/>
    <x v="11"/>
  </r>
  <r>
    <x v="695"/>
    <x v="0"/>
    <x v="2"/>
    <x v="477"/>
    <x v="367"/>
    <x v="0"/>
    <x v="0"/>
    <x v="67"/>
    <x v="0"/>
    <x v="1"/>
    <x v="0"/>
    <x v="1"/>
    <x v="0"/>
    <x v="1"/>
    <x v="555"/>
    <x v="119"/>
  </r>
  <r>
    <x v="696"/>
    <x v="0"/>
    <x v="0"/>
    <x v="262"/>
    <x v="5"/>
    <x v="0"/>
    <x v="0"/>
    <x v="57"/>
    <x v="0"/>
    <x v="1"/>
    <x v="0"/>
    <x v="1"/>
    <x v="0"/>
    <x v="1"/>
    <x v="556"/>
    <x v="4"/>
  </r>
  <r>
    <x v="697"/>
    <x v="1"/>
    <x v="0"/>
    <x v="545"/>
    <x v="153"/>
    <x v="2"/>
    <x v="1"/>
    <x v="4"/>
    <x v="1"/>
    <x v="1"/>
    <x v="0"/>
    <x v="1"/>
    <x v="1"/>
    <x v="1"/>
    <x v="557"/>
    <x v="93"/>
  </r>
  <r>
    <x v="698"/>
    <x v="0"/>
    <x v="1"/>
    <x v="445"/>
    <x v="633"/>
    <x v="0"/>
    <x v="0"/>
    <x v="27"/>
    <x v="0"/>
    <x v="0"/>
    <x v="1"/>
    <x v="3"/>
    <x v="0"/>
    <x v="0"/>
    <x v="272"/>
    <x v="143"/>
  </r>
  <r>
    <x v="699"/>
    <x v="0"/>
    <x v="0"/>
    <x v="546"/>
    <x v="634"/>
    <x v="0"/>
    <x v="0"/>
    <x v="22"/>
    <x v="0"/>
    <x v="1"/>
    <x v="0"/>
    <x v="1"/>
    <x v="0"/>
    <x v="1"/>
    <x v="558"/>
    <x v="55"/>
  </r>
  <r>
    <x v="700"/>
    <x v="1"/>
    <x v="1"/>
    <x v="547"/>
    <x v="635"/>
    <x v="1"/>
    <x v="1"/>
    <x v="24"/>
    <x v="3"/>
    <x v="0"/>
    <x v="0"/>
    <x v="0"/>
    <x v="1"/>
    <x v="0"/>
    <x v="327"/>
    <x v="164"/>
  </r>
  <r>
    <x v="701"/>
    <x v="1"/>
    <x v="1"/>
    <x v="548"/>
    <x v="636"/>
    <x v="0"/>
    <x v="0"/>
    <x v="3"/>
    <x v="0"/>
    <x v="1"/>
    <x v="0"/>
    <x v="1"/>
    <x v="1"/>
    <x v="1"/>
    <x v="559"/>
    <x v="194"/>
  </r>
  <r>
    <x v="702"/>
    <x v="0"/>
    <x v="0"/>
    <x v="307"/>
    <x v="637"/>
    <x v="2"/>
    <x v="1"/>
    <x v="24"/>
    <x v="3"/>
    <x v="1"/>
    <x v="1"/>
    <x v="0"/>
    <x v="0"/>
    <x v="0"/>
    <x v="313"/>
    <x v="53"/>
  </r>
  <r>
    <x v="703"/>
    <x v="0"/>
    <x v="0"/>
    <x v="549"/>
    <x v="123"/>
    <x v="0"/>
    <x v="0"/>
    <x v="37"/>
    <x v="0"/>
    <x v="1"/>
    <x v="0"/>
    <x v="1"/>
    <x v="0"/>
    <x v="1"/>
    <x v="560"/>
    <x v="227"/>
  </r>
  <r>
    <x v="704"/>
    <x v="0"/>
    <x v="0"/>
    <x v="494"/>
    <x v="638"/>
    <x v="0"/>
    <x v="0"/>
    <x v="2"/>
    <x v="0"/>
    <x v="0"/>
    <x v="0"/>
    <x v="0"/>
    <x v="0"/>
    <x v="0"/>
    <x v="561"/>
    <x v="13"/>
  </r>
  <r>
    <x v="705"/>
    <x v="0"/>
    <x v="2"/>
    <x v="381"/>
    <x v="639"/>
    <x v="0"/>
    <x v="0"/>
    <x v="12"/>
    <x v="0"/>
    <x v="1"/>
    <x v="0"/>
    <x v="1"/>
    <x v="0"/>
    <x v="1"/>
    <x v="364"/>
    <x v="19"/>
  </r>
  <r>
    <x v="706"/>
    <x v="1"/>
    <x v="2"/>
    <x v="262"/>
    <x v="640"/>
    <x v="1"/>
    <x v="1"/>
    <x v="33"/>
    <x v="0"/>
    <x v="1"/>
    <x v="0"/>
    <x v="1"/>
    <x v="1"/>
    <x v="1"/>
    <x v="562"/>
    <x v="119"/>
  </r>
  <r>
    <x v="707"/>
    <x v="1"/>
    <x v="1"/>
    <x v="550"/>
    <x v="641"/>
    <x v="0"/>
    <x v="0"/>
    <x v="22"/>
    <x v="0"/>
    <x v="1"/>
    <x v="0"/>
    <x v="1"/>
    <x v="1"/>
    <x v="1"/>
    <x v="563"/>
    <x v="194"/>
  </r>
  <r>
    <x v="708"/>
    <x v="1"/>
    <x v="1"/>
    <x v="551"/>
    <x v="561"/>
    <x v="2"/>
    <x v="1"/>
    <x v="0"/>
    <x v="0"/>
    <x v="1"/>
    <x v="0"/>
    <x v="1"/>
    <x v="1"/>
    <x v="1"/>
    <x v="266"/>
    <x v="139"/>
  </r>
  <r>
    <x v="709"/>
    <x v="1"/>
    <x v="0"/>
    <x v="63"/>
    <x v="642"/>
    <x v="3"/>
    <x v="0"/>
    <x v="4"/>
    <x v="1"/>
    <x v="0"/>
    <x v="1"/>
    <x v="3"/>
    <x v="1"/>
    <x v="0"/>
    <x v="64"/>
    <x v="49"/>
  </r>
  <r>
    <x v="710"/>
    <x v="1"/>
    <x v="1"/>
    <x v="552"/>
    <x v="643"/>
    <x v="12"/>
    <x v="2"/>
    <x v="42"/>
    <x v="0"/>
    <x v="1"/>
    <x v="0"/>
    <x v="1"/>
    <x v="1"/>
    <x v="1"/>
    <x v="564"/>
    <x v="189"/>
  </r>
  <r>
    <x v="711"/>
    <x v="0"/>
    <x v="1"/>
    <x v="553"/>
    <x v="644"/>
    <x v="0"/>
    <x v="0"/>
    <x v="4"/>
    <x v="1"/>
    <x v="1"/>
    <x v="0"/>
    <x v="1"/>
    <x v="0"/>
    <x v="1"/>
    <x v="565"/>
    <x v="11"/>
  </r>
  <r>
    <x v="712"/>
    <x v="1"/>
    <x v="1"/>
    <x v="525"/>
    <x v="645"/>
    <x v="0"/>
    <x v="0"/>
    <x v="76"/>
    <x v="0"/>
    <x v="0"/>
    <x v="0"/>
    <x v="0"/>
    <x v="1"/>
    <x v="0"/>
    <x v="537"/>
    <x v="31"/>
  </r>
  <r>
    <x v="713"/>
    <x v="0"/>
    <x v="0"/>
    <x v="203"/>
    <x v="646"/>
    <x v="0"/>
    <x v="0"/>
    <x v="28"/>
    <x v="0"/>
    <x v="1"/>
    <x v="0"/>
    <x v="1"/>
    <x v="0"/>
    <x v="1"/>
    <x v="566"/>
    <x v="228"/>
  </r>
  <r>
    <x v="714"/>
    <x v="0"/>
    <x v="2"/>
    <x v="554"/>
    <x v="295"/>
    <x v="0"/>
    <x v="0"/>
    <x v="67"/>
    <x v="0"/>
    <x v="1"/>
    <x v="0"/>
    <x v="1"/>
    <x v="0"/>
    <x v="1"/>
    <x v="567"/>
    <x v="16"/>
  </r>
  <r>
    <x v="715"/>
    <x v="0"/>
    <x v="0"/>
    <x v="555"/>
    <x v="647"/>
    <x v="0"/>
    <x v="0"/>
    <x v="19"/>
    <x v="3"/>
    <x v="1"/>
    <x v="0"/>
    <x v="1"/>
    <x v="0"/>
    <x v="1"/>
    <x v="568"/>
    <x v="55"/>
  </r>
  <r>
    <x v="716"/>
    <x v="1"/>
    <x v="1"/>
    <x v="556"/>
    <x v="648"/>
    <x v="2"/>
    <x v="1"/>
    <x v="1"/>
    <x v="0"/>
    <x v="1"/>
    <x v="0"/>
    <x v="1"/>
    <x v="1"/>
    <x v="1"/>
    <x v="327"/>
    <x v="164"/>
  </r>
  <r>
    <x v="717"/>
    <x v="1"/>
    <x v="2"/>
    <x v="557"/>
    <x v="649"/>
    <x v="2"/>
    <x v="1"/>
    <x v="7"/>
    <x v="0"/>
    <x v="1"/>
    <x v="0"/>
    <x v="1"/>
    <x v="1"/>
    <x v="1"/>
    <x v="569"/>
    <x v="29"/>
  </r>
  <r>
    <x v="718"/>
    <x v="0"/>
    <x v="0"/>
    <x v="558"/>
    <x v="650"/>
    <x v="0"/>
    <x v="0"/>
    <x v="4"/>
    <x v="1"/>
    <x v="1"/>
    <x v="0"/>
    <x v="1"/>
    <x v="0"/>
    <x v="1"/>
    <x v="570"/>
    <x v="37"/>
  </r>
  <r>
    <x v="719"/>
    <x v="0"/>
    <x v="0"/>
    <x v="8"/>
    <x v="651"/>
    <x v="0"/>
    <x v="0"/>
    <x v="40"/>
    <x v="0"/>
    <x v="1"/>
    <x v="0"/>
    <x v="1"/>
    <x v="0"/>
    <x v="1"/>
    <x v="571"/>
    <x v="71"/>
  </r>
  <r>
    <x v="720"/>
    <x v="1"/>
    <x v="2"/>
    <x v="50"/>
    <x v="652"/>
    <x v="2"/>
    <x v="1"/>
    <x v="83"/>
    <x v="2"/>
    <x v="1"/>
    <x v="1"/>
    <x v="0"/>
    <x v="1"/>
    <x v="0"/>
    <x v="491"/>
    <x v="213"/>
  </r>
  <r>
    <x v="721"/>
    <x v="0"/>
    <x v="0"/>
    <x v="507"/>
    <x v="653"/>
    <x v="0"/>
    <x v="0"/>
    <x v="34"/>
    <x v="3"/>
    <x v="0"/>
    <x v="0"/>
    <x v="0"/>
    <x v="0"/>
    <x v="0"/>
    <x v="572"/>
    <x v="218"/>
  </r>
  <r>
    <x v="722"/>
    <x v="0"/>
    <x v="2"/>
    <x v="559"/>
    <x v="4"/>
    <x v="0"/>
    <x v="0"/>
    <x v="15"/>
    <x v="0"/>
    <x v="1"/>
    <x v="0"/>
    <x v="1"/>
    <x v="0"/>
    <x v="1"/>
    <x v="573"/>
    <x v="16"/>
  </r>
  <r>
    <x v="723"/>
    <x v="0"/>
    <x v="2"/>
    <x v="560"/>
    <x v="654"/>
    <x v="0"/>
    <x v="0"/>
    <x v="61"/>
    <x v="0"/>
    <x v="1"/>
    <x v="0"/>
    <x v="1"/>
    <x v="0"/>
    <x v="1"/>
    <x v="574"/>
    <x v="16"/>
  </r>
  <r>
    <x v="724"/>
    <x v="1"/>
    <x v="1"/>
    <x v="561"/>
    <x v="655"/>
    <x v="0"/>
    <x v="0"/>
    <x v="7"/>
    <x v="0"/>
    <x v="0"/>
    <x v="0"/>
    <x v="0"/>
    <x v="1"/>
    <x v="0"/>
    <x v="575"/>
    <x v="3"/>
  </r>
  <r>
    <x v="725"/>
    <x v="0"/>
    <x v="0"/>
    <x v="335"/>
    <x v="440"/>
    <x v="0"/>
    <x v="0"/>
    <x v="11"/>
    <x v="0"/>
    <x v="1"/>
    <x v="0"/>
    <x v="1"/>
    <x v="0"/>
    <x v="1"/>
    <x v="576"/>
    <x v="51"/>
  </r>
  <r>
    <x v="726"/>
    <x v="1"/>
    <x v="2"/>
    <x v="394"/>
    <x v="656"/>
    <x v="1"/>
    <x v="1"/>
    <x v="39"/>
    <x v="0"/>
    <x v="2"/>
    <x v="0"/>
    <x v="6"/>
    <x v="1"/>
    <x v="2"/>
    <x v="402"/>
    <x v="35"/>
  </r>
  <r>
    <x v="727"/>
    <x v="1"/>
    <x v="0"/>
    <x v="562"/>
    <x v="657"/>
    <x v="2"/>
    <x v="1"/>
    <x v="4"/>
    <x v="1"/>
    <x v="1"/>
    <x v="0"/>
    <x v="1"/>
    <x v="1"/>
    <x v="1"/>
    <x v="577"/>
    <x v="229"/>
  </r>
  <r>
    <x v="728"/>
    <x v="0"/>
    <x v="2"/>
    <x v="563"/>
    <x v="658"/>
    <x v="0"/>
    <x v="0"/>
    <x v="37"/>
    <x v="0"/>
    <x v="0"/>
    <x v="0"/>
    <x v="0"/>
    <x v="0"/>
    <x v="0"/>
    <x v="578"/>
    <x v="19"/>
  </r>
  <r>
    <x v="729"/>
    <x v="0"/>
    <x v="0"/>
    <x v="564"/>
    <x v="659"/>
    <x v="2"/>
    <x v="1"/>
    <x v="37"/>
    <x v="0"/>
    <x v="0"/>
    <x v="0"/>
    <x v="0"/>
    <x v="0"/>
    <x v="0"/>
    <x v="579"/>
    <x v="2"/>
  </r>
  <r>
    <x v="730"/>
    <x v="1"/>
    <x v="1"/>
    <x v="4"/>
    <x v="660"/>
    <x v="2"/>
    <x v="1"/>
    <x v="28"/>
    <x v="0"/>
    <x v="1"/>
    <x v="0"/>
    <x v="1"/>
    <x v="1"/>
    <x v="1"/>
    <x v="550"/>
    <x v="224"/>
  </r>
  <r>
    <x v="731"/>
    <x v="0"/>
    <x v="0"/>
    <x v="565"/>
    <x v="661"/>
    <x v="0"/>
    <x v="0"/>
    <x v="32"/>
    <x v="2"/>
    <x v="1"/>
    <x v="0"/>
    <x v="1"/>
    <x v="0"/>
    <x v="1"/>
    <x v="185"/>
    <x v="112"/>
  </r>
  <r>
    <x v="732"/>
    <x v="0"/>
    <x v="2"/>
    <x v="566"/>
    <x v="662"/>
    <x v="0"/>
    <x v="0"/>
    <x v="4"/>
    <x v="1"/>
    <x v="1"/>
    <x v="0"/>
    <x v="1"/>
    <x v="0"/>
    <x v="1"/>
    <x v="580"/>
    <x v="104"/>
  </r>
  <r>
    <x v="733"/>
    <x v="0"/>
    <x v="2"/>
    <x v="567"/>
    <x v="44"/>
    <x v="0"/>
    <x v="0"/>
    <x v="41"/>
    <x v="0"/>
    <x v="1"/>
    <x v="0"/>
    <x v="1"/>
    <x v="0"/>
    <x v="1"/>
    <x v="581"/>
    <x v="16"/>
  </r>
  <r>
    <x v="734"/>
    <x v="0"/>
    <x v="2"/>
    <x v="568"/>
    <x v="663"/>
    <x v="0"/>
    <x v="0"/>
    <x v="41"/>
    <x v="0"/>
    <x v="1"/>
    <x v="0"/>
    <x v="1"/>
    <x v="0"/>
    <x v="1"/>
    <x v="582"/>
    <x v="16"/>
  </r>
  <r>
    <x v="735"/>
    <x v="0"/>
    <x v="0"/>
    <x v="17"/>
    <x v="664"/>
    <x v="0"/>
    <x v="0"/>
    <x v="30"/>
    <x v="0"/>
    <x v="1"/>
    <x v="0"/>
    <x v="1"/>
    <x v="0"/>
    <x v="1"/>
    <x v="508"/>
    <x v="95"/>
  </r>
  <r>
    <x v="736"/>
    <x v="0"/>
    <x v="0"/>
    <x v="82"/>
    <x v="665"/>
    <x v="1"/>
    <x v="1"/>
    <x v="76"/>
    <x v="0"/>
    <x v="0"/>
    <x v="4"/>
    <x v="2"/>
    <x v="0"/>
    <x v="2"/>
    <x v="84"/>
    <x v="63"/>
  </r>
  <r>
    <x v="737"/>
    <x v="1"/>
    <x v="1"/>
    <x v="569"/>
    <x v="666"/>
    <x v="0"/>
    <x v="0"/>
    <x v="3"/>
    <x v="0"/>
    <x v="1"/>
    <x v="0"/>
    <x v="1"/>
    <x v="1"/>
    <x v="1"/>
    <x v="231"/>
    <x v="127"/>
  </r>
  <r>
    <x v="738"/>
    <x v="0"/>
    <x v="0"/>
    <x v="570"/>
    <x v="667"/>
    <x v="0"/>
    <x v="0"/>
    <x v="4"/>
    <x v="1"/>
    <x v="1"/>
    <x v="0"/>
    <x v="1"/>
    <x v="0"/>
    <x v="1"/>
    <x v="583"/>
    <x v="25"/>
  </r>
  <r>
    <x v="739"/>
    <x v="0"/>
    <x v="0"/>
    <x v="571"/>
    <x v="668"/>
    <x v="0"/>
    <x v="0"/>
    <x v="4"/>
    <x v="1"/>
    <x v="1"/>
    <x v="0"/>
    <x v="1"/>
    <x v="0"/>
    <x v="1"/>
    <x v="584"/>
    <x v="25"/>
  </r>
  <r>
    <x v="740"/>
    <x v="1"/>
    <x v="1"/>
    <x v="572"/>
    <x v="669"/>
    <x v="0"/>
    <x v="0"/>
    <x v="4"/>
    <x v="1"/>
    <x v="1"/>
    <x v="0"/>
    <x v="1"/>
    <x v="1"/>
    <x v="1"/>
    <x v="585"/>
    <x v="209"/>
  </r>
  <r>
    <x v="741"/>
    <x v="0"/>
    <x v="1"/>
    <x v="573"/>
    <x v="670"/>
    <x v="0"/>
    <x v="0"/>
    <x v="62"/>
    <x v="0"/>
    <x v="0"/>
    <x v="0"/>
    <x v="0"/>
    <x v="0"/>
    <x v="0"/>
    <x v="259"/>
    <x v="135"/>
  </r>
  <r>
    <x v="742"/>
    <x v="1"/>
    <x v="1"/>
    <x v="270"/>
    <x v="671"/>
    <x v="2"/>
    <x v="1"/>
    <x v="23"/>
    <x v="0"/>
    <x v="4"/>
    <x v="2"/>
    <x v="2"/>
    <x v="1"/>
    <x v="2"/>
    <x v="277"/>
    <x v="148"/>
  </r>
  <r>
    <x v="743"/>
    <x v="0"/>
    <x v="0"/>
    <x v="574"/>
    <x v="672"/>
    <x v="0"/>
    <x v="0"/>
    <x v="42"/>
    <x v="0"/>
    <x v="0"/>
    <x v="0"/>
    <x v="0"/>
    <x v="0"/>
    <x v="0"/>
    <x v="586"/>
    <x v="95"/>
  </r>
  <r>
    <x v="744"/>
    <x v="1"/>
    <x v="0"/>
    <x v="575"/>
    <x v="364"/>
    <x v="0"/>
    <x v="0"/>
    <x v="14"/>
    <x v="0"/>
    <x v="1"/>
    <x v="0"/>
    <x v="1"/>
    <x v="1"/>
    <x v="1"/>
    <x v="587"/>
    <x v="2"/>
  </r>
  <r>
    <x v="745"/>
    <x v="0"/>
    <x v="1"/>
    <x v="440"/>
    <x v="673"/>
    <x v="14"/>
    <x v="2"/>
    <x v="81"/>
    <x v="4"/>
    <x v="0"/>
    <x v="1"/>
    <x v="3"/>
    <x v="0"/>
    <x v="0"/>
    <x v="451"/>
    <x v="202"/>
  </r>
  <r>
    <x v="746"/>
    <x v="0"/>
    <x v="0"/>
    <x v="243"/>
    <x v="674"/>
    <x v="0"/>
    <x v="0"/>
    <x v="36"/>
    <x v="3"/>
    <x v="0"/>
    <x v="1"/>
    <x v="3"/>
    <x v="0"/>
    <x v="0"/>
    <x v="248"/>
    <x v="134"/>
  </r>
  <r>
    <x v="747"/>
    <x v="1"/>
    <x v="2"/>
    <x v="576"/>
    <x v="125"/>
    <x v="2"/>
    <x v="1"/>
    <x v="39"/>
    <x v="0"/>
    <x v="1"/>
    <x v="0"/>
    <x v="1"/>
    <x v="1"/>
    <x v="1"/>
    <x v="588"/>
    <x v="16"/>
  </r>
  <r>
    <x v="748"/>
    <x v="0"/>
    <x v="1"/>
    <x v="577"/>
    <x v="675"/>
    <x v="0"/>
    <x v="0"/>
    <x v="19"/>
    <x v="3"/>
    <x v="0"/>
    <x v="0"/>
    <x v="0"/>
    <x v="0"/>
    <x v="0"/>
    <x v="589"/>
    <x v="3"/>
  </r>
  <r>
    <x v="749"/>
    <x v="0"/>
    <x v="0"/>
    <x v="578"/>
    <x v="650"/>
    <x v="0"/>
    <x v="0"/>
    <x v="14"/>
    <x v="0"/>
    <x v="1"/>
    <x v="0"/>
    <x v="1"/>
    <x v="0"/>
    <x v="1"/>
    <x v="590"/>
    <x v="28"/>
  </r>
  <r>
    <x v="750"/>
    <x v="1"/>
    <x v="2"/>
    <x v="579"/>
    <x v="676"/>
    <x v="2"/>
    <x v="1"/>
    <x v="9"/>
    <x v="2"/>
    <x v="0"/>
    <x v="1"/>
    <x v="3"/>
    <x v="1"/>
    <x v="0"/>
    <x v="591"/>
    <x v="68"/>
  </r>
  <r>
    <x v="751"/>
    <x v="1"/>
    <x v="0"/>
    <x v="580"/>
    <x v="677"/>
    <x v="3"/>
    <x v="0"/>
    <x v="83"/>
    <x v="2"/>
    <x v="1"/>
    <x v="1"/>
    <x v="0"/>
    <x v="1"/>
    <x v="0"/>
    <x v="592"/>
    <x v="57"/>
  </r>
  <r>
    <x v="752"/>
    <x v="0"/>
    <x v="0"/>
    <x v="581"/>
    <x v="678"/>
    <x v="0"/>
    <x v="0"/>
    <x v="40"/>
    <x v="0"/>
    <x v="1"/>
    <x v="0"/>
    <x v="1"/>
    <x v="0"/>
    <x v="1"/>
    <x v="593"/>
    <x v="59"/>
  </r>
  <r>
    <x v="753"/>
    <x v="0"/>
    <x v="0"/>
    <x v="582"/>
    <x v="28"/>
    <x v="0"/>
    <x v="0"/>
    <x v="41"/>
    <x v="0"/>
    <x v="1"/>
    <x v="0"/>
    <x v="1"/>
    <x v="0"/>
    <x v="1"/>
    <x v="594"/>
    <x v="25"/>
  </r>
  <r>
    <x v="754"/>
    <x v="1"/>
    <x v="2"/>
    <x v="490"/>
    <x v="679"/>
    <x v="1"/>
    <x v="1"/>
    <x v="76"/>
    <x v="0"/>
    <x v="0"/>
    <x v="2"/>
    <x v="6"/>
    <x v="1"/>
    <x v="2"/>
    <x v="503"/>
    <x v="216"/>
  </r>
  <r>
    <x v="755"/>
    <x v="1"/>
    <x v="2"/>
    <x v="216"/>
    <x v="680"/>
    <x v="3"/>
    <x v="0"/>
    <x v="84"/>
    <x v="2"/>
    <x v="0"/>
    <x v="1"/>
    <x v="3"/>
    <x v="1"/>
    <x v="0"/>
    <x v="221"/>
    <x v="80"/>
  </r>
  <r>
    <x v="756"/>
    <x v="0"/>
    <x v="0"/>
    <x v="583"/>
    <x v="681"/>
    <x v="0"/>
    <x v="0"/>
    <x v="17"/>
    <x v="0"/>
    <x v="1"/>
    <x v="0"/>
    <x v="1"/>
    <x v="0"/>
    <x v="1"/>
    <x v="595"/>
    <x v="88"/>
  </r>
  <r>
    <x v="757"/>
    <x v="0"/>
    <x v="2"/>
    <x v="584"/>
    <x v="682"/>
    <x v="0"/>
    <x v="0"/>
    <x v="24"/>
    <x v="3"/>
    <x v="1"/>
    <x v="0"/>
    <x v="1"/>
    <x v="0"/>
    <x v="1"/>
    <x v="596"/>
    <x v="86"/>
  </r>
  <r>
    <x v="758"/>
    <x v="0"/>
    <x v="0"/>
    <x v="585"/>
    <x v="683"/>
    <x v="0"/>
    <x v="0"/>
    <x v="15"/>
    <x v="0"/>
    <x v="1"/>
    <x v="0"/>
    <x v="1"/>
    <x v="0"/>
    <x v="1"/>
    <x v="597"/>
    <x v="4"/>
  </r>
  <r>
    <x v="759"/>
    <x v="1"/>
    <x v="1"/>
    <x v="586"/>
    <x v="684"/>
    <x v="15"/>
    <x v="2"/>
    <x v="40"/>
    <x v="0"/>
    <x v="1"/>
    <x v="0"/>
    <x v="1"/>
    <x v="1"/>
    <x v="1"/>
    <x v="230"/>
    <x v="126"/>
  </r>
  <r>
    <x v="760"/>
    <x v="0"/>
    <x v="0"/>
    <x v="587"/>
    <x v="184"/>
    <x v="0"/>
    <x v="0"/>
    <x v="4"/>
    <x v="1"/>
    <x v="1"/>
    <x v="0"/>
    <x v="1"/>
    <x v="0"/>
    <x v="1"/>
    <x v="476"/>
    <x v="80"/>
  </r>
  <r>
    <x v="761"/>
    <x v="0"/>
    <x v="0"/>
    <x v="588"/>
    <x v="685"/>
    <x v="0"/>
    <x v="0"/>
    <x v="66"/>
    <x v="0"/>
    <x v="1"/>
    <x v="0"/>
    <x v="1"/>
    <x v="0"/>
    <x v="1"/>
    <x v="598"/>
    <x v="123"/>
  </r>
  <r>
    <x v="762"/>
    <x v="1"/>
    <x v="0"/>
    <x v="589"/>
    <x v="686"/>
    <x v="0"/>
    <x v="0"/>
    <x v="11"/>
    <x v="0"/>
    <x v="1"/>
    <x v="0"/>
    <x v="1"/>
    <x v="1"/>
    <x v="1"/>
    <x v="599"/>
    <x v="32"/>
  </r>
  <r>
    <x v="763"/>
    <x v="1"/>
    <x v="1"/>
    <x v="218"/>
    <x v="687"/>
    <x v="1"/>
    <x v="1"/>
    <x v="62"/>
    <x v="0"/>
    <x v="0"/>
    <x v="2"/>
    <x v="6"/>
    <x v="1"/>
    <x v="2"/>
    <x v="334"/>
    <x v="168"/>
  </r>
  <r>
    <x v="764"/>
    <x v="0"/>
    <x v="0"/>
    <x v="590"/>
    <x v="688"/>
    <x v="0"/>
    <x v="0"/>
    <x v="36"/>
    <x v="3"/>
    <x v="1"/>
    <x v="0"/>
    <x v="1"/>
    <x v="0"/>
    <x v="1"/>
    <x v="600"/>
    <x v="71"/>
  </r>
  <r>
    <x v="765"/>
    <x v="1"/>
    <x v="1"/>
    <x v="591"/>
    <x v="689"/>
    <x v="1"/>
    <x v="1"/>
    <x v="54"/>
    <x v="0"/>
    <x v="0"/>
    <x v="0"/>
    <x v="0"/>
    <x v="1"/>
    <x v="0"/>
    <x v="245"/>
    <x v="133"/>
  </r>
  <r>
    <x v="766"/>
    <x v="0"/>
    <x v="1"/>
    <x v="592"/>
    <x v="690"/>
    <x v="6"/>
    <x v="0"/>
    <x v="4"/>
    <x v="1"/>
    <x v="1"/>
    <x v="0"/>
    <x v="1"/>
    <x v="0"/>
    <x v="1"/>
    <x v="601"/>
    <x v="205"/>
  </r>
  <r>
    <x v="767"/>
    <x v="0"/>
    <x v="0"/>
    <x v="593"/>
    <x v="344"/>
    <x v="2"/>
    <x v="1"/>
    <x v="85"/>
    <x v="0"/>
    <x v="1"/>
    <x v="0"/>
    <x v="1"/>
    <x v="0"/>
    <x v="1"/>
    <x v="602"/>
    <x v="28"/>
  </r>
  <r>
    <x v="768"/>
    <x v="0"/>
    <x v="0"/>
    <x v="5"/>
    <x v="691"/>
    <x v="0"/>
    <x v="0"/>
    <x v="4"/>
    <x v="1"/>
    <x v="0"/>
    <x v="0"/>
    <x v="0"/>
    <x v="0"/>
    <x v="0"/>
    <x v="106"/>
    <x v="72"/>
  </r>
  <r>
    <x v="769"/>
    <x v="0"/>
    <x v="0"/>
    <x v="594"/>
    <x v="692"/>
    <x v="0"/>
    <x v="0"/>
    <x v="35"/>
    <x v="0"/>
    <x v="1"/>
    <x v="0"/>
    <x v="1"/>
    <x v="0"/>
    <x v="1"/>
    <x v="603"/>
    <x v="230"/>
  </r>
  <r>
    <x v="770"/>
    <x v="0"/>
    <x v="0"/>
    <x v="595"/>
    <x v="693"/>
    <x v="0"/>
    <x v="0"/>
    <x v="42"/>
    <x v="0"/>
    <x v="1"/>
    <x v="0"/>
    <x v="1"/>
    <x v="0"/>
    <x v="1"/>
    <x v="604"/>
    <x v="59"/>
  </r>
  <r>
    <x v="771"/>
    <x v="0"/>
    <x v="0"/>
    <x v="507"/>
    <x v="694"/>
    <x v="0"/>
    <x v="0"/>
    <x v="76"/>
    <x v="0"/>
    <x v="1"/>
    <x v="0"/>
    <x v="1"/>
    <x v="0"/>
    <x v="1"/>
    <x v="605"/>
    <x v="13"/>
  </r>
  <r>
    <x v="772"/>
    <x v="0"/>
    <x v="2"/>
    <x v="596"/>
    <x v="695"/>
    <x v="1"/>
    <x v="1"/>
    <x v="79"/>
    <x v="0"/>
    <x v="1"/>
    <x v="0"/>
    <x v="1"/>
    <x v="0"/>
    <x v="1"/>
    <x v="606"/>
    <x v="29"/>
  </r>
  <r>
    <x v="773"/>
    <x v="0"/>
    <x v="0"/>
    <x v="299"/>
    <x v="696"/>
    <x v="0"/>
    <x v="0"/>
    <x v="4"/>
    <x v="1"/>
    <x v="1"/>
    <x v="0"/>
    <x v="1"/>
    <x v="0"/>
    <x v="1"/>
    <x v="607"/>
    <x v="18"/>
  </r>
  <r>
    <x v="774"/>
    <x v="1"/>
    <x v="2"/>
    <x v="434"/>
    <x v="697"/>
    <x v="1"/>
    <x v="1"/>
    <x v="5"/>
    <x v="0"/>
    <x v="0"/>
    <x v="4"/>
    <x v="2"/>
    <x v="1"/>
    <x v="2"/>
    <x v="608"/>
    <x v="68"/>
  </r>
  <r>
    <x v="775"/>
    <x v="0"/>
    <x v="0"/>
    <x v="597"/>
    <x v="698"/>
    <x v="0"/>
    <x v="0"/>
    <x v="24"/>
    <x v="3"/>
    <x v="1"/>
    <x v="0"/>
    <x v="1"/>
    <x v="0"/>
    <x v="1"/>
    <x v="609"/>
    <x v="28"/>
  </r>
  <r>
    <x v="776"/>
    <x v="0"/>
    <x v="0"/>
    <x v="598"/>
    <x v="699"/>
    <x v="0"/>
    <x v="0"/>
    <x v="4"/>
    <x v="1"/>
    <x v="1"/>
    <x v="0"/>
    <x v="1"/>
    <x v="0"/>
    <x v="1"/>
    <x v="610"/>
    <x v="28"/>
  </r>
  <r>
    <x v="777"/>
    <x v="1"/>
    <x v="0"/>
    <x v="599"/>
    <x v="700"/>
    <x v="2"/>
    <x v="1"/>
    <x v="31"/>
    <x v="2"/>
    <x v="1"/>
    <x v="0"/>
    <x v="1"/>
    <x v="1"/>
    <x v="1"/>
    <x v="77"/>
    <x v="57"/>
  </r>
  <r>
    <x v="778"/>
    <x v="0"/>
    <x v="0"/>
    <x v="600"/>
    <x v="701"/>
    <x v="0"/>
    <x v="0"/>
    <x v="4"/>
    <x v="1"/>
    <x v="1"/>
    <x v="0"/>
    <x v="1"/>
    <x v="0"/>
    <x v="1"/>
    <x v="611"/>
    <x v="229"/>
  </r>
  <r>
    <x v="779"/>
    <x v="1"/>
    <x v="1"/>
    <x v="601"/>
    <x v="702"/>
    <x v="1"/>
    <x v="1"/>
    <x v="71"/>
    <x v="0"/>
    <x v="1"/>
    <x v="1"/>
    <x v="0"/>
    <x v="1"/>
    <x v="0"/>
    <x v="550"/>
    <x v="224"/>
  </r>
  <r>
    <x v="780"/>
    <x v="1"/>
    <x v="0"/>
    <x v="602"/>
    <x v="703"/>
    <x v="2"/>
    <x v="1"/>
    <x v="75"/>
    <x v="3"/>
    <x v="1"/>
    <x v="0"/>
    <x v="1"/>
    <x v="1"/>
    <x v="1"/>
    <x v="612"/>
    <x v="32"/>
  </r>
  <r>
    <x v="781"/>
    <x v="1"/>
    <x v="1"/>
    <x v="540"/>
    <x v="704"/>
    <x v="1"/>
    <x v="1"/>
    <x v="34"/>
    <x v="3"/>
    <x v="0"/>
    <x v="0"/>
    <x v="0"/>
    <x v="1"/>
    <x v="0"/>
    <x v="551"/>
    <x v="225"/>
  </r>
  <r>
    <x v="782"/>
    <x v="0"/>
    <x v="1"/>
    <x v="603"/>
    <x v="705"/>
    <x v="0"/>
    <x v="0"/>
    <x v="28"/>
    <x v="0"/>
    <x v="1"/>
    <x v="0"/>
    <x v="1"/>
    <x v="0"/>
    <x v="1"/>
    <x v="613"/>
    <x v="209"/>
  </r>
  <r>
    <x v="783"/>
    <x v="0"/>
    <x v="0"/>
    <x v="604"/>
    <x v="706"/>
    <x v="0"/>
    <x v="0"/>
    <x v="4"/>
    <x v="1"/>
    <x v="0"/>
    <x v="2"/>
    <x v="6"/>
    <x v="0"/>
    <x v="2"/>
    <x v="614"/>
    <x v="231"/>
  </r>
  <r>
    <x v="784"/>
    <x v="0"/>
    <x v="0"/>
    <x v="185"/>
    <x v="187"/>
    <x v="0"/>
    <x v="0"/>
    <x v="37"/>
    <x v="0"/>
    <x v="1"/>
    <x v="0"/>
    <x v="1"/>
    <x v="0"/>
    <x v="1"/>
    <x v="615"/>
    <x v="79"/>
  </r>
  <r>
    <x v="785"/>
    <x v="0"/>
    <x v="0"/>
    <x v="605"/>
    <x v="707"/>
    <x v="0"/>
    <x v="0"/>
    <x v="37"/>
    <x v="0"/>
    <x v="1"/>
    <x v="0"/>
    <x v="1"/>
    <x v="0"/>
    <x v="1"/>
    <x v="616"/>
    <x v="0"/>
  </r>
  <r>
    <x v="786"/>
    <x v="1"/>
    <x v="0"/>
    <x v="606"/>
    <x v="138"/>
    <x v="2"/>
    <x v="1"/>
    <x v="24"/>
    <x v="3"/>
    <x v="1"/>
    <x v="0"/>
    <x v="1"/>
    <x v="1"/>
    <x v="1"/>
    <x v="617"/>
    <x v="196"/>
  </r>
  <r>
    <x v="787"/>
    <x v="0"/>
    <x v="0"/>
    <x v="16"/>
    <x v="708"/>
    <x v="3"/>
    <x v="0"/>
    <x v="18"/>
    <x v="2"/>
    <x v="3"/>
    <x v="1"/>
    <x v="5"/>
    <x v="0"/>
    <x v="2"/>
    <x v="16"/>
    <x v="15"/>
  </r>
  <r>
    <x v="788"/>
    <x v="1"/>
    <x v="0"/>
    <x v="88"/>
    <x v="709"/>
    <x v="3"/>
    <x v="0"/>
    <x v="58"/>
    <x v="2"/>
    <x v="0"/>
    <x v="2"/>
    <x v="6"/>
    <x v="1"/>
    <x v="2"/>
    <x v="90"/>
    <x v="65"/>
  </r>
  <r>
    <x v="789"/>
    <x v="0"/>
    <x v="1"/>
    <x v="607"/>
    <x v="301"/>
    <x v="0"/>
    <x v="0"/>
    <x v="43"/>
    <x v="0"/>
    <x v="1"/>
    <x v="0"/>
    <x v="1"/>
    <x v="0"/>
    <x v="1"/>
    <x v="129"/>
    <x v="84"/>
  </r>
  <r>
    <x v="790"/>
    <x v="0"/>
    <x v="0"/>
    <x v="264"/>
    <x v="710"/>
    <x v="0"/>
    <x v="0"/>
    <x v="4"/>
    <x v="1"/>
    <x v="1"/>
    <x v="0"/>
    <x v="1"/>
    <x v="0"/>
    <x v="1"/>
    <x v="618"/>
    <x v="28"/>
  </r>
  <r>
    <x v="791"/>
    <x v="0"/>
    <x v="2"/>
    <x v="608"/>
    <x v="378"/>
    <x v="0"/>
    <x v="0"/>
    <x v="36"/>
    <x v="3"/>
    <x v="1"/>
    <x v="0"/>
    <x v="1"/>
    <x v="0"/>
    <x v="1"/>
    <x v="20"/>
    <x v="19"/>
  </r>
  <r>
    <x v="792"/>
    <x v="0"/>
    <x v="0"/>
    <x v="144"/>
    <x v="711"/>
    <x v="2"/>
    <x v="1"/>
    <x v="4"/>
    <x v="1"/>
    <x v="6"/>
    <x v="2"/>
    <x v="8"/>
    <x v="0"/>
    <x v="2"/>
    <x v="148"/>
    <x v="94"/>
  </r>
  <r>
    <x v="793"/>
    <x v="0"/>
    <x v="1"/>
    <x v="198"/>
    <x v="712"/>
    <x v="0"/>
    <x v="0"/>
    <x v="4"/>
    <x v="1"/>
    <x v="1"/>
    <x v="0"/>
    <x v="1"/>
    <x v="0"/>
    <x v="1"/>
    <x v="619"/>
    <x v="101"/>
  </r>
  <r>
    <x v="794"/>
    <x v="0"/>
    <x v="0"/>
    <x v="609"/>
    <x v="713"/>
    <x v="0"/>
    <x v="0"/>
    <x v="37"/>
    <x v="0"/>
    <x v="1"/>
    <x v="0"/>
    <x v="1"/>
    <x v="0"/>
    <x v="1"/>
    <x v="620"/>
    <x v="25"/>
  </r>
  <r>
    <x v="795"/>
    <x v="0"/>
    <x v="2"/>
    <x v="610"/>
    <x v="714"/>
    <x v="0"/>
    <x v="0"/>
    <x v="12"/>
    <x v="0"/>
    <x v="1"/>
    <x v="0"/>
    <x v="1"/>
    <x v="0"/>
    <x v="1"/>
    <x v="621"/>
    <x v="16"/>
  </r>
  <r>
    <x v="796"/>
    <x v="1"/>
    <x v="1"/>
    <x v="611"/>
    <x v="715"/>
    <x v="6"/>
    <x v="0"/>
    <x v="27"/>
    <x v="0"/>
    <x v="1"/>
    <x v="0"/>
    <x v="1"/>
    <x v="1"/>
    <x v="1"/>
    <x v="622"/>
    <x v="232"/>
  </r>
  <r>
    <x v="797"/>
    <x v="1"/>
    <x v="0"/>
    <x v="612"/>
    <x v="716"/>
    <x v="1"/>
    <x v="1"/>
    <x v="14"/>
    <x v="0"/>
    <x v="1"/>
    <x v="0"/>
    <x v="1"/>
    <x v="1"/>
    <x v="1"/>
    <x v="623"/>
    <x v="233"/>
  </r>
  <r>
    <x v="798"/>
    <x v="0"/>
    <x v="0"/>
    <x v="613"/>
    <x v="717"/>
    <x v="0"/>
    <x v="0"/>
    <x v="39"/>
    <x v="0"/>
    <x v="1"/>
    <x v="0"/>
    <x v="1"/>
    <x v="0"/>
    <x v="1"/>
    <x v="624"/>
    <x v="32"/>
  </r>
  <r>
    <x v="799"/>
    <x v="0"/>
    <x v="0"/>
    <x v="347"/>
    <x v="718"/>
    <x v="1"/>
    <x v="1"/>
    <x v="39"/>
    <x v="0"/>
    <x v="0"/>
    <x v="1"/>
    <x v="3"/>
    <x v="0"/>
    <x v="0"/>
    <x v="357"/>
    <x v="72"/>
  </r>
  <r>
    <x v="800"/>
    <x v="0"/>
    <x v="2"/>
    <x v="614"/>
    <x v="123"/>
    <x v="0"/>
    <x v="0"/>
    <x v="15"/>
    <x v="0"/>
    <x v="1"/>
    <x v="0"/>
    <x v="1"/>
    <x v="0"/>
    <x v="1"/>
    <x v="567"/>
    <x v="16"/>
  </r>
  <r>
    <x v="801"/>
    <x v="1"/>
    <x v="2"/>
    <x v="208"/>
    <x v="719"/>
    <x v="1"/>
    <x v="1"/>
    <x v="14"/>
    <x v="0"/>
    <x v="0"/>
    <x v="1"/>
    <x v="3"/>
    <x v="1"/>
    <x v="0"/>
    <x v="212"/>
    <x v="121"/>
  </r>
  <r>
    <x v="802"/>
    <x v="1"/>
    <x v="1"/>
    <x v="218"/>
    <x v="720"/>
    <x v="3"/>
    <x v="0"/>
    <x v="32"/>
    <x v="2"/>
    <x v="0"/>
    <x v="2"/>
    <x v="6"/>
    <x v="1"/>
    <x v="2"/>
    <x v="334"/>
    <x v="168"/>
  </r>
  <r>
    <x v="803"/>
    <x v="1"/>
    <x v="0"/>
    <x v="615"/>
    <x v="721"/>
    <x v="3"/>
    <x v="0"/>
    <x v="86"/>
    <x v="2"/>
    <x v="1"/>
    <x v="1"/>
    <x v="0"/>
    <x v="1"/>
    <x v="0"/>
    <x v="625"/>
    <x v="234"/>
  </r>
  <r>
    <x v="804"/>
    <x v="1"/>
    <x v="0"/>
    <x v="616"/>
    <x v="722"/>
    <x v="0"/>
    <x v="0"/>
    <x v="7"/>
    <x v="0"/>
    <x v="1"/>
    <x v="0"/>
    <x v="1"/>
    <x v="1"/>
    <x v="1"/>
    <x v="626"/>
    <x v="78"/>
  </r>
  <r>
    <x v="805"/>
    <x v="0"/>
    <x v="0"/>
    <x v="98"/>
    <x v="723"/>
    <x v="0"/>
    <x v="0"/>
    <x v="14"/>
    <x v="0"/>
    <x v="1"/>
    <x v="0"/>
    <x v="1"/>
    <x v="0"/>
    <x v="1"/>
    <x v="627"/>
    <x v="71"/>
  </r>
  <r>
    <x v="806"/>
    <x v="0"/>
    <x v="1"/>
    <x v="240"/>
    <x v="724"/>
    <x v="0"/>
    <x v="0"/>
    <x v="12"/>
    <x v="0"/>
    <x v="1"/>
    <x v="0"/>
    <x v="1"/>
    <x v="0"/>
    <x v="1"/>
    <x v="628"/>
    <x v="104"/>
  </r>
  <r>
    <x v="807"/>
    <x v="0"/>
    <x v="0"/>
    <x v="617"/>
    <x v="725"/>
    <x v="2"/>
    <x v="1"/>
    <x v="24"/>
    <x v="3"/>
    <x v="1"/>
    <x v="0"/>
    <x v="1"/>
    <x v="0"/>
    <x v="1"/>
    <x v="629"/>
    <x v="71"/>
  </r>
  <r>
    <x v="808"/>
    <x v="0"/>
    <x v="2"/>
    <x v="33"/>
    <x v="726"/>
    <x v="0"/>
    <x v="0"/>
    <x v="12"/>
    <x v="0"/>
    <x v="1"/>
    <x v="0"/>
    <x v="1"/>
    <x v="0"/>
    <x v="1"/>
    <x v="630"/>
    <x v="16"/>
  </r>
  <r>
    <x v="809"/>
    <x v="1"/>
    <x v="1"/>
    <x v="561"/>
    <x v="727"/>
    <x v="1"/>
    <x v="1"/>
    <x v="40"/>
    <x v="0"/>
    <x v="0"/>
    <x v="0"/>
    <x v="0"/>
    <x v="1"/>
    <x v="0"/>
    <x v="575"/>
    <x v="3"/>
  </r>
  <r>
    <x v="810"/>
    <x v="0"/>
    <x v="0"/>
    <x v="618"/>
    <x v="187"/>
    <x v="0"/>
    <x v="0"/>
    <x v="2"/>
    <x v="0"/>
    <x v="1"/>
    <x v="0"/>
    <x v="1"/>
    <x v="0"/>
    <x v="1"/>
    <x v="631"/>
    <x v="235"/>
  </r>
  <r>
    <x v="811"/>
    <x v="0"/>
    <x v="0"/>
    <x v="619"/>
    <x v="5"/>
    <x v="0"/>
    <x v="0"/>
    <x v="12"/>
    <x v="0"/>
    <x v="1"/>
    <x v="0"/>
    <x v="1"/>
    <x v="0"/>
    <x v="1"/>
    <x v="467"/>
    <x v="72"/>
  </r>
  <r>
    <x v="812"/>
    <x v="0"/>
    <x v="2"/>
    <x v="620"/>
    <x v="728"/>
    <x v="0"/>
    <x v="0"/>
    <x v="3"/>
    <x v="0"/>
    <x v="1"/>
    <x v="0"/>
    <x v="1"/>
    <x v="0"/>
    <x v="1"/>
    <x v="632"/>
    <x v="29"/>
  </r>
  <r>
    <x v="813"/>
    <x v="0"/>
    <x v="0"/>
    <x v="13"/>
    <x v="729"/>
    <x v="2"/>
    <x v="1"/>
    <x v="83"/>
    <x v="2"/>
    <x v="3"/>
    <x v="2"/>
    <x v="4"/>
    <x v="0"/>
    <x v="2"/>
    <x v="13"/>
    <x v="12"/>
  </r>
  <r>
    <x v="814"/>
    <x v="0"/>
    <x v="0"/>
    <x v="621"/>
    <x v="730"/>
    <x v="0"/>
    <x v="0"/>
    <x v="85"/>
    <x v="0"/>
    <x v="1"/>
    <x v="0"/>
    <x v="1"/>
    <x v="0"/>
    <x v="1"/>
    <x v="633"/>
    <x v="4"/>
  </r>
  <r>
    <x v="815"/>
    <x v="0"/>
    <x v="1"/>
    <x v="622"/>
    <x v="714"/>
    <x v="0"/>
    <x v="0"/>
    <x v="4"/>
    <x v="1"/>
    <x v="1"/>
    <x v="0"/>
    <x v="1"/>
    <x v="0"/>
    <x v="1"/>
    <x v="634"/>
    <x v="104"/>
  </r>
  <r>
    <x v="816"/>
    <x v="0"/>
    <x v="0"/>
    <x v="623"/>
    <x v="731"/>
    <x v="2"/>
    <x v="1"/>
    <x v="41"/>
    <x v="0"/>
    <x v="1"/>
    <x v="0"/>
    <x v="1"/>
    <x v="0"/>
    <x v="1"/>
    <x v="635"/>
    <x v="2"/>
  </r>
  <r>
    <x v="817"/>
    <x v="0"/>
    <x v="2"/>
    <x v="624"/>
    <x v="732"/>
    <x v="0"/>
    <x v="0"/>
    <x v="14"/>
    <x v="0"/>
    <x v="0"/>
    <x v="1"/>
    <x v="3"/>
    <x v="0"/>
    <x v="0"/>
    <x v="636"/>
    <x v="236"/>
  </r>
  <r>
    <x v="818"/>
    <x v="0"/>
    <x v="0"/>
    <x v="625"/>
    <x v="733"/>
    <x v="0"/>
    <x v="0"/>
    <x v="71"/>
    <x v="0"/>
    <x v="1"/>
    <x v="0"/>
    <x v="1"/>
    <x v="0"/>
    <x v="1"/>
    <x v="637"/>
    <x v="237"/>
  </r>
  <r>
    <x v="819"/>
    <x v="0"/>
    <x v="0"/>
    <x v="61"/>
    <x v="734"/>
    <x v="3"/>
    <x v="0"/>
    <x v="73"/>
    <x v="2"/>
    <x v="2"/>
    <x v="2"/>
    <x v="5"/>
    <x v="0"/>
    <x v="2"/>
    <x v="62"/>
    <x v="48"/>
  </r>
  <r>
    <x v="820"/>
    <x v="1"/>
    <x v="1"/>
    <x v="269"/>
    <x v="735"/>
    <x v="1"/>
    <x v="1"/>
    <x v="67"/>
    <x v="0"/>
    <x v="0"/>
    <x v="1"/>
    <x v="3"/>
    <x v="1"/>
    <x v="0"/>
    <x v="435"/>
    <x v="198"/>
  </r>
  <r>
    <x v="821"/>
    <x v="1"/>
    <x v="0"/>
    <x v="626"/>
    <x v="736"/>
    <x v="0"/>
    <x v="0"/>
    <x v="7"/>
    <x v="0"/>
    <x v="1"/>
    <x v="0"/>
    <x v="1"/>
    <x v="1"/>
    <x v="1"/>
    <x v="638"/>
    <x v="51"/>
  </r>
  <r>
    <x v="822"/>
    <x v="0"/>
    <x v="1"/>
    <x v="627"/>
    <x v="737"/>
    <x v="16"/>
    <x v="2"/>
    <x v="1"/>
    <x v="0"/>
    <x v="1"/>
    <x v="0"/>
    <x v="1"/>
    <x v="0"/>
    <x v="1"/>
    <x v="639"/>
    <x v="104"/>
  </r>
  <r>
    <x v="823"/>
    <x v="1"/>
    <x v="0"/>
    <x v="580"/>
    <x v="738"/>
    <x v="1"/>
    <x v="1"/>
    <x v="7"/>
    <x v="0"/>
    <x v="1"/>
    <x v="1"/>
    <x v="0"/>
    <x v="1"/>
    <x v="0"/>
    <x v="592"/>
    <x v="57"/>
  </r>
  <r>
    <x v="824"/>
    <x v="0"/>
    <x v="0"/>
    <x v="48"/>
    <x v="739"/>
    <x v="3"/>
    <x v="0"/>
    <x v="6"/>
    <x v="2"/>
    <x v="3"/>
    <x v="1"/>
    <x v="5"/>
    <x v="0"/>
    <x v="2"/>
    <x v="49"/>
    <x v="40"/>
  </r>
  <r>
    <x v="825"/>
    <x v="0"/>
    <x v="0"/>
    <x v="355"/>
    <x v="184"/>
    <x v="0"/>
    <x v="0"/>
    <x v="4"/>
    <x v="1"/>
    <x v="1"/>
    <x v="0"/>
    <x v="1"/>
    <x v="0"/>
    <x v="1"/>
    <x v="640"/>
    <x v="238"/>
  </r>
  <r>
    <x v="826"/>
    <x v="0"/>
    <x v="0"/>
    <x v="542"/>
    <x v="740"/>
    <x v="0"/>
    <x v="0"/>
    <x v="4"/>
    <x v="1"/>
    <x v="1"/>
    <x v="0"/>
    <x v="1"/>
    <x v="0"/>
    <x v="1"/>
    <x v="72"/>
    <x v="54"/>
  </r>
  <r>
    <x v="827"/>
    <x v="1"/>
    <x v="2"/>
    <x v="624"/>
    <x v="741"/>
    <x v="3"/>
    <x v="0"/>
    <x v="58"/>
    <x v="2"/>
    <x v="1"/>
    <x v="2"/>
    <x v="3"/>
    <x v="1"/>
    <x v="0"/>
    <x v="636"/>
    <x v="236"/>
  </r>
  <r>
    <x v="828"/>
    <x v="1"/>
    <x v="0"/>
    <x v="628"/>
    <x v="742"/>
    <x v="0"/>
    <x v="0"/>
    <x v="4"/>
    <x v="1"/>
    <x v="1"/>
    <x v="0"/>
    <x v="1"/>
    <x v="1"/>
    <x v="1"/>
    <x v="641"/>
    <x v="28"/>
  </r>
  <r>
    <x v="829"/>
    <x v="1"/>
    <x v="1"/>
    <x v="629"/>
    <x v="743"/>
    <x v="1"/>
    <x v="1"/>
    <x v="65"/>
    <x v="4"/>
    <x v="1"/>
    <x v="0"/>
    <x v="1"/>
    <x v="1"/>
    <x v="1"/>
    <x v="60"/>
    <x v="46"/>
  </r>
  <r>
    <x v="830"/>
    <x v="1"/>
    <x v="0"/>
    <x v="492"/>
    <x v="744"/>
    <x v="1"/>
    <x v="1"/>
    <x v="16"/>
    <x v="3"/>
    <x v="0"/>
    <x v="0"/>
    <x v="0"/>
    <x v="1"/>
    <x v="0"/>
    <x v="505"/>
    <x v="53"/>
  </r>
  <r>
    <x v="831"/>
    <x v="1"/>
    <x v="2"/>
    <x v="338"/>
    <x v="745"/>
    <x v="3"/>
    <x v="0"/>
    <x v="38"/>
    <x v="2"/>
    <x v="0"/>
    <x v="1"/>
    <x v="3"/>
    <x v="1"/>
    <x v="0"/>
    <x v="348"/>
    <x v="170"/>
  </r>
  <r>
    <x v="832"/>
    <x v="0"/>
    <x v="0"/>
    <x v="543"/>
    <x v="746"/>
    <x v="0"/>
    <x v="0"/>
    <x v="4"/>
    <x v="1"/>
    <x v="1"/>
    <x v="0"/>
    <x v="1"/>
    <x v="0"/>
    <x v="1"/>
    <x v="642"/>
    <x v="32"/>
  </r>
  <r>
    <x v="833"/>
    <x v="0"/>
    <x v="0"/>
    <x v="630"/>
    <x v="732"/>
    <x v="0"/>
    <x v="0"/>
    <x v="41"/>
    <x v="0"/>
    <x v="1"/>
    <x v="0"/>
    <x v="1"/>
    <x v="0"/>
    <x v="1"/>
    <x v="643"/>
    <x v="13"/>
  </r>
  <r>
    <x v="834"/>
    <x v="0"/>
    <x v="0"/>
    <x v="631"/>
    <x v="747"/>
    <x v="0"/>
    <x v="0"/>
    <x v="24"/>
    <x v="3"/>
    <x v="1"/>
    <x v="0"/>
    <x v="1"/>
    <x v="0"/>
    <x v="1"/>
    <x v="644"/>
    <x v="239"/>
  </r>
  <r>
    <x v="835"/>
    <x v="1"/>
    <x v="1"/>
    <x v="632"/>
    <x v="748"/>
    <x v="2"/>
    <x v="1"/>
    <x v="12"/>
    <x v="0"/>
    <x v="0"/>
    <x v="1"/>
    <x v="3"/>
    <x v="1"/>
    <x v="0"/>
    <x v="645"/>
    <x v="147"/>
  </r>
  <r>
    <x v="836"/>
    <x v="0"/>
    <x v="0"/>
    <x v="633"/>
    <x v="749"/>
    <x v="0"/>
    <x v="0"/>
    <x v="23"/>
    <x v="0"/>
    <x v="1"/>
    <x v="0"/>
    <x v="1"/>
    <x v="0"/>
    <x v="1"/>
    <x v="646"/>
    <x v="51"/>
  </r>
  <r>
    <x v="837"/>
    <x v="0"/>
    <x v="0"/>
    <x v="634"/>
    <x v="433"/>
    <x v="0"/>
    <x v="0"/>
    <x v="4"/>
    <x v="1"/>
    <x v="1"/>
    <x v="0"/>
    <x v="1"/>
    <x v="0"/>
    <x v="1"/>
    <x v="647"/>
    <x v="4"/>
  </r>
  <r>
    <x v="838"/>
    <x v="1"/>
    <x v="0"/>
    <x v="635"/>
    <x v="750"/>
    <x v="0"/>
    <x v="0"/>
    <x v="35"/>
    <x v="0"/>
    <x v="1"/>
    <x v="0"/>
    <x v="1"/>
    <x v="1"/>
    <x v="1"/>
    <x v="72"/>
    <x v="54"/>
  </r>
  <r>
    <x v="839"/>
    <x v="1"/>
    <x v="1"/>
    <x v="636"/>
    <x v="751"/>
    <x v="0"/>
    <x v="0"/>
    <x v="4"/>
    <x v="1"/>
    <x v="1"/>
    <x v="0"/>
    <x v="1"/>
    <x v="1"/>
    <x v="1"/>
    <x v="648"/>
    <x v="132"/>
  </r>
  <r>
    <x v="840"/>
    <x v="0"/>
    <x v="0"/>
    <x v="637"/>
    <x v="752"/>
    <x v="0"/>
    <x v="0"/>
    <x v="11"/>
    <x v="0"/>
    <x v="1"/>
    <x v="0"/>
    <x v="1"/>
    <x v="0"/>
    <x v="1"/>
    <x v="649"/>
    <x v="2"/>
  </r>
  <r>
    <x v="841"/>
    <x v="0"/>
    <x v="2"/>
    <x v="638"/>
    <x v="753"/>
    <x v="0"/>
    <x v="0"/>
    <x v="36"/>
    <x v="3"/>
    <x v="1"/>
    <x v="0"/>
    <x v="1"/>
    <x v="0"/>
    <x v="1"/>
    <x v="606"/>
    <x v="29"/>
  </r>
  <r>
    <x v="842"/>
    <x v="1"/>
    <x v="1"/>
    <x v="639"/>
    <x v="754"/>
    <x v="2"/>
    <x v="1"/>
    <x v="39"/>
    <x v="0"/>
    <x v="1"/>
    <x v="0"/>
    <x v="1"/>
    <x v="1"/>
    <x v="1"/>
    <x v="241"/>
    <x v="113"/>
  </r>
  <r>
    <x v="843"/>
    <x v="0"/>
    <x v="0"/>
    <x v="640"/>
    <x v="755"/>
    <x v="0"/>
    <x v="0"/>
    <x v="87"/>
    <x v="0"/>
    <x v="1"/>
    <x v="0"/>
    <x v="1"/>
    <x v="0"/>
    <x v="1"/>
    <x v="650"/>
    <x v="240"/>
  </r>
  <r>
    <x v="844"/>
    <x v="0"/>
    <x v="0"/>
    <x v="641"/>
    <x v="756"/>
    <x v="0"/>
    <x v="0"/>
    <x v="34"/>
    <x v="3"/>
    <x v="1"/>
    <x v="0"/>
    <x v="1"/>
    <x v="0"/>
    <x v="1"/>
    <x v="651"/>
    <x v="51"/>
  </r>
  <r>
    <x v="845"/>
    <x v="0"/>
    <x v="0"/>
    <x v="642"/>
    <x v="757"/>
    <x v="0"/>
    <x v="0"/>
    <x v="22"/>
    <x v="0"/>
    <x v="1"/>
    <x v="0"/>
    <x v="1"/>
    <x v="0"/>
    <x v="1"/>
    <x v="652"/>
    <x v="120"/>
  </r>
  <r>
    <x v="846"/>
    <x v="0"/>
    <x v="0"/>
    <x v="144"/>
    <x v="758"/>
    <x v="0"/>
    <x v="0"/>
    <x v="4"/>
    <x v="1"/>
    <x v="6"/>
    <x v="2"/>
    <x v="8"/>
    <x v="0"/>
    <x v="2"/>
    <x v="148"/>
    <x v="94"/>
  </r>
  <r>
    <x v="847"/>
    <x v="0"/>
    <x v="0"/>
    <x v="643"/>
    <x v="759"/>
    <x v="0"/>
    <x v="0"/>
    <x v="3"/>
    <x v="0"/>
    <x v="1"/>
    <x v="0"/>
    <x v="1"/>
    <x v="0"/>
    <x v="1"/>
    <x v="653"/>
    <x v="25"/>
  </r>
  <r>
    <x v="848"/>
    <x v="0"/>
    <x v="2"/>
    <x v="50"/>
    <x v="184"/>
    <x v="5"/>
    <x v="0"/>
    <x v="17"/>
    <x v="0"/>
    <x v="1"/>
    <x v="1"/>
    <x v="0"/>
    <x v="0"/>
    <x v="0"/>
    <x v="491"/>
    <x v="213"/>
  </r>
  <r>
    <x v="849"/>
    <x v="1"/>
    <x v="1"/>
    <x v="373"/>
    <x v="760"/>
    <x v="1"/>
    <x v="1"/>
    <x v="4"/>
    <x v="1"/>
    <x v="0"/>
    <x v="0"/>
    <x v="0"/>
    <x v="1"/>
    <x v="0"/>
    <x v="383"/>
    <x v="180"/>
  </r>
  <r>
    <x v="850"/>
    <x v="0"/>
    <x v="0"/>
    <x v="13"/>
    <x v="761"/>
    <x v="3"/>
    <x v="0"/>
    <x v="9"/>
    <x v="2"/>
    <x v="3"/>
    <x v="2"/>
    <x v="4"/>
    <x v="0"/>
    <x v="2"/>
    <x v="13"/>
    <x v="12"/>
  </r>
  <r>
    <x v="851"/>
    <x v="0"/>
    <x v="0"/>
    <x v="409"/>
    <x v="126"/>
    <x v="0"/>
    <x v="0"/>
    <x v="88"/>
    <x v="4"/>
    <x v="1"/>
    <x v="0"/>
    <x v="1"/>
    <x v="0"/>
    <x v="1"/>
    <x v="654"/>
    <x v="71"/>
  </r>
  <r>
    <x v="852"/>
    <x v="0"/>
    <x v="0"/>
    <x v="128"/>
    <x v="762"/>
    <x v="2"/>
    <x v="1"/>
    <x v="52"/>
    <x v="2"/>
    <x v="0"/>
    <x v="1"/>
    <x v="3"/>
    <x v="0"/>
    <x v="0"/>
    <x v="130"/>
    <x v="49"/>
  </r>
  <r>
    <x v="853"/>
    <x v="1"/>
    <x v="1"/>
    <x v="644"/>
    <x v="763"/>
    <x v="2"/>
    <x v="1"/>
    <x v="36"/>
    <x v="3"/>
    <x v="1"/>
    <x v="1"/>
    <x v="0"/>
    <x v="1"/>
    <x v="0"/>
    <x v="655"/>
    <x v="241"/>
  </r>
  <r>
    <x v="854"/>
    <x v="0"/>
    <x v="2"/>
    <x v="218"/>
    <x v="764"/>
    <x v="1"/>
    <x v="1"/>
    <x v="57"/>
    <x v="0"/>
    <x v="0"/>
    <x v="0"/>
    <x v="0"/>
    <x v="0"/>
    <x v="0"/>
    <x v="223"/>
    <x v="19"/>
  </r>
  <r>
    <x v="855"/>
    <x v="1"/>
    <x v="0"/>
    <x v="645"/>
    <x v="765"/>
    <x v="1"/>
    <x v="1"/>
    <x v="24"/>
    <x v="3"/>
    <x v="1"/>
    <x v="1"/>
    <x v="0"/>
    <x v="1"/>
    <x v="0"/>
    <x v="656"/>
    <x v="118"/>
  </r>
  <r>
    <x v="856"/>
    <x v="1"/>
    <x v="1"/>
    <x v="276"/>
    <x v="766"/>
    <x v="1"/>
    <x v="1"/>
    <x v="33"/>
    <x v="0"/>
    <x v="0"/>
    <x v="1"/>
    <x v="3"/>
    <x v="1"/>
    <x v="0"/>
    <x v="283"/>
    <x v="150"/>
  </r>
  <r>
    <x v="857"/>
    <x v="1"/>
    <x v="1"/>
    <x v="417"/>
    <x v="767"/>
    <x v="0"/>
    <x v="0"/>
    <x v="54"/>
    <x v="0"/>
    <x v="1"/>
    <x v="0"/>
    <x v="1"/>
    <x v="1"/>
    <x v="1"/>
    <x v="657"/>
    <x v="11"/>
  </r>
  <r>
    <x v="858"/>
    <x v="1"/>
    <x v="0"/>
    <x v="369"/>
    <x v="768"/>
    <x v="1"/>
    <x v="1"/>
    <x v="42"/>
    <x v="0"/>
    <x v="1"/>
    <x v="4"/>
    <x v="6"/>
    <x v="1"/>
    <x v="2"/>
    <x v="379"/>
    <x v="178"/>
  </r>
  <r>
    <x v="859"/>
    <x v="0"/>
    <x v="0"/>
    <x v="646"/>
    <x v="769"/>
    <x v="0"/>
    <x v="0"/>
    <x v="4"/>
    <x v="1"/>
    <x v="1"/>
    <x v="0"/>
    <x v="1"/>
    <x v="0"/>
    <x v="1"/>
    <x v="658"/>
    <x v="32"/>
  </r>
  <r>
    <x v="860"/>
    <x v="0"/>
    <x v="0"/>
    <x v="494"/>
    <x v="770"/>
    <x v="0"/>
    <x v="0"/>
    <x v="66"/>
    <x v="0"/>
    <x v="4"/>
    <x v="0"/>
    <x v="3"/>
    <x v="0"/>
    <x v="0"/>
    <x v="659"/>
    <x v="242"/>
  </r>
  <r>
    <x v="861"/>
    <x v="0"/>
    <x v="2"/>
    <x v="647"/>
    <x v="771"/>
    <x v="0"/>
    <x v="0"/>
    <x v="23"/>
    <x v="0"/>
    <x v="0"/>
    <x v="0"/>
    <x v="0"/>
    <x v="0"/>
    <x v="0"/>
    <x v="660"/>
    <x v="86"/>
  </r>
  <r>
    <x v="862"/>
    <x v="1"/>
    <x v="1"/>
    <x v="648"/>
    <x v="772"/>
    <x v="1"/>
    <x v="1"/>
    <x v="76"/>
    <x v="0"/>
    <x v="1"/>
    <x v="0"/>
    <x v="1"/>
    <x v="1"/>
    <x v="1"/>
    <x v="661"/>
    <x v="232"/>
  </r>
  <r>
    <x v="863"/>
    <x v="0"/>
    <x v="0"/>
    <x v="144"/>
    <x v="773"/>
    <x v="2"/>
    <x v="1"/>
    <x v="4"/>
    <x v="1"/>
    <x v="6"/>
    <x v="2"/>
    <x v="8"/>
    <x v="0"/>
    <x v="2"/>
    <x v="148"/>
    <x v="94"/>
  </r>
  <r>
    <x v="864"/>
    <x v="0"/>
    <x v="2"/>
    <x v="649"/>
    <x v="774"/>
    <x v="0"/>
    <x v="0"/>
    <x v="42"/>
    <x v="0"/>
    <x v="1"/>
    <x v="0"/>
    <x v="1"/>
    <x v="0"/>
    <x v="1"/>
    <x v="662"/>
    <x v="16"/>
  </r>
  <r>
    <x v="865"/>
    <x v="1"/>
    <x v="2"/>
    <x v="650"/>
    <x v="775"/>
    <x v="1"/>
    <x v="1"/>
    <x v="22"/>
    <x v="0"/>
    <x v="1"/>
    <x v="0"/>
    <x v="1"/>
    <x v="1"/>
    <x v="1"/>
    <x v="663"/>
    <x v="16"/>
  </r>
  <r>
    <x v="866"/>
    <x v="1"/>
    <x v="2"/>
    <x v="651"/>
    <x v="776"/>
    <x v="2"/>
    <x v="1"/>
    <x v="7"/>
    <x v="0"/>
    <x v="0"/>
    <x v="0"/>
    <x v="0"/>
    <x v="1"/>
    <x v="0"/>
    <x v="664"/>
    <x v="243"/>
  </r>
  <r>
    <x v="867"/>
    <x v="0"/>
    <x v="1"/>
    <x v="652"/>
    <x v="777"/>
    <x v="0"/>
    <x v="0"/>
    <x v="14"/>
    <x v="0"/>
    <x v="1"/>
    <x v="0"/>
    <x v="1"/>
    <x v="0"/>
    <x v="1"/>
    <x v="665"/>
    <x v="244"/>
  </r>
  <r>
    <x v="868"/>
    <x v="0"/>
    <x v="0"/>
    <x v="653"/>
    <x v="778"/>
    <x v="0"/>
    <x v="0"/>
    <x v="4"/>
    <x v="1"/>
    <x v="1"/>
    <x v="0"/>
    <x v="1"/>
    <x v="0"/>
    <x v="1"/>
    <x v="666"/>
    <x v="59"/>
  </r>
  <r>
    <x v="869"/>
    <x v="1"/>
    <x v="0"/>
    <x v="8"/>
    <x v="779"/>
    <x v="3"/>
    <x v="0"/>
    <x v="9"/>
    <x v="2"/>
    <x v="0"/>
    <x v="1"/>
    <x v="3"/>
    <x v="1"/>
    <x v="0"/>
    <x v="8"/>
    <x v="8"/>
  </r>
  <r>
    <x v="870"/>
    <x v="0"/>
    <x v="0"/>
    <x v="654"/>
    <x v="780"/>
    <x v="0"/>
    <x v="0"/>
    <x v="2"/>
    <x v="0"/>
    <x v="1"/>
    <x v="0"/>
    <x v="1"/>
    <x v="0"/>
    <x v="1"/>
    <x v="667"/>
    <x v="25"/>
  </r>
  <r>
    <x v="871"/>
    <x v="1"/>
    <x v="1"/>
    <x v="217"/>
    <x v="781"/>
    <x v="1"/>
    <x v="1"/>
    <x v="47"/>
    <x v="0"/>
    <x v="0"/>
    <x v="1"/>
    <x v="3"/>
    <x v="1"/>
    <x v="0"/>
    <x v="222"/>
    <x v="124"/>
  </r>
  <r>
    <x v="872"/>
    <x v="0"/>
    <x v="1"/>
    <x v="583"/>
    <x v="782"/>
    <x v="0"/>
    <x v="0"/>
    <x v="40"/>
    <x v="0"/>
    <x v="1"/>
    <x v="0"/>
    <x v="1"/>
    <x v="0"/>
    <x v="1"/>
    <x v="668"/>
    <x v="245"/>
  </r>
  <r>
    <x v="873"/>
    <x v="0"/>
    <x v="0"/>
    <x v="655"/>
    <x v="136"/>
    <x v="0"/>
    <x v="0"/>
    <x v="47"/>
    <x v="0"/>
    <x v="1"/>
    <x v="0"/>
    <x v="1"/>
    <x v="0"/>
    <x v="1"/>
    <x v="669"/>
    <x v="58"/>
  </r>
  <r>
    <x v="874"/>
    <x v="1"/>
    <x v="2"/>
    <x v="267"/>
    <x v="783"/>
    <x v="1"/>
    <x v="1"/>
    <x v="17"/>
    <x v="0"/>
    <x v="0"/>
    <x v="0"/>
    <x v="0"/>
    <x v="1"/>
    <x v="0"/>
    <x v="274"/>
    <x v="145"/>
  </r>
  <r>
    <x v="875"/>
    <x v="1"/>
    <x v="0"/>
    <x v="656"/>
    <x v="784"/>
    <x v="2"/>
    <x v="1"/>
    <x v="16"/>
    <x v="3"/>
    <x v="1"/>
    <x v="0"/>
    <x v="1"/>
    <x v="1"/>
    <x v="1"/>
    <x v="670"/>
    <x v="18"/>
  </r>
  <r>
    <x v="876"/>
    <x v="0"/>
    <x v="0"/>
    <x v="99"/>
    <x v="785"/>
    <x v="0"/>
    <x v="0"/>
    <x v="11"/>
    <x v="0"/>
    <x v="1"/>
    <x v="0"/>
    <x v="1"/>
    <x v="0"/>
    <x v="1"/>
    <x v="128"/>
    <x v="246"/>
  </r>
  <r>
    <x v="877"/>
    <x v="0"/>
    <x v="0"/>
    <x v="96"/>
    <x v="786"/>
    <x v="0"/>
    <x v="0"/>
    <x v="19"/>
    <x v="3"/>
    <x v="1"/>
    <x v="0"/>
    <x v="1"/>
    <x v="0"/>
    <x v="1"/>
    <x v="671"/>
    <x v="25"/>
  </r>
  <r>
    <x v="878"/>
    <x v="0"/>
    <x v="0"/>
    <x v="657"/>
    <x v="787"/>
    <x v="0"/>
    <x v="0"/>
    <x v="4"/>
    <x v="1"/>
    <x v="1"/>
    <x v="0"/>
    <x v="1"/>
    <x v="0"/>
    <x v="1"/>
    <x v="672"/>
    <x v="25"/>
  </r>
  <r>
    <x v="879"/>
    <x v="1"/>
    <x v="1"/>
    <x v="658"/>
    <x v="788"/>
    <x v="1"/>
    <x v="1"/>
    <x v="60"/>
    <x v="0"/>
    <x v="1"/>
    <x v="1"/>
    <x v="0"/>
    <x v="1"/>
    <x v="0"/>
    <x v="276"/>
    <x v="147"/>
  </r>
  <r>
    <x v="880"/>
    <x v="1"/>
    <x v="2"/>
    <x v="659"/>
    <x v="789"/>
    <x v="1"/>
    <x v="1"/>
    <x v="37"/>
    <x v="0"/>
    <x v="1"/>
    <x v="1"/>
    <x v="0"/>
    <x v="1"/>
    <x v="0"/>
    <x v="232"/>
    <x v="19"/>
  </r>
  <r>
    <x v="881"/>
    <x v="0"/>
    <x v="0"/>
    <x v="660"/>
    <x v="790"/>
    <x v="0"/>
    <x v="0"/>
    <x v="40"/>
    <x v="0"/>
    <x v="1"/>
    <x v="0"/>
    <x v="1"/>
    <x v="0"/>
    <x v="1"/>
    <x v="673"/>
    <x v="25"/>
  </r>
  <r>
    <x v="882"/>
    <x v="0"/>
    <x v="0"/>
    <x v="661"/>
    <x v="791"/>
    <x v="2"/>
    <x v="1"/>
    <x v="0"/>
    <x v="0"/>
    <x v="1"/>
    <x v="0"/>
    <x v="1"/>
    <x v="0"/>
    <x v="1"/>
    <x v="674"/>
    <x v="247"/>
  </r>
  <r>
    <x v="883"/>
    <x v="0"/>
    <x v="2"/>
    <x v="662"/>
    <x v="792"/>
    <x v="0"/>
    <x v="0"/>
    <x v="17"/>
    <x v="0"/>
    <x v="1"/>
    <x v="0"/>
    <x v="1"/>
    <x v="0"/>
    <x v="1"/>
    <x v="675"/>
    <x v="29"/>
  </r>
  <r>
    <x v="884"/>
    <x v="0"/>
    <x v="0"/>
    <x v="663"/>
    <x v="793"/>
    <x v="0"/>
    <x v="0"/>
    <x v="37"/>
    <x v="0"/>
    <x v="1"/>
    <x v="0"/>
    <x v="1"/>
    <x v="0"/>
    <x v="1"/>
    <x v="676"/>
    <x v="79"/>
  </r>
  <r>
    <x v="885"/>
    <x v="0"/>
    <x v="0"/>
    <x v="16"/>
    <x v="794"/>
    <x v="1"/>
    <x v="1"/>
    <x v="12"/>
    <x v="0"/>
    <x v="1"/>
    <x v="3"/>
    <x v="5"/>
    <x v="0"/>
    <x v="2"/>
    <x v="16"/>
    <x v="15"/>
  </r>
  <r>
    <x v="886"/>
    <x v="0"/>
    <x v="2"/>
    <x v="664"/>
    <x v="795"/>
    <x v="5"/>
    <x v="0"/>
    <x v="7"/>
    <x v="0"/>
    <x v="1"/>
    <x v="0"/>
    <x v="1"/>
    <x v="0"/>
    <x v="1"/>
    <x v="677"/>
    <x v="16"/>
  </r>
  <r>
    <x v="887"/>
    <x v="1"/>
    <x v="1"/>
    <x v="233"/>
    <x v="796"/>
    <x v="2"/>
    <x v="1"/>
    <x v="19"/>
    <x v="3"/>
    <x v="1"/>
    <x v="0"/>
    <x v="1"/>
    <x v="1"/>
    <x v="1"/>
    <x v="678"/>
    <x v="209"/>
  </r>
  <r>
    <x v="888"/>
    <x v="0"/>
    <x v="0"/>
    <x v="604"/>
    <x v="797"/>
    <x v="2"/>
    <x v="1"/>
    <x v="4"/>
    <x v="1"/>
    <x v="0"/>
    <x v="2"/>
    <x v="6"/>
    <x v="0"/>
    <x v="2"/>
    <x v="614"/>
    <x v="231"/>
  </r>
  <r>
    <x v="889"/>
    <x v="1"/>
    <x v="1"/>
    <x v="665"/>
    <x v="798"/>
    <x v="0"/>
    <x v="0"/>
    <x v="2"/>
    <x v="0"/>
    <x v="1"/>
    <x v="0"/>
    <x v="1"/>
    <x v="1"/>
    <x v="1"/>
    <x v="679"/>
    <x v="209"/>
  </r>
  <r>
    <x v="890"/>
    <x v="0"/>
    <x v="0"/>
    <x v="666"/>
    <x v="113"/>
    <x v="0"/>
    <x v="0"/>
    <x v="35"/>
    <x v="0"/>
    <x v="1"/>
    <x v="0"/>
    <x v="1"/>
    <x v="0"/>
    <x v="1"/>
    <x v="680"/>
    <x v="2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9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0"/>
    <x v="0"/>
    <x v="0"/>
    <x v="1"/>
    <x v="0"/>
    <x v="1"/>
    <x v="1"/>
    <x v="1"/>
    <x v="1"/>
    <x v="1"/>
    <x v="1"/>
  </r>
  <r>
    <x v="2"/>
    <x v="1"/>
    <x v="0"/>
    <x v="2"/>
    <x v="2"/>
    <x v="2"/>
    <x v="1"/>
    <x v="2"/>
    <x v="0"/>
    <x v="1"/>
    <x v="0"/>
    <x v="1"/>
    <x v="1"/>
    <x v="1"/>
    <x v="2"/>
    <x v="2"/>
    <x v="0"/>
    <x v="0"/>
    <x v="0"/>
    <x v="0"/>
  </r>
  <r>
    <x v="3"/>
    <x v="1"/>
    <x v="1"/>
    <x v="3"/>
    <x v="3"/>
    <x v="1"/>
    <x v="1"/>
    <x v="3"/>
    <x v="0"/>
    <x v="0"/>
    <x v="0"/>
    <x v="0"/>
    <x v="1"/>
    <x v="0"/>
    <x v="3"/>
    <x v="3"/>
    <x v="1"/>
    <x v="2"/>
    <x v="0"/>
    <x v="0"/>
  </r>
  <r>
    <x v="4"/>
    <x v="0"/>
    <x v="0"/>
    <x v="4"/>
    <x v="4"/>
    <x v="0"/>
    <x v="0"/>
    <x v="3"/>
    <x v="0"/>
    <x v="1"/>
    <x v="0"/>
    <x v="1"/>
    <x v="0"/>
    <x v="1"/>
    <x v="4"/>
    <x v="4"/>
    <x v="0"/>
    <x v="0"/>
    <x v="0"/>
    <x v="0"/>
  </r>
  <r>
    <x v="5"/>
    <x v="0"/>
    <x v="0"/>
    <x v="5"/>
    <x v="5"/>
    <x v="0"/>
    <x v="0"/>
    <x v="4"/>
    <x v="1"/>
    <x v="1"/>
    <x v="0"/>
    <x v="1"/>
    <x v="0"/>
    <x v="1"/>
    <x v="5"/>
    <x v="5"/>
    <x v="0"/>
    <x v="0"/>
    <x v="2"/>
    <x v="2"/>
  </r>
  <r>
    <x v="6"/>
    <x v="0"/>
    <x v="1"/>
    <x v="6"/>
    <x v="6"/>
    <x v="0"/>
    <x v="0"/>
    <x v="5"/>
    <x v="0"/>
    <x v="1"/>
    <x v="0"/>
    <x v="1"/>
    <x v="0"/>
    <x v="1"/>
    <x v="6"/>
    <x v="6"/>
    <x v="1"/>
    <x v="3"/>
    <x v="0"/>
    <x v="0"/>
  </r>
  <r>
    <x v="7"/>
    <x v="0"/>
    <x v="0"/>
    <x v="7"/>
    <x v="7"/>
    <x v="3"/>
    <x v="0"/>
    <x v="6"/>
    <x v="2"/>
    <x v="2"/>
    <x v="1"/>
    <x v="2"/>
    <x v="0"/>
    <x v="2"/>
    <x v="7"/>
    <x v="7"/>
    <x v="2"/>
    <x v="0"/>
    <x v="0"/>
    <x v="0"/>
  </r>
  <r>
    <x v="8"/>
    <x v="1"/>
    <x v="0"/>
    <x v="8"/>
    <x v="8"/>
    <x v="1"/>
    <x v="1"/>
    <x v="7"/>
    <x v="0"/>
    <x v="1"/>
    <x v="2"/>
    <x v="3"/>
    <x v="1"/>
    <x v="0"/>
    <x v="8"/>
    <x v="8"/>
    <x v="2"/>
    <x v="0"/>
    <x v="0"/>
    <x v="0"/>
  </r>
  <r>
    <x v="9"/>
    <x v="1"/>
    <x v="2"/>
    <x v="9"/>
    <x v="9"/>
    <x v="1"/>
    <x v="1"/>
    <x v="8"/>
    <x v="3"/>
    <x v="0"/>
    <x v="0"/>
    <x v="0"/>
    <x v="1"/>
    <x v="0"/>
    <x v="9"/>
    <x v="9"/>
    <x v="2"/>
    <x v="0"/>
    <x v="1"/>
    <x v="1"/>
  </r>
  <r>
    <x v="10"/>
    <x v="1"/>
    <x v="0"/>
    <x v="10"/>
    <x v="10"/>
    <x v="2"/>
    <x v="1"/>
    <x v="9"/>
    <x v="2"/>
    <x v="0"/>
    <x v="1"/>
    <x v="3"/>
    <x v="1"/>
    <x v="0"/>
    <x v="10"/>
    <x v="10"/>
    <x v="2"/>
    <x v="4"/>
    <x v="0"/>
    <x v="0"/>
  </r>
  <r>
    <x v="11"/>
    <x v="1"/>
    <x v="1"/>
    <x v="11"/>
    <x v="11"/>
    <x v="2"/>
    <x v="1"/>
    <x v="10"/>
    <x v="0"/>
    <x v="1"/>
    <x v="0"/>
    <x v="1"/>
    <x v="1"/>
    <x v="1"/>
    <x v="11"/>
    <x v="11"/>
    <x v="2"/>
    <x v="5"/>
    <x v="0"/>
    <x v="0"/>
  </r>
  <r>
    <x v="12"/>
    <x v="0"/>
    <x v="0"/>
    <x v="12"/>
    <x v="4"/>
    <x v="0"/>
    <x v="0"/>
    <x v="11"/>
    <x v="0"/>
    <x v="1"/>
    <x v="0"/>
    <x v="1"/>
    <x v="0"/>
    <x v="1"/>
    <x v="12"/>
    <x v="4"/>
    <x v="0"/>
    <x v="0"/>
    <x v="0"/>
    <x v="0"/>
  </r>
  <r>
    <x v="13"/>
    <x v="0"/>
    <x v="0"/>
    <x v="13"/>
    <x v="12"/>
    <x v="0"/>
    <x v="0"/>
    <x v="12"/>
    <x v="0"/>
    <x v="0"/>
    <x v="3"/>
    <x v="4"/>
    <x v="0"/>
    <x v="2"/>
    <x v="13"/>
    <x v="12"/>
    <x v="2"/>
    <x v="0"/>
    <x v="0"/>
    <x v="0"/>
  </r>
  <r>
    <x v="14"/>
    <x v="0"/>
    <x v="0"/>
    <x v="14"/>
    <x v="13"/>
    <x v="2"/>
    <x v="1"/>
    <x v="8"/>
    <x v="3"/>
    <x v="1"/>
    <x v="0"/>
    <x v="1"/>
    <x v="0"/>
    <x v="1"/>
    <x v="14"/>
    <x v="13"/>
    <x v="0"/>
    <x v="0"/>
    <x v="0"/>
    <x v="0"/>
  </r>
  <r>
    <x v="15"/>
    <x v="1"/>
    <x v="2"/>
    <x v="15"/>
    <x v="14"/>
    <x v="1"/>
    <x v="1"/>
    <x v="13"/>
    <x v="0"/>
    <x v="1"/>
    <x v="0"/>
    <x v="1"/>
    <x v="1"/>
    <x v="1"/>
    <x v="15"/>
    <x v="14"/>
    <x v="2"/>
    <x v="0"/>
    <x v="0"/>
    <x v="0"/>
  </r>
  <r>
    <x v="16"/>
    <x v="0"/>
    <x v="0"/>
    <x v="16"/>
    <x v="15"/>
    <x v="3"/>
    <x v="0"/>
    <x v="6"/>
    <x v="2"/>
    <x v="3"/>
    <x v="1"/>
    <x v="5"/>
    <x v="0"/>
    <x v="2"/>
    <x v="16"/>
    <x v="15"/>
    <x v="2"/>
    <x v="0"/>
    <x v="2"/>
    <x v="2"/>
  </r>
  <r>
    <x v="17"/>
    <x v="1"/>
    <x v="2"/>
    <x v="17"/>
    <x v="16"/>
    <x v="0"/>
    <x v="0"/>
    <x v="4"/>
    <x v="1"/>
    <x v="1"/>
    <x v="0"/>
    <x v="1"/>
    <x v="1"/>
    <x v="1"/>
    <x v="17"/>
    <x v="16"/>
    <x v="2"/>
    <x v="0"/>
    <x v="0"/>
    <x v="0"/>
  </r>
  <r>
    <x v="18"/>
    <x v="0"/>
    <x v="0"/>
    <x v="18"/>
    <x v="17"/>
    <x v="1"/>
    <x v="1"/>
    <x v="14"/>
    <x v="0"/>
    <x v="0"/>
    <x v="0"/>
    <x v="0"/>
    <x v="0"/>
    <x v="0"/>
    <x v="18"/>
    <x v="17"/>
    <x v="2"/>
    <x v="0"/>
    <x v="0"/>
    <x v="0"/>
  </r>
  <r>
    <x v="19"/>
    <x v="1"/>
    <x v="0"/>
    <x v="19"/>
    <x v="18"/>
    <x v="1"/>
    <x v="1"/>
    <x v="4"/>
    <x v="1"/>
    <x v="1"/>
    <x v="0"/>
    <x v="1"/>
    <x v="1"/>
    <x v="1"/>
    <x v="19"/>
    <x v="18"/>
    <x v="0"/>
    <x v="0"/>
    <x v="1"/>
    <x v="1"/>
  </r>
  <r>
    <x v="20"/>
    <x v="0"/>
    <x v="2"/>
    <x v="20"/>
    <x v="19"/>
    <x v="0"/>
    <x v="0"/>
    <x v="3"/>
    <x v="0"/>
    <x v="1"/>
    <x v="0"/>
    <x v="1"/>
    <x v="0"/>
    <x v="1"/>
    <x v="20"/>
    <x v="19"/>
    <x v="2"/>
    <x v="0"/>
    <x v="0"/>
    <x v="0"/>
  </r>
  <r>
    <x v="21"/>
    <x v="1"/>
    <x v="2"/>
    <x v="21"/>
    <x v="20"/>
    <x v="0"/>
    <x v="0"/>
    <x v="15"/>
    <x v="0"/>
    <x v="1"/>
    <x v="0"/>
    <x v="1"/>
    <x v="1"/>
    <x v="1"/>
    <x v="21"/>
    <x v="16"/>
    <x v="2"/>
    <x v="6"/>
    <x v="0"/>
    <x v="0"/>
  </r>
  <r>
    <x v="22"/>
    <x v="1"/>
    <x v="0"/>
    <x v="22"/>
    <x v="21"/>
    <x v="2"/>
    <x v="1"/>
    <x v="16"/>
    <x v="3"/>
    <x v="1"/>
    <x v="0"/>
    <x v="1"/>
    <x v="1"/>
    <x v="1"/>
    <x v="22"/>
    <x v="20"/>
    <x v="0"/>
    <x v="0"/>
    <x v="2"/>
    <x v="2"/>
  </r>
  <r>
    <x v="23"/>
    <x v="1"/>
    <x v="1"/>
    <x v="23"/>
    <x v="22"/>
    <x v="0"/>
    <x v="0"/>
    <x v="17"/>
    <x v="0"/>
    <x v="1"/>
    <x v="0"/>
    <x v="1"/>
    <x v="1"/>
    <x v="1"/>
    <x v="23"/>
    <x v="21"/>
    <x v="2"/>
    <x v="7"/>
    <x v="0"/>
    <x v="0"/>
  </r>
  <r>
    <x v="24"/>
    <x v="0"/>
    <x v="0"/>
    <x v="7"/>
    <x v="23"/>
    <x v="2"/>
    <x v="1"/>
    <x v="18"/>
    <x v="2"/>
    <x v="2"/>
    <x v="1"/>
    <x v="2"/>
    <x v="0"/>
    <x v="2"/>
    <x v="7"/>
    <x v="7"/>
    <x v="2"/>
    <x v="0"/>
    <x v="0"/>
    <x v="0"/>
  </r>
  <r>
    <x v="25"/>
    <x v="1"/>
    <x v="0"/>
    <x v="24"/>
    <x v="24"/>
    <x v="1"/>
    <x v="1"/>
    <x v="1"/>
    <x v="0"/>
    <x v="0"/>
    <x v="3"/>
    <x v="4"/>
    <x v="1"/>
    <x v="2"/>
    <x v="24"/>
    <x v="22"/>
    <x v="2"/>
    <x v="0"/>
    <x v="0"/>
    <x v="0"/>
  </r>
  <r>
    <x v="26"/>
    <x v="0"/>
    <x v="0"/>
    <x v="25"/>
    <x v="25"/>
    <x v="0"/>
    <x v="0"/>
    <x v="4"/>
    <x v="1"/>
    <x v="1"/>
    <x v="0"/>
    <x v="1"/>
    <x v="0"/>
    <x v="1"/>
    <x v="25"/>
    <x v="18"/>
    <x v="0"/>
    <x v="0"/>
    <x v="1"/>
    <x v="1"/>
  </r>
  <r>
    <x v="27"/>
    <x v="0"/>
    <x v="1"/>
    <x v="26"/>
    <x v="26"/>
    <x v="0"/>
    <x v="0"/>
    <x v="19"/>
    <x v="3"/>
    <x v="2"/>
    <x v="2"/>
    <x v="5"/>
    <x v="0"/>
    <x v="2"/>
    <x v="26"/>
    <x v="23"/>
    <x v="1"/>
    <x v="8"/>
    <x v="0"/>
    <x v="0"/>
  </r>
  <r>
    <x v="28"/>
    <x v="1"/>
    <x v="0"/>
    <x v="27"/>
    <x v="27"/>
    <x v="2"/>
    <x v="1"/>
    <x v="4"/>
    <x v="1"/>
    <x v="1"/>
    <x v="0"/>
    <x v="1"/>
    <x v="1"/>
    <x v="1"/>
    <x v="27"/>
    <x v="24"/>
    <x v="0"/>
    <x v="0"/>
    <x v="2"/>
    <x v="2"/>
  </r>
  <r>
    <x v="29"/>
    <x v="0"/>
    <x v="0"/>
    <x v="28"/>
    <x v="28"/>
    <x v="0"/>
    <x v="0"/>
    <x v="4"/>
    <x v="1"/>
    <x v="1"/>
    <x v="0"/>
    <x v="1"/>
    <x v="0"/>
    <x v="1"/>
    <x v="28"/>
    <x v="25"/>
    <x v="0"/>
    <x v="0"/>
    <x v="0"/>
    <x v="0"/>
  </r>
  <r>
    <x v="30"/>
    <x v="0"/>
    <x v="1"/>
    <x v="29"/>
    <x v="29"/>
    <x v="4"/>
    <x v="2"/>
    <x v="20"/>
    <x v="0"/>
    <x v="1"/>
    <x v="0"/>
    <x v="1"/>
    <x v="0"/>
    <x v="1"/>
    <x v="29"/>
    <x v="26"/>
    <x v="2"/>
    <x v="0"/>
    <x v="1"/>
    <x v="1"/>
  </r>
  <r>
    <x v="31"/>
    <x v="1"/>
    <x v="1"/>
    <x v="30"/>
    <x v="30"/>
    <x v="1"/>
    <x v="1"/>
    <x v="4"/>
    <x v="1"/>
    <x v="0"/>
    <x v="0"/>
    <x v="0"/>
    <x v="1"/>
    <x v="0"/>
    <x v="30"/>
    <x v="27"/>
    <x v="1"/>
    <x v="9"/>
    <x v="1"/>
    <x v="1"/>
  </r>
  <r>
    <x v="32"/>
    <x v="1"/>
    <x v="0"/>
    <x v="31"/>
    <x v="31"/>
    <x v="2"/>
    <x v="1"/>
    <x v="4"/>
    <x v="1"/>
    <x v="1"/>
    <x v="0"/>
    <x v="1"/>
    <x v="1"/>
    <x v="1"/>
    <x v="31"/>
    <x v="28"/>
    <x v="0"/>
    <x v="0"/>
    <x v="2"/>
    <x v="2"/>
  </r>
  <r>
    <x v="33"/>
    <x v="0"/>
    <x v="2"/>
    <x v="32"/>
    <x v="32"/>
    <x v="0"/>
    <x v="0"/>
    <x v="21"/>
    <x v="4"/>
    <x v="1"/>
    <x v="0"/>
    <x v="1"/>
    <x v="0"/>
    <x v="1"/>
    <x v="32"/>
    <x v="29"/>
    <x v="2"/>
    <x v="0"/>
    <x v="0"/>
    <x v="0"/>
  </r>
  <r>
    <x v="34"/>
    <x v="0"/>
    <x v="1"/>
    <x v="33"/>
    <x v="33"/>
    <x v="0"/>
    <x v="0"/>
    <x v="17"/>
    <x v="0"/>
    <x v="0"/>
    <x v="0"/>
    <x v="0"/>
    <x v="0"/>
    <x v="0"/>
    <x v="33"/>
    <x v="30"/>
    <x v="1"/>
    <x v="0"/>
    <x v="1"/>
    <x v="1"/>
  </r>
  <r>
    <x v="35"/>
    <x v="0"/>
    <x v="1"/>
    <x v="34"/>
    <x v="34"/>
    <x v="0"/>
    <x v="0"/>
    <x v="22"/>
    <x v="0"/>
    <x v="0"/>
    <x v="0"/>
    <x v="0"/>
    <x v="0"/>
    <x v="0"/>
    <x v="34"/>
    <x v="31"/>
    <x v="1"/>
    <x v="0"/>
    <x v="0"/>
    <x v="0"/>
  </r>
  <r>
    <x v="36"/>
    <x v="1"/>
    <x v="0"/>
    <x v="35"/>
    <x v="35"/>
    <x v="0"/>
    <x v="0"/>
    <x v="4"/>
    <x v="1"/>
    <x v="1"/>
    <x v="0"/>
    <x v="1"/>
    <x v="1"/>
    <x v="1"/>
    <x v="35"/>
    <x v="32"/>
    <x v="0"/>
    <x v="0"/>
    <x v="1"/>
    <x v="1"/>
  </r>
  <r>
    <x v="37"/>
    <x v="0"/>
    <x v="0"/>
    <x v="36"/>
    <x v="36"/>
    <x v="0"/>
    <x v="0"/>
    <x v="23"/>
    <x v="0"/>
    <x v="1"/>
    <x v="0"/>
    <x v="1"/>
    <x v="0"/>
    <x v="1"/>
    <x v="36"/>
    <x v="4"/>
    <x v="0"/>
    <x v="0"/>
    <x v="0"/>
    <x v="0"/>
  </r>
  <r>
    <x v="38"/>
    <x v="0"/>
    <x v="0"/>
    <x v="18"/>
    <x v="37"/>
    <x v="2"/>
    <x v="1"/>
    <x v="24"/>
    <x v="3"/>
    <x v="4"/>
    <x v="0"/>
    <x v="3"/>
    <x v="0"/>
    <x v="0"/>
    <x v="37"/>
    <x v="17"/>
    <x v="2"/>
    <x v="0"/>
    <x v="0"/>
    <x v="0"/>
  </r>
  <r>
    <x v="39"/>
    <x v="1"/>
    <x v="0"/>
    <x v="37"/>
    <x v="38"/>
    <x v="2"/>
    <x v="1"/>
    <x v="8"/>
    <x v="3"/>
    <x v="0"/>
    <x v="0"/>
    <x v="0"/>
    <x v="1"/>
    <x v="0"/>
    <x v="38"/>
    <x v="33"/>
    <x v="2"/>
    <x v="0"/>
    <x v="1"/>
    <x v="1"/>
  </r>
  <r>
    <x v="40"/>
    <x v="0"/>
    <x v="0"/>
    <x v="38"/>
    <x v="39"/>
    <x v="1"/>
    <x v="1"/>
    <x v="20"/>
    <x v="0"/>
    <x v="0"/>
    <x v="0"/>
    <x v="0"/>
    <x v="0"/>
    <x v="0"/>
    <x v="39"/>
    <x v="34"/>
    <x v="0"/>
    <x v="0"/>
    <x v="0"/>
    <x v="0"/>
  </r>
  <r>
    <x v="41"/>
    <x v="0"/>
    <x v="2"/>
    <x v="39"/>
    <x v="40"/>
    <x v="1"/>
    <x v="1"/>
    <x v="7"/>
    <x v="0"/>
    <x v="0"/>
    <x v="0"/>
    <x v="0"/>
    <x v="0"/>
    <x v="0"/>
    <x v="40"/>
    <x v="35"/>
    <x v="2"/>
    <x v="0"/>
    <x v="0"/>
    <x v="0"/>
  </r>
  <r>
    <x v="42"/>
    <x v="0"/>
    <x v="0"/>
    <x v="40"/>
    <x v="41"/>
    <x v="0"/>
    <x v="0"/>
    <x v="4"/>
    <x v="1"/>
    <x v="1"/>
    <x v="0"/>
    <x v="1"/>
    <x v="0"/>
    <x v="1"/>
    <x v="41"/>
    <x v="25"/>
    <x v="0"/>
    <x v="0"/>
    <x v="1"/>
    <x v="1"/>
  </r>
  <r>
    <x v="43"/>
    <x v="1"/>
    <x v="2"/>
    <x v="41"/>
    <x v="42"/>
    <x v="2"/>
    <x v="1"/>
    <x v="25"/>
    <x v="2"/>
    <x v="0"/>
    <x v="2"/>
    <x v="6"/>
    <x v="1"/>
    <x v="2"/>
    <x v="42"/>
    <x v="36"/>
    <x v="2"/>
    <x v="0"/>
    <x v="1"/>
    <x v="1"/>
  </r>
  <r>
    <x v="44"/>
    <x v="1"/>
    <x v="0"/>
    <x v="42"/>
    <x v="43"/>
    <x v="2"/>
    <x v="1"/>
    <x v="19"/>
    <x v="3"/>
    <x v="1"/>
    <x v="0"/>
    <x v="1"/>
    <x v="1"/>
    <x v="1"/>
    <x v="43"/>
    <x v="24"/>
    <x v="0"/>
    <x v="0"/>
    <x v="2"/>
    <x v="2"/>
  </r>
  <r>
    <x v="45"/>
    <x v="0"/>
    <x v="0"/>
    <x v="43"/>
    <x v="44"/>
    <x v="0"/>
    <x v="0"/>
    <x v="4"/>
    <x v="1"/>
    <x v="1"/>
    <x v="0"/>
    <x v="1"/>
    <x v="0"/>
    <x v="1"/>
    <x v="44"/>
    <x v="4"/>
    <x v="0"/>
    <x v="0"/>
    <x v="0"/>
    <x v="0"/>
  </r>
  <r>
    <x v="46"/>
    <x v="0"/>
    <x v="0"/>
    <x v="44"/>
    <x v="45"/>
    <x v="0"/>
    <x v="0"/>
    <x v="4"/>
    <x v="1"/>
    <x v="0"/>
    <x v="0"/>
    <x v="0"/>
    <x v="0"/>
    <x v="0"/>
    <x v="45"/>
    <x v="37"/>
    <x v="2"/>
    <x v="0"/>
    <x v="2"/>
    <x v="2"/>
  </r>
  <r>
    <x v="47"/>
    <x v="1"/>
    <x v="0"/>
    <x v="45"/>
    <x v="46"/>
    <x v="2"/>
    <x v="1"/>
    <x v="4"/>
    <x v="1"/>
    <x v="1"/>
    <x v="0"/>
    <x v="1"/>
    <x v="1"/>
    <x v="1"/>
    <x v="46"/>
    <x v="28"/>
    <x v="0"/>
    <x v="0"/>
    <x v="2"/>
    <x v="2"/>
  </r>
  <r>
    <x v="48"/>
    <x v="0"/>
    <x v="0"/>
    <x v="46"/>
    <x v="47"/>
    <x v="0"/>
    <x v="0"/>
    <x v="4"/>
    <x v="1"/>
    <x v="4"/>
    <x v="0"/>
    <x v="3"/>
    <x v="0"/>
    <x v="0"/>
    <x v="47"/>
    <x v="38"/>
    <x v="2"/>
    <x v="0"/>
    <x v="1"/>
    <x v="1"/>
  </r>
  <r>
    <x v="49"/>
    <x v="0"/>
    <x v="0"/>
    <x v="47"/>
    <x v="48"/>
    <x v="1"/>
    <x v="1"/>
    <x v="24"/>
    <x v="3"/>
    <x v="0"/>
    <x v="0"/>
    <x v="0"/>
    <x v="0"/>
    <x v="0"/>
    <x v="48"/>
    <x v="39"/>
    <x v="2"/>
    <x v="0"/>
    <x v="0"/>
    <x v="0"/>
  </r>
  <r>
    <x v="50"/>
    <x v="0"/>
    <x v="0"/>
    <x v="48"/>
    <x v="49"/>
    <x v="3"/>
    <x v="0"/>
    <x v="26"/>
    <x v="2"/>
    <x v="3"/>
    <x v="1"/>
    <x v="5"/>
    <x v="0"/>
    <x v="2"/>
    <x v="49"/>
    <x v="40"/>
    <x v="2"/>
    <x v="0"/>
    <x v="0"/>
    <x v="0"/>
  </r>
  <r>
    <x v="51"/>
    <x v="0"/>
    <x v="0"/>
    <x v="49"/>
    <x v="50"/>
    <x v="0"/>
    <x v="0"/>
    <x v="23"/>
    <x v="0"/>
    <x v="1"/>
    <x v="0"/>
    <x v="1"/>
    <x v="0"/>
    <x v="1"/>
    <x v="50"/>
    <x v="41"/>
    <x v="0"/>
    <x v="0"/>
    <x v="0"/>
    <x v="0"/>
  </r>
  <r>
    <x v="52"/>
    <x v="1"/>
    <x v="1"/>
    <x v="50"/>
    <x v="51"/>
    <x v="1"/>
    <x v="1"/>
    <x v="27"/>
    <x v="0"/>
    <x v="0"/>
    <x v="0"/>
    <x v="0"/>
    <x v="1"/>
    <x v="0"/>
    <x v="51"/>
    <x v="42"/>
    <x v="1"/>
    <x v="10"/>
    <x v="1"/>
    <x v="1"/>
  </r>
  <r>
    <x v="53"/>
    <x v="1"/>
    <x v="2"/>
    <x v="51"/>
    <x v="52"/>
    <x v="1"/>
    <x v="1"/>
    <x v="28"/>
    <x v="0"/>
    <x v="0"/>
    <x v="0"/>
    <x v="0"/>
    <x v="1"/>
    <x v="0"/>
    <x v="52"/>
    <x v="19"/>
    <x v="2"/>
    <x v="0"/>
    <x v="0"/>
    <x v="0"/>
  </r>
  <r>
    <x v="54"/>
    <x v="0"/>
    <x v="1"/>
    <x v="52"/>
    <x v="53"/>
    <x v="0"/>
    <x v="0"/>
    <x v="29"/>
    <x v="4"/>
    <x v="1"/>
    <x v="1"/>
    <x v="0"/>
    <x v="0"/>
    <x v="0"/>
    <x v="53"/>
    <x v="43"/>
    <x v="1"/>
    <x v="11"/>
    <x v="1"/>
    <x v="1"/>
  </r>
  <r>
    <x v="55"/>
    <x v="1"/>
    <x v="1"/>
    <x v="53"/>
    <x v="54"/>
    <x v="0"/>
    <x v="0"/>
    <x v="4"/>
    <x v="1"/>
    <x v="1"/>
    <x v="0"/>
    <x v="1"/>
    <x v="1"/>
    <x v="1"/>
    <x v="54"/>
    <x v="21"/>
    <x v="2"/>
    <x v="12"/>
    <x v="0"/>
    <x v="0"/>
  </r>
  <r>
    <x v="56"/>
    <x v="1"/>
    <x v="2"/>
    <x v="54"/>
    <x v="55"/>
    <x v="2"/>
    <x v="1"/>
    <x v="23"/>
    <x v="0"/>
    <x v="1"/>
    <x v="0"/>
    <x v="1"/>
    <x v="1"/>
    <x v="1"/>
    <x v="55"/>
    <x v="29"/>
    <x v="2"/>
    <x v="0"/>
    <x v="0"/>
    <x v="0"/>
  </r>
  <r>
    <x v="57"/>
    <x v="0"/>
    <x v="0"/>
    <x v="55"/>
    <x v="56"/>
    <x v="0"/>
    <x v="0"/>
    <x v="30"/>
    <x v="0"/>
    <x v="1"/>
    <x v="0"/>
    <x v="1"/>
    <x v="0"/>
    <x v="1"/>
    <x v="56"/>
    <x v="32"/>
    <x v="0"/>
    <x v="0"/>
    <x v="1"/>
    <x v="1"/>
  </r>
  <r>
    <x v="58"/>
    <x v="1"/>
    <x v="2"/>
    <x v="56"/>
    <x v="57"/>
    <x v="2"/>
    <x v="1"/>
    <x v="31"/>
    <x v="2"/>
    <x v="0"/>
    <x v="2"/>
    <x v="6"/>
    <x v="1"/>
    <x v="2"/>
    <x v="57"/>
    <x v="44"/>
    <x v="2"/>
    <x v="0"/>
    <x v="0"/>
    <x v="0"/>
  </r>
  <r>
    <x v="59"/>
    <x v="0"/>
    <x v="0"/>
    <x v="57"/>
    <x v="58"/>
    <x v="3"/>
    <x v="0"/>
    <x v="32"/>
    <x v="2"/>
    <x v="5"/>
    <x v="2"/>
    <x v="7"/>
    <x v="0"/>
    <x v="2"/>
    <x v="58"/>
    <x v="45"/>
    <x v="2"/>
    <x v="0"/>
    <x v="0"/>
    <x v="0"/>
  </r>
  <r>
    <x v="60"/>
    <x v="0"/>
    <x v="0"/>
    <x v="58"/>
    <x v="59"/>
    <x v="0"/>
    <x v="0"/>
    <x v="0"/>
    <x v="0"/>
    <x v="1"/>
    <x v="0"/>
    <x v="1"/>
    <x v="0"/>
    <x v="1"/>
    <x v="59"/>
    <x v="32"/>
    <x v="0"/>
    <x v="0"/>
    <x v="1"/>
    <x v="1"/>
  </r>
  <r>
    <x v="61"/>
    <x v="1"/>
    <x v="1"/>
    <x v="59"/>
    <x v="60"/>
    <x v="2"/>
    <x v="1"/>
    <x v="1"/>
    <x v="0"/>
    <x v="1"/>
    <x v="0"/>
    <x v="1"/>
    <x v="1"/>
    <x v="1"/>
    <x v="60"/>
    <x v="46"/>
    <x v="1"/>
    <x v="13"/>
    <x v="3"/>
    <x v="3"/>
  </r>
  <r>
    <x v="62"/>
    <x v="0"/>
    <x v="1"/>
    <x v="60"/>
    <x v="61"/>
    <x v="0"/>
    <x v="0"/>
    <x v="33"/>
    <x v="0"/>
    <x v="0"/>
    <x v="0"/>
    <x v="0"/>
    <x v="0"/>
    <x v="0"/>
    <x v="61"/>
    <x v="47"/>
    <x v="1"/>
    <x v="14"/>
    <x v="0"/>
    <x v="0"/>
  </r>
  <r>
    <x v="63"/>
    <x v="0"/>
    <x v="0"/>
    <x v="61"/>
    <x v="62"/>
    <x v="3"/>
    <x v="0"/>
    <x v="9"/>
    <x v="2"/>
    <x v="2"/>
    <x v="2"/>
    <x v="5"/>
    <x v="0"/>
    <x v="2"/>
    <x v="62"/>
    <x v="48"/>
    <x v="2"/>
    <x v="0"/>
    <x v="0"/>
    <x v="0"/>
  </r>
  <r>
    <x v="64"/>
    <x v="0"/>
    <x v="1"/>
    <x v="62"/>
    <x v="63"/>
    <x v="0"/>
    <x v="0"/>
    <x v="4"/>
    <x v="1"/>
    <x v="1"/>
    <x v="0"/>
    <x v="1"/>
    <x v="0"/>
    <x v="1"/>
    <x v="63"/>
    <x v="26"/>
    <x v="2"/>
    <x v="0"/>
    <x v="1"/>
    <x v="1"/>
  </r>
  <r>
    <x v="65"/>
    <x v="1"/>
    <x v="0"/>
    <x v="63"/>
    <x v="64"/>
    <x v="3"/>
    <x v="0"/>
    <x v="4"/>
    <x v="1"/>
    <x v="0"/>
    <x v="1"/>
    <x v="3"/>
    <x v="1"/>
    <x v="0"/>
    <x v="64"/>
    <x v="49"/>
    <x v="2"/>
    <x v="0"/>
    <x v="1"/>
    <x v="1"/>
  </r>
  <r>
    <x v="66"/>
    <x v="1"/>
    <x v="2"/>
    <x v="64"/>
    <x v="65"/>
    <x v="1"/>
    <x v="1"/>
    <x v="28"/>
    <x v="0"/>
    <x v="1"/>
    <x v="0"/>
    <x v="1"/>
    <x v="1"/>
    <x v="1"/>
    <x v="65"/>
    <x v="29"/>
    <x v="2"/>
    <x v="15"/>
    <x v="0"/>
    <x v="0"/>
  </r>
  <r>
    <x v="67"/>
    <x v="0"/>
    <x v="0"/>
    <x v="65"/>
    <x v="66"/>
    <x v="0"/>
    <x v="0"/>
    <x v="19"/>
    <x v="3"/>
    <x v="1"/>
    <x v="0"/>
    <x v="1"/>
    <x v="0"/>
    <x v="1"/>
    <x v="66"/>
    <x v="50"/>
    <x v="0"/>
    <x v="0"/>
    <x v="0"/>
    <x v="0"/>
  </r>
  <r>
    <x v="68"/>
    <x v="1"/>
    <x v="0"/>
    <x v="13"/>
    <x v="67"/>
    <x v="2"/>
    <x v="1"/>
    <x v="34"/>
    <x v="3"/>
    <x v="3"/>
    <x v="2"/>
    <x v="4"/>
    <x v="1"/>
    <x v="2"/>
    <x v="67"/>
    <x v="2"/>
    <x v="0"/>
    <x v="0"/>
    <x v="0"/>
    <x v="0"/>
  </r>
  <r>
    <x v="69"/>
    <x v="0"/>
    <x v="0"/>
    <x v="66"/>
    <x v="68"/>
    <x v="0"/>
    <x v="0"/>
    <x v="2"/>
    <x v="0"/>
    <x v="4"/>
    <x v="0"/>
    <x v="3"/>
    <x v="0"/>
    <x v="0"/>
    <x v="68"/>
    <x v="51"/>
    <x v="0"/>
    <x v="0"/>
    <x v="0"/>
    <x v="0"/>
  </r>
  <r>
    <x v="70"/>
    <x v="0"/>
    <x v="2"/>
    <x v="67"/>
    <x v="69"/>
    <x v="0"/>
    <x v="0"/>
    <x v="35"/>
    <x v="0"/>
    <x v="1"/>
    <x v="0"/>
    <x v="1"/>
    <x v="0"/>
    <x v="1"/>
    <x v="69"/>
    <x v="29"/>
    <x v="2"/>
    <x v="0"/>
    <x v="0"/>
    <x v="0"/>
  </r>
  <r>
    <x v="71"/>
    <x v="0"/>
    <x v="0"/>
    <x v="57"/>
    <x v="70"/>
    <x v="2"/>
    <x v="1"/>
    <x v="36"/>
    <x v="3"/>
    <x v="5"/>
    <x v="2"/>
    <x v="7"/>
    <x v="0"/>
    <x v="2"/>
    <x v="58"/>
    <x v="45"/>
    <x v="2"/>
    <x v="0"/>
    <x v="0"/>
    <x v="0"/>
  </r>
  <r>
    <x v="72"/>
    <x v="0"/>
    <x v="2"/>
    <x v="68"/>
    <x v="71"/>
    <x v="0"/>
    <x v="0"/>
    <x v="23"/>
    <x v="0"/>
    <x v="1"/>
    <x v="0"/>
    <x v="1"/>
    <x v="0"/>
    <x v="1"/>
    <x v="70"/>
    <x v="52"/>
    <x v="1"/>
    <x v="0"/>
    <x v="0"/>
    <x v="0"/>
  </r>
  <r>
    <x v="73"/>
    <x v="0"/>
    <x v="0"/>
    <x v="69"/>
    <x v="72"/>
    <x v="0"/>
    <x v="0"/>
    <x v="2"/>
    <x v="0"/>
    <x v="0"/>
    <x v="0"/>
    <x v="0"/>
    <x v="0"/>
    <x v="0"/>
    <x v="71"/>
    <x v="53"/>
    <x v="2"/>
    <x v="0"/>
    <x v="1"/>
    <x v="1"/>
  </r>
  <r>
    <x v="74"/>
    <x v="1"/>
    <x v="0"/>
    <x v="70"/>
    <x v="73"/>
    <x v="0"/>
    <x v="0"/>
    <x v="35"/>
    <x v="0"/>
    <x v="1"/>
    <x v="0"/>
    <x v="1"/>
    <x v="1"/>
    <x v="1"/>
    <x v="72"/>
    <x v="54"/>
    <x v="1"/>
    <x v="0"/>
    <x v="0"/>
    <x v="0"/>
  </r>
  <r>
    <x v="75"/>
    <x v="0"/>
    <x v="0"/>
    <x v="71"/>
    <x v="74"/>
    <x v="0"/>
    <x v="0"/>
    <x v="37"/>
    <x v="0"/>
    <x v="1"/>
    <x v="0"/>
    <x v="1"/>
    <x v="0"/>
    <x v="1"/>
    <x v="73"/>
    <x v="55"/>
    <x v="0"/>
    <x v="16"/>
    <x v="0"/>
    <x v="0"/>
  </r>
  <r>
    <x v="76"/>
    <x v="0"/>
    <x v="0"/>
    <x v="72"/>
    <x v="75"/>
    <x v="0"/>
    <x v="0"/>
    <x v="4"/>
    <x v="1"/>
    <x v="1"/>
    <x v="0"/>
    <x v="1"/>
    <x v="0"/>
    <x v="1"/>
    <x v="74"/>
    <x v="25"/>
    <x v="0"/>
    <x v="0"/>
    <x v="0"/>
    <x v="0"/>
  </r>
  <r>
    <x v="77"/>
    <x v="0"/>
    <x v="0"/>
    <x v="73"/>
    <x v="76"/>
    <x v="0"/>
    <x v="0"/>
    <x v="4"/>
    <x v="1"/>
    <x v="1"/>
    <x v="0"/>
    <x v="1"/>
    <x v="0"/>
    <x v="1"/>
    <x v="75"/>
    <x v="4"/>
    <x v="0"/>
    <x v="0"/>
    <x v="0"/>
    <x v="0"/>
  </r>
  <r>
    <x v="78"/>
    <x v="1"/>
    <x v="2"/>
    <x v="74"/>
    <x v="77"/>
    <x v="3"/>
    <x v="0"/>
    <x v="38"/>
    <x v="2"/>
    <x v="1"/>
    <x v="2"/>
    <x v="3"/>
    <x v="1"/>
    <x v="0"/>
    <x v="76"/>
    <x v="56"/>
    <x v="2"/>
    <x v="0"/>
    <x v="0"/>
    <x v="0"/>
  </r>
  <r>
    <x v="79"/>
    <x v="1"/>
    <x v="0"/>
    <x v="75"/>
    <x v="11"/>
    <x v="2"/>
    <x v="1"/>
    <x v="39"/>
    <x v="0"/>
    <x v="1"/>
    <x v="0"/>
    <x v="1"/>
    <x v="1"/>
    <x v="1"/>
    <x v="77"/>
    <x v="57"/>
    <x v="2"/>
    <x v="0"/>
    <x v="0"/>
    <x v="0"/>
  </r>
  <r>
    <x v="80"/>
    <x v="0"/>
    <x v="0"/>
    <x v="76"/>
    <x v="78"/>
    <x v="0"/>
    <x v="0"/>
    <x v="0"/>
    <x v="0"/>
    <x v="1"/>
    <x v="0"/>
    <x v="1"/>
    <x v="0"/>
    <x v="1"/>
    <x v="78"/>
    <x v="58"/>
    <x v="0"/>
    <x v="0"/>
    <x v="0"/>
    <x v="0"/>
  </r>
  <r>
    <x v="81"/>
    <x v="1"/>
    <x v="0"/>
    <x v="77"/>
    <x v="79"/>
    <x v="0"/>
    <x v="0"/>
    <x v="28"/>
    <x v="0"/>
    <x v="1"/>
    <x v="0"/>
    <x v="1"/>
    <x v="1"/>
    <x v="1"/>
    <x v="79"/>
    <x v="59"/>
    <x v="0"/>
    <x v="0"/>
    <x v="0"/>
    <x v="0"/>
  </r>
  <r>
    <x v="82"/>
    <x v="1"/>
    <x v="0"/>
    <x v="78"/>
    <x v="80"/>
    <x v="2"/>
    <x v="1"/>
    <x v="4"/>
    <x v="1"/>
    <x v="1"/>
    <x v="0"/>
    <x v="1"/>
    <x v="1"/>
    <x v="1"/>
    <x v="80"/>
    <x v="60"/>
    <x v="0"/>
    <x v="0"/>
    <x v="2"/>
    <x v="2"/>
  </r>
  <r>
    <x v="83"/>
    <x v="0"/>
    <x v="1"/>
    <x v="79"/>
    <x v="81"/>
    <x v="0"/>
    <x v="0"/>
    <x v="17"/>
    <x v="0"/>
    <x v="1"/>
    <x v="0"/>
    <x v="1"/>
    <x v="0"/>
    <x v="1"/>
    <x v="81"/>
    <x v="61"/>
    <x v="2"/>
    <x v="0"/>
    <x v="0"/>
    <x v="0"/>
  </r>
  <r>
    <x v="84"/>
    <x v="1"/>
    <x v="2"/>
    <x v="80"/>
    <x v="82"/>
    <x v="2"/>
    <x v="1"/>
    <x v="34"/>
    <x v="3"/>
    <x v="1"/>
    <x v="0"/>
    <x v="1"/>
    <x v="1"/>
    <x v="1"/>
    <x v="82"/>
    <x v="29"/>
    <x v="2"/>
    <x v="0"/>
    <x v="0"/>
    <x v="0"/>
  </r>
  <r>
    <x v="85"/>
    <x v="1"/>
    <x v="0"/>
    <x v="81"/>
    <x v="83"/>
    <x v="1"/>
    <x v="1"/>
    <x v="40"/>
    <x v="0"/>
    <x v="2"/>
    <x v="0"/>
    <x v="6"/>
    <x v="1"/>
    <x v="2"/>
    <x v="83"/>
    <x v="62"/>
    <x v="2"/>
    <x v="0"/>
    <x v="0"/>
    <x v="0"/>
  </r>
  <r>
    <x v="86"/>
    <x v="0"/>
    <x v="0"/>
    <x v="82"/>
    <x v="84"/>
    <x v="0"/>
    <x v="0"/>
    <x v="36"/>
    <x v="3"/>
    <x v="0"/>
    <x v="4"/>
    <x v="2"/>
    <x v="0"/>
    <x v="2"/>
    <x v="84"/>
    <x v="63"/>
    <x v="2"/>
    <x v="0"/>
    <x v="0"/>
    <x v="0"/>
  </r>
  <r>
    <x v="87"/>
    <x v="0"/>
    <x v="0"/>
    <x v="83"/>
    <x v="85"/>
    <x v="0"/>
    <x v="0"/>
    <x v="4"/>
    <x v="1"/>
    <x v="1"/>
    <x v="0"/>
    <x v="1"/>
    <x v="0"/>
    <x v="1"/>
    <x v="85"/>
    <x v="4"/>
    <x v="0"/>
    <x v="0"/>
    <x v="0"/>
    <x v="0"/>
  </r>
  <r>
    <x v="88"/>
    <x v="1"/>
    <x v="1"/>
    <x v="26"/>
    <x v="86"/>
    <x v="2"/>
    <x v="1"/>
    <x v="41"/>
    <x v="0"/>
    <x v="2"/>
    <x v="2"/>
    <x v="5"/>
    <x v="1"/>
    <x v="2"/>
    <x v="26"/>
    <x v="23"/>
    <x v="1"/>
    <x v="8"/>
    <x v="0"/>
    <x v="0"/>
  </r>
  <r>
    <x v="89"/>
    <x v="0"/>
    <x v="0"/>
    <x v="84"/>
    <x v="87"/>
    <x v="0"/>
    <x v="0"/>
    <x v="42"/>
    <x v="0"/>
    <x v="1"/>
    <x v="0"/>
    <x v="1"/>
    <x v="0"/>
    <x v="1"/>
    <x v="86"/>
    <x v="4"/>
    <x v="0"/>
    <x v="0"/>
    <x v="0"/>
    <x v="0"/>
  </r>
  <r>
    <x v="90"/>
    <x v="0"/>
    <x v="0"/>
    <x v="85"/>
    <x v="88"/>
    <x v="0"/>
    <x v="0"/>
    <x v="28"/>
    <x v="0"/>
    <x v="1"/>
    <x v="0"/>
    <x v="1"/>
    <x v="0"/>
    <x v="1"/>
    <x v="87"/>
    <x v="4"/>
    <x v="0"/>
    <x v="0"/>
    <x v="0"/>
    <x v="0"/>
  </r>
  <r>
    <x v="91"/>
    <x v="0"/>
    <x v="0"/>
    <x v="86"/>
    <x v="89"/>
    <x v="0"/>
    <x v="0"/>
    <x v="11"/>
    <x v="0"/>
    <x v="1"/>
    <x v="0"/>
    <x v="1"/>
    <x v="0"/>
    <x v="1"/>
    <x v="88"/>
    <x v="13"/>
    <x v="0"/>
    <x v="0"/>
    <x v="0"/>
    <x v="0"/>
  </r>
  <r>
    <x v="92"/>
    <x v="0"/>
    <x v="1"/>
    <x v="87"/>
    <x v="90"/>
    <x v="0"/>
    <x v="0"/>
    <x v="43"/>
    <x v="0"/>
    <x v="0"/>
    <x v="0"/>
    <x v="0"/>
    <x v="0"/>
    <x v="0"/>
    <x v="89"/>
    <x v="64"/>
    <x v="1"/>
    <x v="17"/>
    <x v="0"/>
    <x v="0"/>
  </r>
  <r>
    <x v="93"/>
    <x v="0"/>
    <x v="0"/>
    <x v="88"/>
    <x v="91"/>
    <x v="0"/>
    <x v="0"/>
    <x v="2"/>
    <x v="0"/>
    <x v="0"/>
    <x v="2"/>
    <x v="6"/>
    <x v="0"/>
    <x v="2"/>
    <x v="90"/>
    <x v="65"/>
    <x v="2"/>
    <x v="0"/>
    <x v="0"/>
    <x v="0"/>
  </r>
  <r>
    <x v="94"/>
    <x v="0"/>
    <x v="0"/>
    <x v="89"/>
    <x v="92"/>
    <x v="0"/>
    <x v="0"/>
    <x v="44"/>
    <x v="0"/>
    <x v="1"/>
    <x v="0"/>
    <x v="1"/>
    <x v="0"/>
    <x v="1"/>
    <x v="91"/>
    <x v="0"/>
    <x v="0"/>
    <x v="0"/>
    <x v="0"/>
    <x v="0"/>
  </r>
  <r>
    <x v="95"/>
    <x v="0"/>
    <x v="0"/>
    <x v="90"/>
    <x v="93"/>
    <x v="0"/>
    <x v="0"/>
    <x v="4"/>
    <x v="1"/>
    <x v="1"/>
    <x v="0"/>
    <x v="1"/>
    <x v="0"/>
    <x v="1"/>
    <x v="92"/>
    <x v="4"/>
    <x v="0"/>
    <x v="0"/>
    <x v="0"/>
    <x v="0"/>
  </r>
  <r>
    <x v="96"/>
    <x v="0"/>
    <x v="1"/>
    <x v="91"/>
    <x v="94"/>
    <x v="0"/>
    <x v="0"/>
    <x v="45"/>
    <x v="4"/>
    <x v="1"/>
    <x v="0"/>
    <x v="1"/>
    <x v="0"/>
    <x v="1"/>
    <x v="93"/>
    <x v="66"/>
    <x v="2"/>
    <x v="18"/>
    <x v="1"/>
    <x v="1"/>
  </r>
  <r>
    <x v="97"/>
    <x v="1"/>
    <x v="1"/>
    <x v="92"/>
    <x v="95"/>
    <x v="0"/>
    <x v="0"/>
    <x v="41"/>
    <x v="0"/>
    <x v="1"/>
    <x v="1"/>
    <x v="0"/>
    <x v="1"/>
    <x v="0"/>
    <x v="94"/>
    <x v="67"/>
    <x v="1"/>
    <x v="19"/>
    <x v="1"/>
    <x v="1"/>
  </r>
  <r>
    <x v="98"/>
    <x v="1"/>
    <x v="2"/>
    <x v="93"/>
    <x v="96"/>
    <x v="1"/>
    <x v="1"/>
    <x v="15"/>
    <x v="0"/>
    <x v="1"/>
    <x v="1"/>
    <x v="0"/>
    <x v="1"/>
    <x v="0"/>
    <x v="95"/>
    <x v="68"/>
    <x v="2"/>
    <x v="0"/>
    <x v="0"/>
    <x v="0"/>
  </r>
  <r>
    <x v="99"/>
    <x v="0"/>
    <x v="2"/>
    <x v="94"/>
    <x v="97"/>
    <x v="0"/>
    <x v="0"/>
    <x v="15"/>
    <x v="0"/>
    <x v="0"/>
    <x v="0"/>
    <x v="0"/>
    <x v="0"/>
    <x v="0"/>
    <x v="96"/>
    <x v="19"/>
    <x v="2"/>
    <x v="0"/>
    <x v="0"/>
    <x v="0"/>
  </r>
  <r>
    <x v="100"/>
    <x v="0"/>
    <x v="0"/>
    <x v="95"/>
    <x v="98"/>
    <x v="2"/>
    <x v="1"/>
    <x v="17"/>
    <x v="0"/>
    <x v="1"/>
    <x v="0"/>
    <x v="1"/>
    <x v="0"/>
    <x v="1"/>
    <x v="97"/>
    <x v="25"/>
    <x v="0"/>
    <x v="0"/>
    <x v="0"/>
    <x v="0"/>
  </r>
  <r>
    <x v="101"/>
    <x v="0"/>
    <x v="0"/>
    <x v="96"/>
    <x v="99"/>
    <x v="0"/>
    <x v="0"/>
    <x v="4"/>
    <x v="1"/>
    <x v="1"/>
    <x v="0"/>
    <x v="1"/>
    <x v="0"/>
    <x v="1"/>
    <x v="98"/>
    <x v="25"/>
    <x v="0"/>
    <x v="0"/>
    <x v="0"/>
    <x v="0"/>
  </r>
  <r>
    <x v="102"/>
    <x v="0"/>
    <x v="1"/>
    <x v="97"/>
    <x v="100"/>
    <x v="0"/>
    <x v="0"/>
    <x v="23"/>
    <x v="0"/>
    <x v="1"/>
    <x v="1"/>
    <x v="0"/>
    <x v="0"/>
    <x v="0"/>
    <x v="99"/>
    <x v="69"/>
    <x v="1"/>
    <x v="20"/>
    <x v="0"/>
    <x v="0"/>
  </r>
  <r>
    <x v="103"/>
    <x v="0"/>
    <x v="0"/>
    <x v="98"/>
    <x v="101"/>
    <x v="0"/>
    <x v="0"/>
    <x v="40"/>
    <x v="0"/>
    <x v="1"/>
    <x v="0"/>
    <x v="1"/>
    <x v="0"/>
    <x v="1"/>
    <x v="100"/>
    <x v="70"/>
    <x v="0"/>
    <x v="0"/>
    <x v="0"/>
    <x v="0"/>
  </r>
  <r>
    <x v="104"/>
    <x v="0"/>
    <x v="0"/>
    <x v="99"/>
    <x v="102"/>
    <x v="0"/>
    <x v="0"/>
    <x v="46"/>
    <x v="0"/>
    <x v="4"/>
    <x v="0"/>
    <x v="3"/>
    <x v="0"/>
    <x v="0"/>
    <x v="101"/>
    <x v="2"/>
    <x v="0"/>
    <x v="0"/>
    <x v="0"/>
    <x v="0"/>
  </r>
  <r>
    <x v="105"/>
    <x v="0"/>
    <x v="0"/>
    <x v="100"/>
    <x v="103"/>
    <x v="0"/>
    <x v="0"/>
    <x v="17"/>
    <x v="0"/>
    <x v="1"/>
    <x v="0"/>
    <x v="1"/>
    <x v="0"/>
    <x v="1"/>
    <x v="102"/>
    <x v="25"/>
    <x v="0"/>
    <x v="0"/>
    <x v="0"/>
    <x v="0"/>
  </r>
  <r>
    <x v="106"/>
    <x v="1"/>
    <x v="0"/>
    <x v="101"/>
    <x v="104"/>
    <x v="2"/>
    <x v="1"/>
    <x v="23"/>
    <x v="0"/>
    <x v="1"/>
    <x v="0"/>
    <x v="1"/>
    <x v="1"/>
    <x v="1"/>
    <x v="103"/>
    <x v="55"/>
    <x v="0"/>
    <x v="0"/>
    <x v="0"/>
    <x v="0"/>
  </r>
  <r>
    <x v="107"/>
    <x v="1"/>
    <x v="0"/>
    <x v="102"/>
    <x v="105"/>
    <x v="0"/>
    <x v="0"/>
    <x v="4"/>
    <x v="1"/>
    <x v="1"/>
    <x v="0"/>
    <x v="1"/>
    <x v="1"/>
    <x v="1"/>
    <x v="104"/>
    <x v="71"/>
    <x v="0"/>
    <x v="0"/>
    <x v="0"/>
    <x v="0"/>
  </r>
  <r>
    <x v="108"/>
    <x v="0"/>
    <x v="0"/>
    <x v="103"/>
    <x v="106"/>
    <x v="0"/>
    <x v="0"/>
    <x v="1"/>
    <x v="0"/>
    <x v="1"/>
    <x v="0"/>
    <x v="1"/>
    <x v="0"/>
    <x v="1"/>
    <x v="105"/>
    <x v="25"/>
    <x v="0"/>
    <x v="0"/>
    <x v="0"/>
    <x v="0"/>
  </r>
  <r>
    <x v="109"/>
    <x v="1"/>
    <x v="0"/>
    <x v="5"/>
    <x v="82"/>
    <x v="2"/>
    <x v="1"/>
    <x v="4"/>
    <x v="1"/>
    <x v="0"/>
    <x v="0"/>
    <x v="0"/>
    <x v="1"/>
    <x v="0"/>
    <x v="106"/>
    <x v="72"/>
    <x v="2"/>
    <x v="0"/>
    <x v="2"/>
    <x v="2"/>
  </r>
  <r>
    <x v="110"/>
    <x v="0"/>
    <x v="1"/>
    <x v="104"/>
    <x v="107"/>
    <x v="0"/>
    <x v="0"/>
    <x v="47"/>
    <x v="0"/>
    <x v="1"/>
    <x v="0"/>
    <x v="1"/>
    <x v="0"/>
    <x v="1"/>
    <x v="107"/>
    <x v="31"/>
    <x v="1"/>
    <x v="21"/>
    <x v="0"/>
    <x v="0"/>
  </r>
  <r>
    <x v="111"/>
    <x v="0"/>
    <x v="0"/>
    <x v="105"/>
    <x v="108"/>
    <x v="2"/>
    <x v="1"/>
    <x v="48"/>
    <x v="3"/>
    <x v="0"/>
    <x v="0"/>
    <x v="0"/>
    <x v="0"/>
    <x v="0"/>
    <x v="108"/>
    <x v="53"/>
    <x v="2"/>
    <x v="0"/>
    <x v="1"/>
    <x v="1"/>
  </r>
  <r>
    <x v="112"/>
    <x v="0"/>
    <x v="0"/>
    <x v="106"/>
    <x v="109"/>
    <x v="0"/>
    <x v="0"/>
    <x v="0"/>
    <x v="0"/>
    <x v="1"/>
    <x v="0"/>
    <x v="1"/>
    <x v="0"/>
    <x v="1"/>
    <x v="109"/>
    <x v="4"/>
    <x v="0"/>
    <x v="0"/>
    <x v="0"/>
    <x v="0"/>
  </r>
  <r>
    <x v="113"/>
    <x v="0"/>
    <x v="0"/>
    <x v="107"/>
    <x v="110"/>
    <x v="2"/>
    <x v="1"/>
    <x v="11"/>
    <x v="0"/>
    <x v="0"/>
    <x v="0"/>
    <x v="0"/>
    <x v="0"/>
    <x v="0"/>
    <x v="110"/>
    <x v="73"/>
    <x v="0"/>
    <x v="0"/>
    <x v="0"/>
    <x v="0"/>
  </r>
  <r>
    <x v="114"/>
    <x v="0"/>
    <x v="0"/>
    <x v="108"/>
    <x v="111"/>
    <x v="2"/>
    <x v="1"/>
    <x v="34"/>
    <x v="3"/>
    <x v="1"/>
    <x v="0"/>
    <x v="1"/>
    <x v="0"/>
    <x v="1"/>
    <x v="111"/>
    <x v="74"/>
    <x v="2"/>
    <x v="0"/>
    <x v="1"/>
    <x v="1"/>
  </r>
  <r>
    <x v="115"/>
    <x v="0"/>
    <x v="0"/>
    <x v="109"/>
    <x v="112"/>
    <x v="0"/>
    <x v="0"/>
    <x v="23"/>
    <x v="0"/>
    <x v="1"/>
    <x v="0"/>
    <x v="1"/>
    <x v="0"/>
    <x v="1"/>
    <x v="112"/>
    <x v="2"/>
    <x v="0"/>
    <x v="0"/>
    <x v="0"/>
    <x v="0"/>
  </r>
  <r>
    <x v="116"/>
    <x v="0"/>
    <x v="0"/>
    <x v="110"/>
    <x v="113"/>
    <x v="0"/>
    <x v="0"/>
    <x v="49"/>
    <x v="4"/>
    <x v="1"/>
    <x v="0"/>
    <x v="1"/>
    <x v="0"/>
    <x v="1"/>
    <x v="113"/>
    <x v="28"/>
    <x v="0"/>
    <x v="0"/>
    <x v="2"/>
    <x v="2"/>
  </r>
  <r>
    <x v="117"/>
    <x v="0"/>
    <x v="2"/>
    <x v="39"/>
    <x v="114"/>
    <x v="0"/>
    <x v="0"/>
    <x v="28"/>
    <x v="0"/>
    <x v="0"/>
    <x v="0"/>
    <x v="0"/>
    <x v="0"/>
    <x v="0"/>
    <x v="40"/>
    <x v="35"/>
    <x v="2"/>
    <x v="0"/>
    <x v="0"/>
    <x v="0"/>
  </r>
  <r>
    <x v="118"/>
    <x v="0"/>
    <x v="1"/>
    <x v="111"/>
    <x v="115"/>
    <x v="0"/>
    <x v="0"/>
    <x v="42"/>
    <x v="0"/>
    <x v="1"/>
    <x v="1"/>
    <x v="0"/>
    <x v="0"/>
    <x v="0"/>
    <x v="114"/>
    <x v="75"/>
    <x v="1"/>
    <x v="22"/>
    <x v="1"/>
    <x v="1"/>
  </r>
  <r>
    <x v="119"/>
    <x v="0"/>
    <x v="0"/>
    <x v="13"/>
    <x v="116"/>
    <x v="2"/>
    <x v="1"/>
    <x v="6"/>
    <x v="2"/>
    <x v="3"/>
    <x v="2"/>
    <x v="4"/>
    <x v="0"/>
    <x v="2"/>
    <x v="13"/>
    <x v="12"/>
    <x v="2"/>
    <x v="0"/>
    <x v="0"/>
    <x v="0"/>
  </r>
  <r>
    <x v="120"/>
    <x v="0"/>
    <x v="2"/>
    <x v="112"/>
    <x v="117"/>
    <x v="0"/>
    <x v="0"/>
    <x v="23"/>
    <x v="0"/>
    <x v="4"/>
    <x v="0"/>
    <x v="3"/>
    <x v="0"/>
    <x v="0"/>
    <x v="70"/>
    <x v="52"/>
    <x v="1"/>
    <x v="0"/>
    <x v="0"/>
    <x v="0"/>
  </r>
  <r>
    <x v="121"/>
    <x v="0"/>
    <x v="0"/>
    <x v="113"/>
    <x v="118"/>
    <x v="0"/>
    <x v="0"/>
    <x v="4"/>
    <x v="1"/>
    <x v="1"/>
    <x v="0"/>
    <x v="1"/>
    <x v="0"/>
    <x v="1"/>
    <x v="115"/>
    <x v="4"/>
    <x v="0"/>
    <x v="0"/>
    <x v="0"/>
    <x v="0"/>
  </r>
  <r>
    <x v="122"/>
    <x v="0"/>
    <x v="2"/>
    <x v="9"/>
    <x v="119"/>
    <x v="0"/>
    <x v="0"/>
    <x v="50"/>
    <x v="0"/>
    <x v="0"/>
    <x v="0"/>
    <x v="0"/>
    <x v="0"/>
    <x v="0"/>
    <x v="9"/>
    <x v="9"/>
    <x v="2"/>
    <x v="0"/>
    <x v="1"/>
    <x v="1"/>
  </r>
  <r>
    <x v="123"/>
    <x v="1"/>
    <x v="2"/>
    <x v="114"/>
    <x v="120"/>
    <x v="2"/>
    <x v="1"/>
    <x v="50"/>
    <x v="0"/>
    <x v="1"/>
    <x v="0"/>
    <x v="1"/>
    <x v="1"/>
    <x v="1"/>
    <x v="116"/>
    <x v="16"/>
    <x v="2"/>
    <x v="23"/>
    <x v="0"/>
    <x v="0"/>
  </r>
  <r>
    <x v="124"/>
    <x v="0"/>
    <x v="1"/>
    <x v="97"/>
    <x v="121"/>
    <x v="0"/>
    <x v="0"/>
    <x v="5"/>
    <x v="0"/>
    <x v="1"/>
    <x v="1"/>
    <x v="0"/>
    <x v="0"/>
    <x v="0"/>
    <x v="99"/>
    <x v="69"/>
    <x v="1"/>
    <x v="20"/>
    <x v="0"/>
    <x v="0"/>
  </r>
  <r>
    <x v="125"/>
    <x v="1"/>
    <x v="0"/>
    <x v="37"/>
    <x v="122"/>
    <x v="3"/>
    <x v="0"/>
    <x v="51"/>
    <x v="2"/>
    <x v="0"/>
    <x v="0"/>
    <x v="0"/>
    <x v="1"/>
    <x v="0"/>
    <x v="38"/>
    <x v="33"/>
    <x v="2"/>
    <x v="0"/>
    <x v="1"/>
    <x v="1"/>
  </r>
  <r>
    <x v="126"/>
    <x v="0"/>
    <x v="0"/>
    <x v="115"/>
    <x v="123"/>
    <x v="0"/>
    <x v="0"/>
    <x v="4"/>
    <x v="1"/>
    <x v="1"/>
    <x v="0"/>
    <x v="1"/>
    <x v="0"/>
    <x v="1"/>
    <x v="117"/>
    <x v="28"/>
    <x v="0"/>
    <x v="0"/>
    <x v="2"/>
    <x v="2"/>
  </r>
  <r>
    <x v="127"/>
    <x v="1"/>
    <x v="0"/>
    <x v="116"/>
    <x v="124"/>
    <x v="0"/>
    <x v="0"/>
    <x v="42"/>
    <x v="0"/>
    <x v="1"/>
    <x v="0"/>
    <x v="1"/>
    <x v="1"/>
    <x v="1"/>
    <x v="118"/>
    <x v="76"/>
    <x v="0"/>
    <x v="0"/>
    <x v="0"/>
    <x v="0"/>
  </r>
  <r>
    <x v="128"/>
    <x v="1"/>
    <x v="0"/>
    <x v="117"/>
    <x v="125"/>
    <x v="2"/>
    <x v="1"/>
    <x v="4"/>
    <x v="1"/>
    <x v="0"/>
    <x v="1"/>
    <x v="3"/>
    <x v="1"/>
    <x v="0"/>
    <x v="119"/>
    <x v="77"/>
    <x v="2"/>
    <x v="24"/>
    <x v="1"/>
    <x v="1"/>
  </r>
  <r>
    <x v="129"/>
    <x v="0"/>
    <x v="0"/>
    <x v="118"/>
    <x v="126"/>
    <x v="0"/>
    <x v="0"/>
    <x v="33"/>
    <x v="0"/>
    <x v="1"/>
    <x v="0"/>
    <x v="1"/>
    <x v="0"/>
    <x v="1"/>
    <x v="120"/>
    <x v="78"/>
    <x v="0"/>
    <x v="0"/>
    <x v="0"/>
    <x v="0"/>
  </r>
  <r>
    <x v="130"/>
    <x v="0"/>
    <x v="0"/>
    <x v="119"/>
    <x v="127"/>
    <x v="0"/>
    <x v="0"/>
    <x v="40"/>
    <x v="0"/>
    <x v="1"/>
    <x v="0"/>
    <x v="1"/>
    <x v="0"/>
    <x v="1"/>
    <x v="121"/>
    <x v="25"/>
    <x v="0"/>
    <x v="0"/>
    <x v="1"/>
    <x v="1"/>
  </r>
  <r>
    <x v="131"/>
    <x v="0"/>
    <x v="0"/>
    <x v="120"/>
    <x v="128"/>
    <x v="0"/>
    <x v="0"/>
    <x v="11"/>
    <x v="0"/>
    <x v="1"/>
    <x v="0"/>
    <x v="1"/>
    <x v="0"/>
    <x v="1"/>
    <x v="122"/>
    <x v="79"/>
    <x v="0"/>
    <x v="0"/>
    <x v="0"/>
    <x v="0"/>
  </r>
  <r>
    <x v="132"/>
    <x v="0"/>
    <x v="0"/>
    <x v="121"/>
    <x v="129"/>
    <x v="1"/>
    <x v="1"/>
    <x v="47"/>
    <x v="0"/>
    <x v="0"/>
    <x v="0"/>
    <x v="0"/>
    <x v="0"/>
    <x v="0"/>
    <x v="123"/>
    <x v="80"/>
    <x v="2"/>
    <x v="0"/>
    <x v="0"/>
    <x v="0"/>
  </r>
  <r>
    <x v="133"/>
    <x v="1"/>
    <x v="2"/>
    <x v="122"/>
    <x v="130"/>
    <x v="1"/>
    <x v="1"/>
    <x v="28"/>
    <x v="0"/>
    <x v="0"/>
    <x v="0"/>
    <x v="0"/>
    <x v="1"/>
    <x v="0"/>
    <x v="124"/>
    <x v="19"/>
    <x v="2"/>
    <x v="0"/>
    <x v="0"/>
    <x v="0"/>
  </r>
  <r>
    <x v="134"/>
    <x v="0"/>
    <x v="2"/>
    <x v="123"/>
    <x v="131"/>
    <x v="0"/>
    <x v="0"/>
    <x v="37"/>
    <x v="0"/>
    <x v="1"/>
    <x v="0"/>
    <x v="1"/>
    <x v="0"/>
    <x v="1"/>
    <x v="125"/>
    <x v="16"/>
    <x v="2"/>
    <x v="0"/>
    <x v="0"/>
    <x v="0"/>
  </r>
  <r>
    <x v="135"/>
    <x v="0"/>
    <x v="2"/>
    <x v="124"/>
    <x v="132"/>
    <x v="0"/>
    <x v="0"/>
    <x v="41"/>
    <x v="0"/>
    <x v="1"/>
    <x v="0"/>
    <x v="1"/>
    <x v="0"/>
    <x v="1"/>
    <x v="126"/>
    <x v="81"/>
    <x v="2"/>
    <x v="0"/>
    <x v="1"/>
    <x v="1"/>
  </r>
  <r>
    <x v="136"/>
    <x v="1"/>
    <x v="1"/>
    <x v="125"/>
    <x v="133"/>
    <x v="2"/>
    <x v="1"/>
    <x v="19"/>
    <x v="3"/>
    <x v="1"/>
    <x v="2"/>
    <x v="3"/>
    <x v="1"/>
    <x v="0"/>
    <x v="127"/>
    <x v="82"/>
    <x v="2"/>
    <x v="25"/>
    <x v="0"/>
    <x v="0"/>
  </r>
  <r>
    <x v="137"/>
    <x v="0"/>
    <x v="1"/>
    <x v="3"/>
    <x v="134"/>
    <x v="0"/>
    <x v="0"/>
    <x v="46"/>
    <x v="0"/>
    <x v="0"/>
    <x v="0"/>
    <x v="0"/>
    <x v="0"/>
    <x v="0"/>
    <x v="3"/>
    <x v="3"/>
    <x v="1"/>
    <x v="2"/>
    <x v="0"/>
    <x v="0"/>
  </r>
  <r>
    <x v="138"/>
    <x v="0"/>
    <x v="0"/>
    <x v="126"/>
    <x v="135"/>
    <x v="0"/>
    <x v="0"/>
    <x v="36"/>
    <x v="3"/>
    <x v="1"/>
    <x v="0"/>
    <x v="1"/>
    <x v="0"/>
    <x v="1"/>
    <x v="128"/>
    <x v="83"/>
    <x v="0"/>
    <x v="0"/>
    <x v="0"/>
    <x v="0"/>
  </r>
  <r>
    <x v="139"/>
    <x v="0"/>
    <x v="1"/>
    <x v="127"/>
    <x v="136"/>
    <x v="0"/>
    <x v="0"/>
    <x v="42"/>
    <x v="0"/>
    <x v="1"/>
    <x v="0"/>
    <x v="1"/>
    <x v="0"/>
    <x v="1"/>
    <x v="129"/>
    <x v="84"/>
    <x v="1"/>
    <x v="26"/>
    <x v="1"/>
    <x v="1"/>
  </r>
  <r>
    <x v="140"/>
    <x v="0"/>
    <x v="0"/>
    <x v="128"/>
    <x v="137"/>
    <x v="1"/>
    <x v="1"/>
    <x v="4"/>
    <x v="1"/>
    <x v="1"/>
    <x v="2"/>
    <x v="3"/>
    <x v="0"/>
    <x v="0"/>
    <x v="130"/>
    <x v="49"/>
    <x v="2"/>
    <x v="0"/>
    <x v="1"/>
    <x v="1"/>
  </r>
  <r>
    <x v="141"/>
    <x v="1"/>
    <x v="0"/>
    <x v="129"/>
    <x v="138"/>
    <x v="2"/>
    <x v="1"/>
    <x v="0"/>
    <x v="0"/>
    <x v="1"/>
    <x v="0"/>
    <x v="1"/>
    <x v="1"/>
    <x v="1"/>
    <x v="131"/>
    <x v="28"/>
    <x v="0"/>
    <x v="0"/>
    <x v="0"/>
    <x v="0"/>
  </r>
  <r>
    <x v="142"/>
    <x v="1"/>
    <x v="0"/>
    <x v="130"/>
    <x v="139"/>
    <x v="1"/>
    <x v="1"/>
    <x v="42"/>
    <x v="0"/>
    <x v="0"/>
    <x v="0"/>
    <x v="0"/>
    <x v="1"/>
    <x v="0"/>
    <x v="132"/>
    <x v="62"/>
    <x v="2"/>
    <x v="0"/>
    <x v="0"/>
    <x v="0"/>
  </r>
  <r>
    <x v="143"/>
    <x v="0"/>
    <x v="0"/>
    <x v="131"/>
    <x v="140"/>
    <x v="0"/>
    <x v="0"/>
    <x v="19"/>
    <x v="3"/>
    <x v="1"/>
    <x v="0"/>
    <x v="1"/>
    <x v="0"/>
    <x v="1"/>
    <x v="133"/>
    <x v="85"/>
    <x v="0"/>
    <x v="0"/>
    <x v="2"/>
    <x v="2"/>
  </r>
  <r>
    <x v="144"/>
    <x v="0"/>
    <x v="2"/>
    <x v="132"/>
    <x v="141"/>
    <x v="0"/>
    <x v="0"/>
    <x v="24"/>
    <x v="3"/>
    <x v="1"/>
    <x v="0"/>
    <x v="1"/>
    <x v="0"/>
    <x v="1"/>
    <x v="134"/>
    <x v="86"/>
    <x v="2"/>
    <x v="0"/>
    <x v="0"/>
    <x v="0"/>
  </r>
  <r>
    <x v="145"/>
    <x v="0"/>
    <x v="2"/>
    <x v="133"/>
    <x v="142"/>
    <x v="0"/>
    <x v="0"/>
    <x v="19"/>
    <x v="3"/>
    <x v="0"/>
    <x v="1"/>
    <x v="3"/>
    <x v="0"/>
    <x v="0"/>
    <x v="135"/>
    <x v="87"/>
    <x v="2"/>
    <x v="0"/>
    <x v="0"/>
    <x v="0"/>
  </r>
  <r>
    <x v="146"/>
    <x v="1"/>
    <x v="0"/>
    <x v="13"/>
    <x v="143"/>
    <x v="0"/>
    <x v="0"/>
    <x v="7"/>
    <x v="0"/>
    <x v="1"/>
    <x v="0"/>
    <x v="1"/>
    <x v="1"/>
    <x v="1"/>
    <x v="136"/>
    <x v="88"/>
    <x v="0"/>
    <x v="0"/>
    <x v="0"/>
    <x v="0"/>
  </r>
  <r>
    <x v="147"/>
    <x v="0"/>
    <x v="0"/>
    <x v="82"/>
    <x v="144"/>
    <x v="2"/>
    <x v="1"/>
    <x v="52"/>
    <x v="2"/>
    <x v="4"/>
    <x v="2"/>
    <x v="2"/>
    <x v="0"/>
    <x v="2"/>
    <x v="84"/>
    <x v="63"/>
    <x v="2"/>
    <x v="0"/>
    <x v="0"/>
    <x v="0"/>
  </r>
  <r>
    <x v="148"/>
    <x v="0"/>
    <x v="2"/>
    <x v="134"/>
    <x v="145"/>
    <x v="0"/>
    <x v="0"/>
    <x v="53"/>
    <x v="0"/>
    <x v="1"/>
    <x v="2"/>
    <x v="3"/>
    <x v="0"/>
    <x v="0"/>
    <x v="137"/>
    <x v="19"/>
    <x v="2"/>
    <x v="27"/>
    <x v="0"/>
    <x v="0"/>
  </r>
  <r>
    <x v="149"/>
    <x v="0"/>
    <x v="2"/>
    <x v="135"/>
    <x v="146"/>
    <x v="5"/>
    <x v="0"/>
    <x v="22"/>
    <x v="0"/>
    <x v="1"/>
    <x v="0"/>
    <x v="1"/>
    <x v="0"/>
    <x v="1"/>
    <x v="138"/>
    <x v="16"/>
    <x v="2"/>
    <x v="0"/>
    <x v="0"/>
    <x v="0"/>
  </r>
  <r>
    <x v="150"/>
    <x v="0"/>
    <x v="2"/>
    <x v="136"/>
    <x v="147"/>
    <x v="5"/>
    <x v="0"/>
    <x v="54"/>
    <x v="0"/>
    <x v="1"/>
    <x v="0"/>
    <x v="1"/>
    <x v="0"/>
    <x v="1"/>
    <x v="139"/>
    <x v="89"/>
    <x v="2"/>
    <x v="0"/>
    <x v="0"/>
    <x v="0"/>
  </r>
  <r>
    <x v="151"/>
    <x v="1"/>
    <x v="1"/>
    <x v="137"/>
    <x v="148"/>
    <x v="1"/>
    <x v="1"/>
    <x v="0"/>
    <x v="0"/>
    <x v="0"/>
    <x v="0"/>
    <x v="0"/>
    <x v="1"/>
    <x v="0"/>
    <x v="140"/>
    <x v="90"/>
    <x v="1"/>
    <x v="28"/>
    <x v="0"/>
    <x v="0"/>
  </r>
  <r>
    <x v="152"/>
    <x v="0"/>
    <x v="0"/>
    <x v="138"/>
    <x v="149"/>
    <x v="0"/>
    <x v="0"/>
    <x v="55"/>
    <x v="0"/>
    <x v="1"/>
    <x v="0"/>
    <x v="1"/>
    <x v="0"/>
    <x v="1"/>
    <x v="141"/>
    <x v="4"/>
    <x v="0"/>
    <x v="0"/>
    <x v="0"/>
    <x v="0"/>
  </r>
  <r>
    <x v="153"/>
    <x v="0"/>
    <x v="0"/>
    <x v="139"/>
    <x v="150"/>
    <x v="0"/>
    <x v="0"/>
    <x v="56"/>
    <x v="0"/>
    <x v="1"/>
    <x v="2"/>
    <x v="3"/>
    <x v="0"/>
    <x v="0"/>
    <x v="142"/>
    <x v="80"/>
    <x v="2"/>
    <x v="0"/>
    <x v="0"/>
    <x v="0"/>
  </r>
  <r>
    <x v="154"/>
    <x v="0"/>
    <x v="0"/>
    <x v="140"/>
    <x v="151"/>
    <x v="0"/>
    <x v="0"/>
    <x v="4"/>
    <x v="1"/>
    <x v="1"/>
    <x v="0"/>
    <x v="1"/>
    <x v="0"/>
    <x v="1"/>
    <x v="143"/>
    <x v="91"/>
    <x v="0"/>
    <x v="0"/>
    <x v="0"/>
    <x v="0"/>
  </r>
  <r>
    <x v="155"/>
    <x v="0"/>
    <x v="1"/>
    <x v="17"/>
    <x v="152"/>
    <x v="0"/>
    <x v="0"/>
    <x v="54"/>
    <x v="0"/>
    <x v="1"/>
    <x v="1"/>
    <x v="0"/>
    <x v="0"/>
    <x v="0"/>
    <x v="144"/>
    <x v="92"/>
    <x v="1"/>
    <x v="0"/>
    <x v="1"/>
    <x v="1"/>
  </r>
  <r>
    <x v="156"/>
    <x v="1"/>
    <x v="0"/>
    <x v="141"/>
    <x v="153"/>
    <x v="2"/>
    <x v="1"/>
    <x v="36"/>
    <x v="3"/>
    <x v="1"/>
    <x v="0"/>
    <x v="1"/>
    <x v="1"/>
    <x v="1"/>
    <x v="145"/>
    <x v="93"/>
    <x v="0"/>
    <x v="0"/>
    <x v="2"/>
    <x v="2"/>
  </r>
  <r>
    <x v="157"/>
    <x v="0"/>
    <x v="0"/>
    <x v="142"/>
    <x v="154"/>
    <x v="0"/>
    <x v="0"/>
    <x v="39"/>
    <x v="0"/>
    <x v="1"/>
    <x v="0"/>
    <x v="1"/>
    <x v="0"/>
    <x v="1"/>
    <x v="146"/>
    <x v="4"/>
    <x v="0"/>
    <x v="0"/>
    <x v="0"/>
    <x v="0"/>
  </r>
  <r>
    <x v="158"/>
    <x v="0"/>
    <x v="0"/>
    <x v="143"/>
    <x v="155"/>
    <x v="0"/>
    <x v="0"/>
    <x v="4"/>
    <x v="1"/>
    <x v="1"/>
    <x v="0"/>
    <x v="1"/>
    <x v="0"/>
    <x v="1"/>
    <x v="147"/>
    <x v="51"/>
    <x v="0"/>
    <x v="0"/>
    <x v="0"/>
    <x v="0"/>
  </r>
  <r>
    <x v="159"/>
    <x v="0"/>
    <x v="0"/>
    <x v="144"/>
    <x v="156"/>
    <x v="3"/>
    <x v="0"/>
    <x v="4"/>
    <x v="1"/>
    <x v="6"/>
    <x v="2"/>
    <x v="8"/>
    <x v="0"/>
    <x v="2"/>
    <x v="148"/>
    <x v="94"/>
    <x v="1"/>
    <x v="0"/>
    <x v="0"/>
    <x v="0"/>
  </r>
  <r>
    <x v="160"/>
    <x v="0"/>
    <x v="0"/>
    <x v="145"/>
    <x v="157"/>
    <x v="0"/>
    <x v="0"/>
    <x v="57"/>
    <x v="0"/>
    <x v="1"/>
    <x v="1"/>
    <x v="0"/>
    <x v="0"/>
    <x v="0"/>
    <x v="149"/>
    <x v="95"/>
    <x v="2"/>
    <x v="0"/>
    <x v="0"/>
    <x v="0"/>
  </r>
  <r>
    <x v="161"/>
    <x v="1"/>
    <x v="2"/>
    <x v="146"/>
    <x v="158"/>
    <x v="1"/>
    <x v="1"/>
    <x v="20"/>
    <x v="0"/>
    <x v="1"/>
    <x v="0"/>
    <x v="1"/>
    <x v="1"/>
    <x v="1"/>
    <x v="150"/>
    <x v="96"/>
    <x v="2"/>
    <x v="0"/>
    <x v="0"/>
    <x v="0"/>
  </r>
  <r>
    <x v="162"/>
    <x v="0"/>
    <x v="0"/>
    <x v="147"/>
    <x v="159"/>
    <x v="0"/>
    <x v="0"/>
    <x v="2"/>
    <x v="0"/>
    <x v="1"/>
    <x v="0"/>
    <x v="1"/>
    <x v="0"/>
    <x v="1"/>
    <x v="151"/>
    <x v="71"/>
    <x v="0"/>
    <x v="0"/>
    <x v="0"/>
    <x v="0"/>
  </r>
  <r>
    <x v="163"/>
    <x v="0"/>
    <x v="0"/>
    <x v="148"/>
    <x v="160"/>
    <x v="0"/>
    <x v="0"/>
    <x v="34"/>
    <x v="3"/>
    <x v="1"/>
    <x v="0"/>
    <x v="1"/>
    <x v="0"/>
    <x v="1"/>
    <x v="152"/>
    <x v="51"/>
    <x v="0"/>
    <x v="0"/>
    <x v="0"/>
    <x v="0"/>
  </r>
  <r>
    <x v="164"/>
    <x v="0"/>
    <x v="0"/>
    <x v="48"/>
    <x v="161"/>
    <x v="3"/>
    <x v="0"/>
    <x v="58"/>
    <x v="2"/>
    <x v="3"/>
    <x v="1"/>
    <x v="5"/>
    <x v="0"/>
    <x v="2"/>
    <x v="49"/>
    <x v="40"/>
    <x v="2"/>
    <x v="0"/>
    <x v="0"/>
    <x v="0"/>
  </r>
  <r>
    <x v="165"/>
    <x v="1"/>
    <x v="0"/>
    <x v="149"/>
    <x v="162"/>
    <x v="3"/>
    <x v="0"/>
    <x v="52"/>
    <x v="2"/>
    <x v="1"/>
    <x v="2"/>
    <x v="3"/>
    <x v="1"/>
    <x v="0"/>
    <x v="153"/>
    <x v="97"/>
    <x v="2"/>
    <x v="0"/>
    <x v="0"/>
    <x v="0"/>
  </r>
  <r>
    <x v="166"/>
    <x v="1"/>
    <x v="1"/>
    <x v="150"/>
    <x v="163"/>
    <x v="1"/>
    <x v="1"/>
    <x v="4"/>
    <x v="1"/>
    <x v="1"/>
    <x v="1"/>
    <x v="0"/>
    <x v="1"/>
    <x v="0"/>
    <x v="154"/>
    <x v="98"/>
    <x v="1"/>
    <x v="29"/>
    <x v="0"/>
    <x v="0"/>
  </r>
  <r>
    <x v="167"/>
    <x v="0"/>
    <x v="0"/>
    <x v="61"/>
    <x v="164"/>
    <x v="1"/>
    <x v="1"/>
    <x v="33"/>
    <x v="0"/>
    <x v="0"/>
    <x v="5"/>
    <x v="5"/>
    <x v="0"/>
    <x v="2"/>
    <x v="62"/>
    <x v="48"/>
    <x v="2"/>
    <x v="0"/>
    <x v="0"/>
    <x v="0"/>
  </r>
  <r>
    <x v="168"/>
    <x v="0"/>
    <x v="1"/>
    <x v="151"/>
    <x v="165"/>
    <x v="0"/>
    <x v="0"/>
    <x v="4"/>
    <x v="1"/>
    <x v="1"/>
    <x v="0"/>
    <x v="1"/>
    <x v="0"/>
    <x v="1"/>
    <x v="155"/>
    <x v="99"/>
    <x v="2"/>
    <x v="0"/>
    <x v="0"/>
    <x v="0"/>
  </r>
  <r>
    <x v="169"/>
    <x v="0"/>
    <x v="0"/>
    <x v="152"/>
    <x v="73"/>
    <x v="0"/>
    <x v="0"/>
    <x v="17"/>
    <x v="0"/>
    <x v="1"/>
    <x v="0"/>
    <x v="1"/>
    <x v="0"/>
    <x v="1"/>
    <x v="72"/>
    <x v="54"/>
    <x v="1"/>
    <x v="0"/>
    <x v="0"/>
    <x v="0"/>
  </r>
  <r>
    <x v="170"/>
    <x v="0"/>
    <x v="1"/>
    <x v="153"/>
    <x v="166"/>
    <x v="0"/>
    <x v="0"/>
    <x v="59"/>
    <x v="4"/>
    <x v="1"/>
    <x v="0"/>
    <x v="1"/>
    <x v="0"/>
    <x v="1"/>
    <x v="156"/>
    <x v="100"/>
    <x v="2"/>
    <x v="30"/>
    <x v="0"/>
    <x v="0"/>
  </r>
  <r>
    <x v="171"/>
    <x v="0"/>
    <x v="0"/>
    <x v="16"/>
    <x v="167"/>
    <x v="3"/>
    <x v="0"/>
    <x v="9"/>
    <x v="2"/>
    <x v="3"/>
    <x v="1"/>
    <x v="5"/>
    <x v="0"/>
    <x v="2"/>
    <x v="16"/>
    <x v="15"/>
    <x v="2"/>
    <x v="0"/>
    <x v="2"/>
    <x v="2"/>
  </r>
  <r>
    <x v="172"/>
    <x v="1"/>
    <x v="0"/>
    <x v="8"/>
    <x v="168"/>
    <x v="2"/>
    <x v="1"/>
    <x v="58"/>
    <x v="2"/>
    <x v="0"/>
    <x v="1"/>
    <x v="3"/>
    <x v="1"/>
    <x v="0"/>
    <x v="8"/>
    <x v="8"/>
    <x v="2"/>
    <x v="0"/>
    <x v="0"/>
    <x v="0"/>
  </r>
  <r>
    <x v="173"/>
    <x v="0"/>
    <x v="0"/>
    <x v="154"/>
    <x v="169"/>
    <x v="0"/>
    <x v="0"/>
    <x v="23"/>
    <x v="0"/>
    <x v="1"/>
    <x v="0"/>
    <x v="1"/>
    <x v="0"/>
    <x v="1"/>
    <x v="157"/>
    <x v="2"/>
    <x v="0"/>
    <x v="0"/>
    <x v="0"/>
    <x v="0"/>
  </r>
  <r>
    <x v="174"/>
    <x v="0"/>
    <x v="1"/>
    <x v="155"/>
    <x v="170"/>
    <x v="0"/>
    <x v="0"/>
    <x v="60"/>
    <x v="0"/>
    <x v="1"/>
    <x v="0"/>
    <x v="1"/>
    <x v="0"/>
    <x v="1"/>
    <x v="158"/>
    <x v="101"/>
    <x v="2"/>
    <x v="31"/>
    <x v="1"/>
    <x v="1"/>
  </r>
  <r>
    <x v="175"/>
    <x v="0"/>
    <x v="0"/>
    <x v="156"/>
    <x v="171"/>
    <x v="0"/>
    <x v="0"/>
    <x v="24"/>
    <x v="3"/>
    <x v="0"/>
    <x v="1"/>
    <x v="3"/>
    <x v="0"/>
    <x v="0"/>
    <x v="159"/>
    <x v="13"/>
    <x v="0"/>
    <x v="0"/>
    <x v="0"/>
    <x v="0"/>
  </r>
  <r>
    <x v="176"/>
    <x v="0"/>
    <x v="0"/>
    <x v="157"/>
    <x v="172"/>
    <x v="3"/>
    <x v="0"/>
    <x v="4"/>
    <x v="1"/>
    <x v="2"/>
    <x v="1"/>
    <x v="2"/>
    <x v="0"/>
    <x v="2"/>
    <x v="160"/>
    <x v="102"/>
    <x v="2"/>
    <x v="0"/>
    <x v="0"/>
    <x v="0"/>
  </r>
  <r>
    <x v="177"/>
    <x v="0"/>
    <x v="1"/>
    <x v="158"/>
    <x v="173"/>
    <x v="2"/>
    <x v="1"/>
    <x v="61"/>
    <x v="0"/>
    <x v="1"/>
    <x v="0"/>
    <x v="1"/>
    <x v="0"/>
    <x v="1"/>
    <x v="161"/>
    <x v="103"/>
    <x v="2"/>
    <x v="32"/>
    <x v="1"/>
    <x v="1"/>
  </r>
  <r>
    <x v="178"/>
    <x v="0"/>
    <x v="2"/>
    <x v="159"/>
    <x v="174"/>
    <x v="0"/>
    <x v="0"/>
    <x v="39"/>
    <x v="0"/>
    <x v="1"/>
    <x v="0"/>
    <x v="1"/>
    <x v="0"/>
    <x v="1"/>
    <x v="162"/>
    <x v="16"/>
    <x v="2"/>
    <x v="0"/>
    <x v="0"/>
    <x v="0"/>
  </r>
  <r>
    <x v="179"/>
    <x v="0"/>
    <x v="0"/>
    <x v="160"/>
    <x v="175"/>
    <x v="0"/>
    <x v="0"/>
    <x v="62"/>
    <x v="0"/>
    <x v="1"/>
    <x v="0"/>
    <x v="1"/>
    <x v="0"/>
    <x v="1"/>
    <x v="163"/>
    <x v="104"/>
    <x v="0"/>
    <x v="0"/>
    <x v="0"/>
    <x v="0"/>
  </r>
  <r>
    <x v="180"/>
    <x v="0"/>
    <x v="0"/>
    <x v="144"/>
    <x v="176"/>
    <x v="2"/>
    <x v="1"/>
    <x v="4"/>
    <x v="1"/>
    <x v="6"/>
    <x v="2"/>
    <x v="8"/>
    <x v="0"/>
    <x v="2"/>
    <x v="148"/>
    <x v="94"/>
    <x v="1"/>
    <x v="0"/>
    <x v="0"/>
    <x v="0"/>
  </r>
  <r>
    <x v="181"/>
    <x v="0"/>
    <x v="2"/>
    <x v="161"/>
    <x v="177"/>
    <x v="0"/>
    <x v="0"/>
    <x v="4"/>
    <x v="1"/>
    <x v="1"/>
    <x v="0"/>
    <x v="1"/>
    <x v="0"/>
    <x v="1"/>
    <x v="164"/>
    <x v="105"/>
    <x v="2"/>
    <x v="0"/>
    <x v="1"/>
    <x v="1"/>
  </r>
  <r>
    <x v="182"/>
    <x v="0"/>
    <x v="0"/>
    <x v="24"/>
    <x v="178"/>
    <x v="3"/>
    <x v="0"/>
    <x v="52"/>
    <x v="2"/>
    <x v="3"/>
    <x v="2"/>
    <x v="4"/>
    <x v="0"/>
    <x v="2"/>
    <x v="24"/>
    <x v="22"/>
    <x v="2"/>
    <x v="0"/>
    <x v="0"/>
    <x v="0"/>
  </r>
  <r>
    <x v="183"/>
    <x v="1"/>
    <x v="2"/>
    <x v="162"/>
    <x v="179"/>
    <x v="3"/>
    <x v="0"/>
    <x v="58"/>
    <x v="2"/>
    <x v="4"/>
    <x v="1"/>
    <x v="6"/>
    <x v="1"/>
    <x v="2"/>
    <x v="165"/>
    <x v="106"/>
    <x v="2"/>
    <x v="33"/>
    <x v="0"/>
    <x v="0"/>
  </r>
  <r>
    <x v="184"/>
    <x v="1"/>
    <x v="0"/>
    <x v="163"/>
    <x v="180"/>
    <x v="2"/>
    <x v="1"/>
    <x v="9"/>
    <x v="2"/>
    <x v="1"/>
    <x v="2"/>
    <x v="3"/>
    <x v="1"/>
    <x v="0"/>
    <x v="166"/>
    <x v="107"/>
    <x v="2"/>
    <x v="0"/>
    <x v="0"/>
    <x v="0"/>
  </r>
  <r>
    <x v="185"/>
    <x v="0"/>
    <x v="1"/>
    <x v="164"/>
    <x v="181"/>
    <x v="0"/>
    <x v="0"/>
    <x v="4"/>
    <x v="1"/>
    <x v="1"/>
    <x v="0"/>
    <x v="1"/>
    <x v="0"/>
    <x v="1"/>
    <x v="167"/>
    <x v="108"/>
    <x v="1"/>
    <x v="34"/>
    <x v="0"/>
    <x v="0"/>
  </r>
  <r>
    <x v="186"/>
    <x v="1"/>
    <x v="0"/>
    <x v="165"/>
    <x v="182"/>
    <x v="1"/>
    <x v="1"/>
    <x v="4"/>
    <x v="1"/>
    <x v="0"/>
    <x v="0"/>
    <x v="0"/>
    <x v="1"/>
    <x v="0"/>
    <x v="168"/>
    <x v="37"/>
    <x v="2"/>
    <x v="0"/>
    <x v="2"/>
    <x v="2"/>
  </r>
  <r>
    <x v="187"/>
    <x v="1"/>
    <x v="1"/>
    <x v="166"/>
    <x v="183"/>
    <x v="0"/>
    <x v="0"/>
    <x v="33"/>
    <x v="0"/>
    <x v="1"/>
    <x v="0"/>
    <x v="1"/>
    <x v="1"/>
    <x v="1"/>
    <x v="169"/>
    <x v="11"/>
    <x v="2"/>
    <x v="0"/>
    <x v="0"/>
    <x v="0"/>
  </r>
  <r>
    <x v="188"/>
    <x v="0"/>
    <x v="0"/>
    <x v="167"/>
    <x v="184"/>
    <x v="0"/>
    <x v="0"/>
    <x v="20"/>
    <x v="0"/>
    <x v="0"/>
    <x v="1"/>
    <x v="3"/>
    <x v="0"/>
    <x v="0"/>
    <x v="170"/>
    <x v="37"/>
    <x v="2"/>
    <x v="0"/>
    <x v="2"/>
    <x v="2"/>
  </r>
  <r>
    <x v="189"/>
    <x v="0"/>
    <x v="0"/>
    <x v="168"/>
    <x v="185"/>
    <x v="0"/>
    <x v="0"/>
    <x v="62"/>
    <x v="0"/>
    <x v="1"/>
    <x v="0"/>
    <x v="1"/>
    <x v="0"/>
    <x v="1"/>
    <x v="171"/>
    <x v="25"/>
    <x v="0"/>
    <x v="0"/>
    <x v="0"/>
    <x v="0"/>
  </r>
  <r>
    <x v="190"/>
    <x v="1"/>
    <x v="2"/>
    <x v="169"/>
    <x v="186"/>
    <x v="1"/>
    <x v="1"/>
    <x v="35"/>
    <x v="0"/>
    <x v="1"/>
    <x v="0"/>
    <x v="1"/>
    <x v="1"/>
    <x v="1"/>
    <x v="172"/>
    <x v="16"/>
    <x v="2"/>
    <x v="0"/>
    <x v="0"/>
    <x v="0"/>
  </r>
  <r>
    <x v="191"/>
    <x v="0"/>
    <x v="2"/>
    <x v="170"/>
    <x v="187"/>
    <x v="0"/>
    <x v="0"/>
    <x v="19"/>
    <x v="3"/>
    <x v="1"/>
    <x v="0"/>
    <x v="1"/>
    <x v="0"/>
    <x v="1"/>
    <x v="173"/>
    <x v="16"/>
    <x v="2"/>
    <x v="0"/>
    <x v="0"/>
    <x v="0"/>
  </r>
  <r>
    <x v="192"/>
    <x v="1"/>
    <x v="0"/>
    <x v="171"/>
    <x v="188"/>
    <x v="2"/>
    <x v="1"/>
    <x v="19"/>
    <x v="3"/>
    <x v="0"/>
    <x v="0"/>
    <x v="0"/>
    <x v="1"/>
    <x v="0"/>
    <x v="174"/>
    <x v="13"/>
    <x v="0"/>
    <x v="0"/>
    <x v="0"/>
    <x v="0"/>
  </r>
  <r>
    <x v="193"/>
    <x v="1"/>
    <x v="2"/>
    <x v="134"/>
    <x v="189"/>
    <x v="3"/>
    <x v="0"/>
    <x v="25"/>
    <x v="2"/>
    <x v="0"/>
    <x v="1"/>
    <x v="3"/>
    <x v="1"/>
    <x v="0"/>
    <x v="137"/>
    <x v="19"/>
    <x v="2"/>
    <x v="27"/>
    <x v="0"/>
    <x v="0"/>
  </r>
  <r>
    <x v="194"/>
    <x v="1"/>
    <x v="1"/>
    <x v="172"/>
    <x v="190"/>
    <x v="1"/>
    <x v="1"/>
    <x v="57"/>
    <x v="0"/>
    <x v="1"/>
    <x v="0"/>
    <x v="1"/>
    <x v="1"/>
    <x v="1"/>
    <x v="175"/>
    <x v="26"/>
    <x v="2"/>
    <x v="35"/>
    <x v="1"/>
    <x v="1"/>
  </r>
  <r>
    <x v="195"/>
    <x v="1"/>
    <x v="1"/>
    <x v="173"/>
    <x v="191"/>
    <x v="2"/>
    <x v="1"/>
    <x v="10"/>
    <x v="0"/>
    <x v="1"/>
    <x v="0"/>
    <x v="1"/>
    <x v="1"/>
    <x v="1"/>
    <x v="30"/>
    <x v="27"/>
    <x v="1"/>
    <x v="36"/>
    <x v="1"/>
    <x v="1"/>
  </r>
  <r>
    <x v="196"/>
    <x v="0"/>
    <x v="0"/>
    <x v="174"/>
    <x v="192"/>
    <x v="0"/>
    <x v="0"/>
    <x v="4"/>
    <x v="1"/>
    <x v="1"/>
    <x v="0"/>
    <x v="1"/>
    <x v="0"/>
    <x v="1"/>
    <x v="176"/>
    <x v="28"/>
    <x v="0"/>
    <x v="0"/>
    <x v="2"/>
    <x v="2"/>
  </r>
  <r>
    <x v="197"/>
    <x v="0"/>
    <x v="0"/>
    <x v="140"/>
    <x v="193"/>
    <x v="0"/>
    <x v="0"/>
    <x v="22"/>
    <x v="0"/>
    <x v="1"/>
    <x v="1"/>
    <x v="0"/>
    <x v="0"/>
    <x v="0"/>
    <x v="177"/>
    <x v="109"/>
    <x v="0"/>
    <x v="0"/>
    <x v="0"/>
    <x v="0"/>
  </r>
  <r>
    <x v="198"/>
    <x v="1"/>
    <x v="0"/>
    <x v="175"/>
    <x v="194"/>
    <x v="2"/>
    <x v="1"/>
    <x v="4"/>
    <x v="1"/>
    <x v="1"/>
    <x v="0"/>
    <x v="1"/>
    <x v="1"/>
    <x v="1"/>
    <x v="178"/>
    <x v="28"/>
    <x v="0"/>
    <x v="0"/>
    <x v="2"/>
    <x v="2"/>
  </r>
  <r>
    <x v="199"/>
    <x v="0"/>
    <x v="2"/>
    <x v="176"/>
    <x v="195"/>
    <x v="2"/>
    <x v="1"/>
    <x v="42"/>
    <x v="0"/>
    <x v="1"/>
    <x v="0"/>
    <x v="1"/>
    <x v="0"/>
    <x v="1"/>
    <x v="179"/>
    <x v="16"/>
    <x v="2"/>
    <x v="0"/>
    <x v="0"/>
    <x v="0"/>
  </r>
  <r>
    <x v="200"/>
    <x v="0"/>
    <x v="0"/>
    <x v="177"/>
    <x v="196"/>
    <x v="0"/>
    <x v="0"/>
    <x v="17"/>
    <x v="0"/>
    <x v="1"/>
    <x v="0"/>
    <x v="1"/>
    <x v="0"/>
    <x v="1"/>
    <x v="180"/>
    <x v="59"/>
    <x v="0"/>
    <x v="0"/>
    <x v="0"/>
    <x v="0"/>
  </r>
  <r>
    <x v="201"/>
    <x v="0"/>
    <x v="0"/>
    <x v="144"/>
    <x v="197"/>
    <x v="0"/>
    <x v="0"/>
    <x v="4"/>
    <x v="1"/>
    <x v="6"/>
    <x v="2"/>
    <x v="8"/>
    <x v="0"/>
    <x v="2"/>
    <x v="148"/>
    <x v="94"/>
    <x v="1"/>
    <x v="0"/>
    <x v="0"/>
    <x v="0"/>
  </r>
  <r>
    <x v="202"/>
    <x v="0"/>
    <x v="0"/>
    <x v="178"/>
    <x v="198"/>
    <x v="0"/>
    <x v="0"/>
    <x v="15"/>
    <x v="0"/>
    <x v="1"/>
    <x v="0"/>
    <x v="1"/>
    <x v="0"/>
    <x v="1"/>
    <x v="181"/>
    <x v="110"/>
    <x v="0"/>
    <x v="0"/>
    <x v="0"/>
    <x v="0"/>
  </r>
  <r>
    <x v="203"/>
    <x v="0"/>
    <x v="0"/>
    <x v="179"/>
    <x v="199"/>
    <x v="0"/>
    <x v="0"/>
    <x v="63"/>
    <x v="0"/>
    <x v="1"/>
    <x v="0"/>
    <x v="1"/>
    <x v="0"/>
    <x v="1"/>
    <x v="182"/>
    <x v="18"/>
    <x v="0"/>
    <x v="0"/>
    <x v="1"/>
    <x v="1"/>
  </r>
  <r>
    <x v="204"/>
    <x v="1"/>
    <x v="0"/>
    <x v="180"/>
    <x v="200"/>
    <x v="0"/>
    <x v="0"/>
    <x v="24"/>
    <x v="3"/>
    <x v="1"/>
    <x v="0"/>
    <x v="1"/>
    <x v="1"/>
    <x v="1"/>
    <x v="183"/>
    <x v="4"/>
    <x v="0"/>
    <x v="0"/>
    <x v="0"/>
    <x v="0"/>
  </r>
  <r>
    <x v="205"/>
    <x v="0"/>
    <x v="0"/>
    <x v="181"/>
    <x v="201"/>
    <x v="2"/>
    <x v="1"/>
    <x v="6"/>
    <x v="2"/>
    <x v="1"/>
    <x v="1"/>
    <x v="0"/>
    <x v="0"/>
    <x v="0"/>
    <x v="184"/>
    <x v="111"/>
    <x v="2"/>
    <x v="4"/>
    <x v="0"/>
    <x v="0"/>
  </r>
  <r>
    <x v="206"/>
    <x v="0"/>
    <x v="0"/>
    <x v="81"/>
    <x v="202"/>
    <x v="0"/>
    <x v="0"/>
    <x v="35"/>
    <x v="0"/>
    <x v="0"/>
    <x v="0"/>
    <x v="0"/>
    <x v="0"/>
    <x v="0"/>
    <x v="83"/>
    <x v="62"/>
    <x v="2"/>
    <x v="0"/>
    <x v="0"/>
    <x v="0"/>
  </r>
  <r>
    <x v="207"/>
    <x v="1"/>
    <x v="0"/>
    <x v="182"/>
    <x v="203"/>
    <x v="0"/>
    <x v="0"/>
    <x v="2"/>
    <x v="0"/>
    <x v="1"/>
    <x v="0"/>
    <x v="1"/>
    <x v="1"/>
    <x v="1"/>
    <x v="185"/>
    <x v="112"/>
    <x v="2"/>
    <x v="0"/>
    <x v="1"/>
    <x v="1"/>
  </r>
  <r>
    <x v="208"/>
    <x v="1"/>
    <x v="0"/>
    <x v="183"/>
    <x v="204"/>
    <x v="2"/>
    <x v="1"/>
    <x v="36"/>
    <x v="3"/>
    <x v="1"/>
    <x v="0"/>
    <x v="1"/>
    <x v="1"/>
    <x v="1"/>
    <x v="186"/>
    <x v="28"/>
    <x v="0"/>
    <x v="0"/>
    <x v="2"/>
    <x v="2"/>
  </r>
  <r>
    <x v="209"/>
    <x v="1"/>
    <x v="1"/>
    <x v="184"/>
    <x v="205"/>
    <x v="0"/>
    <x v="0"/>
    <x v="20"/>
    <x v="0"/>
    <x v="1"/>
    <x v="0"/>
    <x v="1"/>
    <x v="1"/>
    <x v="1"/>
    <x v="187"/>
    <x v="113"/>
    <x v="2"/>
    <x v="37"/>
    <x v="1"/>
    <x v="1"/>
  </r>
  <r>
    <x v="210"/>
    <x v="0"/>
    <x v="0"/>
    <x v="185"/>
    <x v="206"/>
    <x v="0"/>
    <x v="0"/>
    <x v="42"/>
    <x v="0"/>
    <x v="1"/>
    <x v="0"/>
    <x v="1"/>
    <x v="0"/>
    <x v="1"/>
    <x v="188"/>
    <x v="79"/>
    <x v="0"/>
    <x v="0"/>
    <x v="0"/>
    <x v="0"/>
  </r>
  <r>
    <x v="211"/>
    <x v="1"/>
    <x v="2"/>
    <x v="186"/>
    <x v="207"/>
    <x v="2"/>
    <x v="1"/>
    <x v="3"/>
    <x v="0"/>
    <x v="1"/>
    <x v="0"/>
    <x v="1"/>
    <x v="1"/>
    <x v="1"/>
    <x v="189"/>
    <x v="35"/>
    <x v="2"/>
    <x v="0"/>
    <x v="0"/>
    <x v="0"/>
  </r>
  <r>
    <x v="212"/>
    <x v="0"/>
    <x v="0"/>
    <x v="187"/>
    <x v="208"/>
    <x v="0"/>
    <x v="0"/>
    <x v="0"/>
    <x v="0"/>
    <x v="1"/>
    <x v="0"/>
    <x v="1"/>
    <x v="0"/>
    <x v="1"/>
    <x v="190"/>
    <x v="0"/>
    <x v="0"/>
    <x v="0"/>
    <x v="0"/>
    <x v="0"/>
  </r>
  <r>
    <x v="213"/>
    <x v="0"/>
    <x v="2"/>
    <x v="188"/>
    <x v="209"/>
    <x v="0"/>
    <x v="0"/>
    <x v="39"/>
    <x v="0"/>
    <x v="1"/>
    <x v="0"/>
    <x v="1"/>
    <x v="0"/>
    <x v="1"/>
    <x v="191"/>
    <x v="16"/>
    <x v="2"/>
    <x v="0"/>
    <x v="0"/>
    <x v="0"/>
  </r>
  <r>
    <x v="214"/>
    <x v="0"/>
    <x v="0"/>
    <x v="189"/>
    <x v="210"/>
    <x v="0"/>
    <x v="0"/>
    <x v="4"/>
    <x v="1"/>
    <x v="0"/>
    <x v="0"/>
    <x v="0"/>
    <x v="0"/>
    <x v="0"/>
    <x v="192"/>
    <x v="28"/>
    <x v="0"/>
    <x v="0"/>
    <x v="2"/>
    <x v="2"/>
  </r>
  <r>
    <x v="215"/>
    <x v="1"/>
    <x v="1"/>
    <x v="190"/>
    <x v="211"/>
    <x v="2"/>
    <x v="1"/>
    <x v="14"/>
    <x v="0"/>
    <x v="0"/>
    <x v="0"/>
    <x v="0"/>
    <x v="1"/>
    <x v="0"/>
    <x v="193"/>
    <x v="114"/>
    <x v="1"/>
    <x v="38"/>
    <x v="1"/>
    <x v="1"/>
  </r>
  <r>
    <x v="216"/>
    <x v="1"/>
    <x v="0"/>
    <x v="191"/>
    <x v="212"/>
    <x v="2"/>
    <x v="1"/>
    <x v="7"/>
    <x v="0"/>
    <x v="1"/>
    <x v="0"/>
    <x v="1"/>
    <x v="1"/>
    <x v="1"/>
    <x v="194"/>
    <x v="2"/>
    <x v="0"/>
    <x v="0"/>
    <x v="0"/>
    <x v="0"/>
  </r>
  <r>
    <x v="217"/>
    <x v="0"/>
    <x v="2"/>
    <x v="192"/>
    <x v="213"/>
    <x v="0"/>
    <x v="0"/>
    <x v="22"/>
    <x v="0"/>
    <x v="0"/>
    <x v="0"/>
    <x v="0"/>
    <x v="0"/>
    <x v="0"/>
    <x v="195"/>
    <x v="115"/>
    <x v="2"/>
    <x v="0"/>
    <x v="0"/>
    <x v="0"/>
  </r>
  <r>
    <x v="218"/>
    <x v="1"/>
    <x v="1"/>
    <x v="193"/>
    <x v="214"/>
    <x v="2"/>
    <x v="1"/>
    <x v="35"/>
    <x v="0"/>
    <x v="1"/>
    <x v="0"/>
    <x v="1"/>
    <x v="1"/>
    <x v="1"/>
    <x v="196"/>
    <x v="116"/>
    <x v="1"/>
    <x v="39"/>
    <x v="1"/>
    <x v="1"/>
  </r>
  <r>
    <x v="219"/>
    <x v="0"/>
    <x v="2"/>
    <x v="60"/>
    <x v="215"/>
    <x v="0"/>
    <x v="0"/>
    <x v="39"/>
    <x v="0"/>
    <x v="1"/>
    <x v="0"/>
    <x v="1"/>
    <x v="0"/>
    <x v="1"/>
    <x v="197"/>
    <x v="29"/>
    <x v="2"/>
    <x v="0"/>
    <x v="0"/>
    <x v="0"/>
  </r>
  <r>
    <x v="220"/>
    <x v="1"/>
    <x v="0"/>
    <x v="194"/>
    <x v="216"/>
    <x v="0"/>
    <x v="0"/>
    <x v="36"/>
    <x v="3"/>
    <x v="1"/>
    <x v="0"/>
    <x v="1"/>
    <x v="1"/>
    <x v="1"/>
    <x v="198"/>
    <x v="4"/>
    <x v="0"/>
    <x v="0"/>
    <x v="0"/>
    <x v="0"/>
  </r>
  <r>
    <x v="221"/>
    <x v="0"/>
    <x v="2"/>
    <x v="195"/>
    <x v="217"/>
    <x v="0"/>
    <x v="0"/>
    <x v="7"/>
    <x v="0"/>
    <x v="1"/>
    <x v="0"/>
    <x v="1"/>
    <x v="0"/>
    <x v="1"/>
    <x v="199"/>
    <x v="16"/>
    <x v="2"/>
    <x v="0"/>
    <x v="0"/>
    <x v="0"/>
  </r>
  <r>
    <x v="222"/>
    <x v="0"/>
    <x v="0"/>
    <x v="196"/>
    <x v="218"/>
    <x v="0"/>
    <x v="0"/>
    <x v="54"/>
    <x v="0"/>
    <x v="1"/>
    <x v="0"/>
    <x v="1"/>
    <x v="0"/>
    <x v="1"/>
    <x v="200"/>
    <x v="4"/>
    <x v="0"/>
    <x v="0"/>
    <x v="0"/>
    <x v="0"/>
  </r>
  <r>
    <x v="223"/>
    <x v="0"/>
    <x v="0"/>
    <x v="197"/>
    <x v="219"/>
    <x v="0"/>
    <x v="0"/>
    <x v="4"/>
    <x v="1"/>
    <x v="1"/>
    <x v="0"/>
    <x v="1"/>
    <x v="0"/>
    <x v="1"/>
    <x v="201"/>
    <x v="25"/>
    <x v="0"/>
    <x v="0"/>
    <x v="0"/>
    <x v="0"/>
  </r>
  <r>
    <x v="224"/>
    <x v="1"/>
    <x v="1"/>
    <x v="198"/>
    <x v="220"/>
    <x v="0"/>
    <x v="0"/>
    <x v="1"/>
    <x v="0"/>
    <x v="0"/>
    <x v="0"/>
    <x v="0"/>
    <x v="1"/>
    <x v="0"/>
    <x v="202"/>
    <x v="117"/>
    <x v="1"/>
    <x v="40"/>
    <x v="0"/>
    <x v="0"/>
  </r>
  <r>
    <x v="225"/>
    <x v="0"/>
    <x v="0"/>
    <x v="199"/>
    <x v="221"/>
    <x v="0"/>
    <x v="0"/>
    <x v="0"/>
    <x v="0"/>
    <x v="1"/>
    <x v="0"/>
    <x v="1"/>
    <x v="0"/>
    <x v="1"/>
    <x v="203"/>
    <x v="118"/>
    <x v="0"/>
    <x v="0"/>
    <x v="0"/>
    <x v="0"/>
  </r>
  <r>
    <x v="226"/>
    <x v="1"/>
    <x v="2"/>
    <x v="200"/>
    <x v="44"/>
    <x v="0"/>
    <x v="0"/>
    <x v="19"/>
    <x v="3"/>
    <x v="1"/>
    <x v="0"/>
    <x v="1"/>
    <x v="1"/>
    <x v="1"/>
    <x v="204"/>
    <x v="29"/>
    <x v="2"/>
    <x v="0"/>
    <x v="0"/>
    <x v="0"/>
  </r>
  <r>
    <x v="227"/>
    <x v="0"/>
    <x v="0"/>
    <x v="201"/>
    <x v="222"/>
    <x v="0"/>
    <x v="0"/>
    <x v="64"/>
    <x v="0"/>
    <x v="1"/>
    <x v="0"/>
    <x v="1"/>
    <x v="0"/>
    <x v="1"/>
    <x v="205"/>
    <x v="0"/>
    <x v="0"/>
    <x v="0"/>
    <x v="0"/>
    <x v="0"/>
  </r>
  <r>
    <x v="228"/>
    <x v="0"/>
    <x v="2"/>
    <x v="202"/>
    <x v="223"/>
    <x v="0"/>
    <x v="0"/>
    <x v="24"/>
    <x v="3"/>
    <x v="1"/>
    <x v="0"/>
    <x v="1"/>
    <x v="0"/>
    <x v="1"/>
    <x v="206"/>
    <x v="16"/>
    <x v="2"/>
    <x v="0"/>
    <x v="0"/>
    <x v="0"/>
  </r>
  <r>
    <x v="229"/>
    <x v="0"/>
    <x v="0"/>
    <x v="157"/>
    <x v="224"/>
    <x v="2"/>
    <x v="1"/>
    <x v="4"/>
    <x v="1"/>
    <x v="2"/>
    <x v="1"/>
    <x v="2"/>
    <x v="0"/>
    <x v="2"/>
    <x v="160"/>
    <x v="102"/>
    <x v="2"/>
    <x v="0"/>
    <x v="0"/>
    <x v="0"/>
  </r>
  <r>
    <x v="230"/>
    <x v="1"/>
    <x v="1"/>
    <x v="60"/>
    <x v="225"/>
    <x v="1"/>
    <x v="1"/>
    <x v="3"/>
    <x v="0"/>
    <x v="0"/>
    <x v="0"/>
    <x v="0"/>
    <x v="1"/>
    <x v="0"/>
    <x v="61"/>
    <x v="47"/>
    <x v="1"/>
    <x v="14"/>
    <x v="0"/>
    <x v="0"/>
  </r>
  <r>
    <x v="231"/>
    <x v="0"/>
    <x v="0"/>
    <x v="203"/>
    <x v="226"/>
    <x v="0"/>
    <x v="0"/>
    <x v="28"/>
    <x v="0"/>
    <x v="1"/>
    <x v="0"/>
    <x v="1"/>
    <x v="0"/>
    <x v="1"/>
    <x v="207"/>
    <x v="71"/>
    <x v="0"/>
    <x v="0"/>
    <x v="0"/>
    <x v="0"/>
  </r>
  <r>
    <x v="232"/>
    <x v="0"/>
    <x v="2"/>
    <x v="204"/>
    <x v="227"/>
    <x v="0"/>
    <x v="0"/>
    <x v="44"/>
    <x v="0"/>
    <x v="1"/>
    <x v="0"/>
    <x v="1"/>
    <x v="0"/>
    <x v="1"/>
    <x v="208"/>
    <x v="119"/>
    <x v="2"/>
    <x v="0"/>
    <x v="0"/>
    <x v="0"/>
  </r>
  <r>
    <x v="233"/>
    <x v="1"/>
    <x v="0"/>
    <x v="24"/>
    <x v="228"/>
    <x v="2"/>
    <x v="1"/>
    <x v="31"/>
    <x v="2"/>
    <x v="3"/>
    <x v="2"/>
    <x v="4"/>
    <x v="1"/>
    <x v="2"/>
    <x v="24"/>
    <x v="22"/>
    <x v="2"/>
    <x v="0"/>
    <x v="0"/>
    <x v="0"/>
  </r>
  <r>
    <x v="234"/>
    <x v="0"/>
    <x v="2"/>
    <x v="205"/>
    <x v="229"/>
    <x v="0"/>
    <x v="0"/>
    <x v="42"/>
    <x v="0"/>
    <x v="1"/>
    <x v="0"/>
    <x v="1"/>
    <x v="0"/>
    <x v="1"/>
    <x v="209"/>
    <x v="29"/>
    <x v="2"/>
    <x v="0"/>
    <x v="0"/>
    <x v="0"/>
  </r>
  <r>
    <x v="235"/>
    <x v="0"/>
    <x v="0"/>
    <x v="206"/>
    <x v="230"/>
    <x v="2"/>
    <x v="1"/>
    <x v="4"/>
    <x v="1"/>
    <x v="1"/>
    <x v="0"/>
    <x v="1"/>
    <x v="0"/>
    <x v="1"/>
    <x v="210"/>
    <x v="120"/>
    <x v="0"/>
    <x v="0"/>
    <x v="0"/>
    <x v="0"/>
  </r>
  <r>
    <x v="236"/>
    <x v="0"/>
    <x v="2"/>
    <x v="207"/>
    <x v="231"/>
    <x v="0"/>
    <x v="0"/>
    <x v="57"/>
    <x v="0"/>
    <x v="0"/>
    <x v="0"/>
    <x v="0"/>
    <x v="0"/>
    <x v="0"/>
    <x v="211"/>
    <x v="19"/>
    <x v="2"/>
    <x v="0"/>
    <x v="0"/>
    <x v="0"/>
  </r>
  <r>
    <x v="237"/>
    <x v="1"/>
    <x v="2"/>
    <x v="208"/>
    <x v="232"/>
    <x v="2"/>
    <x v="1"/>
    <x v="18"/>
    <x v="2"/>
    <x v="1"/>
    <x v="2"/>
    <x v="3"/>
    <x v="1"/>
    <x v="0"/>
    <x v="212"/>
    <x v="121"/>
    <x v="2"/>
    <x v="0"/>
    <x v="0"/>
    <x v="0"/>
  </r>
  <r>
    <x v="238"/>
    <x v="0"/>
    <x v="2"/>
    <x v="209"/>
    <x v="233"/>
    <x v="0"/>
    <x v="0"/>
    <x v="19"/>
    <x v="3"/>
    <x v="1"/>
    <x v="0"/>
    <x v="1"/>
    <x v="0"/>
    <x v="1"/>
    <x v="213"/>
    <x v="29"/>
    <x v="2"/>
    <x v="0"/>
    <x v="0"/>
    <x v="0"/>
  </r>
  <r>
    <x v="239"/>
    <x v="0"/>
    <x v="2"/>
    <x v="210"/>
    <x v="218"/>
    <x v="0"/>
    <x v="0"/>
    <x v="40"/>
    <x v="0"/>
    <x v="1"/>
    <x v="0"/>
    <x v="1"/>
    <x v="0"/>
    <x v="1"/>
    <x v="214"/>
    <x v="122"/>
    <x v="2"/>
    <x v="0"/>
    <x v="0"/>
    <x v="0"/>
  </r>
  <r>
    <x v="240"/>
    <x v="0"/>
    <x v="0"/>
    <x v="105"/>
    <x v="234"/>
    <x v="2"/>
    <x v="1"/>
    <x v="4"/>
    <x v="1"/>
    <x v="0"/>
    <x v="0"/>
    <x v="0"/>
    <x v="0"/>
    <x v="0"/>
    <x v="108"/>
    <x v="53"/>
    <x v="2"/>
    <x v="0"/>
    <x v="1"/>
    <x v="1"/>
  </r>
  <r>
    <x v="241"/>
    <x v="1"/>
    <x v="0"/>
    <x v="211"/>
    <x v="235"/>
    <x v="2"/>
    <x v="1"/>
    <x v="4"/>
    <x v="1"/>
    <x v="0"/>
    <x v="0"/>
    <x v="0"/>
    <x v="1"/>
    <x v="0"/>
    <x v="215"/>
    <x v="37"/>
    <x v="2"/>
    <x v="0"/>
    <x v="2"/>
    <x v="2"/>
  </r>
  <r>
    <x v="242"/>
    <x v="0"/>
    <x v="2"/>
    <x v="212"/>
    <x v="236"/>
    <x v="0"/>
    <x v="0"/>
    <x v="28"/>
    <x v="0"/>
    <x v="1"/>
    <x v="0"/>
    <x v="1"/>
    <x v="0"/>
    <x v="1"/>
    <x v="216"/>
    <x v="29"/>
    <x v="2"/>
    <x v="0"/>
    <x v="0"/>
    <x v="0"/>
  </r>
  <r>
    <x v="243"/>
    <x v="0"/>
    <x v="0"/>
    <x v="213"/>
    <x v="237"/>
    <x v="0"/>
    <x v="0"/>
    <x v="0"/>
    <x v="0"/>
    <x v="1"/>
    <x v="0"/>
    <x v="1"/>
    <x v="0"/>
    <x v="1"/>
    <x v="217"/>
    <x v="123"/>
    <x v="0"/>
    <x v="0"/>
    <x v="0"/>
    <x v="0"/>
  </r>
  <r>
    <x v="244"/>
    <x v="0"/>
    <x v="0"/>
    <x v="108"/>
    <x v="238"/>
    <x v="0"/>
    <x v="0"/>
    <x v="39"/>
    <x v="0"/>
    <x v="1"/>
    <x v="0"/>
    <x v="1"/>
    <x v="0"/>
    <x v="1"/>
    <x v="218"/>
    <x v="18"/>
    <x v="0"/>
    <x v="0"/>
    <x v="1"/>
    <x v="1"/>
  </r>
  <r>
    <x v="245"/>
    <x v="0"/>
    <x v="1"/>
    <x v="214"/>
    <x v="239"/>
    <x v="6"/>
    <x v="0"/>
    <x v="57"/>
    <x v="0"/>
    <x v="4"/>
    <x v="0"/>
    <x v="3"/>
    <x v="0"/>
    <x v="0"/>
    <x v="219"/>
    <x v="117"/>
    <x v="1"/>
    <x v="41"/>
    <x v="2"/>
    <x v="2"/>
  </r>
  <r>
    <x v="246"/>
    <x v="0"/>
    <x v="0"/>
    <x v="215"/>
    <x v="240"/>
    <x v="2"/>
    <x v="1"/>
    <x v="37"/>
    <x v="0"/>
    <x v="1"/>
    <x v="0"/>
    <x v="1"/>
    <x v="0"/>
    <x v="1"/>
    <x v="220"/>
    <x v="71"/>
    <x v="0"/>
    <x v="0"/>
    <x v="0"/>
    <x v="0"/>
  </r>
  <r>
    <x v="247"/>
    <x v="1"/>
    <x v="2"/>
    <x v="216"/>
    <x v="241"/>
    <x v="1"/>
    <x v="1"/>
    <x v="42"/>
    <x v="0"/>
    <x v="1"/>
    <x v="2"/>
    <x v="3"/>
    <x v="1"/>
    <x v="0"/>
    <x v="221"/>
    <x v="80"/>
    <x v="2"/>
    <x v="0"/>
    <x v="0"/>
    <x v="0"/>
  </r>
  <r>
    <x v="248"/>
    <x v="1"/>
    <x v="1"/>
    <x v="217"/>
    <x v="242"/>
    <x v="0"/>
    <x v="0"/>
    <x v="46"/>
    <x v="0"/>
    <x v="0"/>
    <x v="1"/>
    <x v="3"/>
    <x v="1"/>
    <x v="0"/>
    <x v="222"/>
    <x v="124"/>
    <x v="1"/>
    <x v="42"/>
    <x v="0"/>
    <x v="0"/>
  </r>
  <r>
    <x v="249"/>
    <x v="0"/>
    <x v="2"/>
    <x v="218"/>
    <x v="243"/>
    <x v="5"/>
    <x v="0"/>
    <x v="5"/>
    <x v="0"/>
    <x v="0"/>
    <x v="0"/>
    <x v="0"/>
    <x v="0"/>
    <x v="0"/>
    <x v="223"/>
    <x v="19"/>
    <x v="2"/>
    <x v="0"/>
    <x v="0"/>
    <x v="0"/>
  </r>
  <r>
    <x v="250"/>
    <x v="0"/>
    <x v="0"/>
    <x v="219"/>
    <x v="244"/>
    <x v="0"/>
    <x v="0"/>
    <x v="4"/>
    <x v="1"/>
    <x v="1"/>
    <x v="0"/>
    <x v="1"/>
    <x v="0"/>
    <x v="1"/>
    <x v="224"/>
    <x v="0"/>
    <x v="0"/>
    <x v="0"/>
    <x v="0"/>
    <x v="0"/>
  </r>
  <r>
    <x v="251"/>
    <x v="0"/>
    <x v="0"/>
    <x v="181"/>
    <x v="245"/>
    <x v="1"/>
    <x v="1"/>
    <x v="28"/>
    <x v="0"/>
    <x v="0"/>
    <x v="1"/>
    <x v="3"/>
    <x v="0"/>
    <x v="0"/>
    <x v="184"/>
    <x v="111"/>
    <x v="2"/>
    <x v="4"/>
    <x v="0"/>
    <x v="0"/>
  </r>
  <r>
    <x v="252"/>
    <x v="0"/>
    <x v="1"/>
    <x v="220"/>
    <x v="246"/>
    <x v="0"/>
    <x v="0"/>
    <x v="65"/>
    <x v="4"/>
    <x v="1"/>
    <x v="0"/>
    <x v="1"/>
    <x v="0"/>
    <x v="1"/>
    <x v="225"/>
    <x v="11"/>
    <x v="2"/>
    <x v="43"/>
    <x v="0"/>
    <x v="0"/>
  </r>
  <r>
    <x v="253"/>
    <x v="0"/>
    <x v="0"/>
    <x v="221"/>
    <x v="247"/>
    <x v="0"/>
    <x v="0"/>
    <x v="39"/>
    <x v="0"/>
    <x v="0"/>
    <x v="0"/>
    <x v="0"/>
    <x v="0"/>
    <x v="0"/>
    <x v="226"/>
    <x v="95"/>
    <x v="2"/>
    <x v="0"/>
    <x v="0"/>
    <x v="0"/>
  </r>
  <r>
    <x v="254"/>
    <x v="0"/>
    <x v="0"/>
    <x v="222"/>
    <x v="248"/>
    <x v="1"/>
    <x v="1"/>
    <x v="66"/>
    <x v="0"/>
    <x v="1"/>
    <x v="2"/>
    <x v="3"/>
    <x v="0"/>
    <x v="0"/>
    <x v="227"/>
    <x v="125"/>
    <x v="2"/>
    <x v="0"/>
    <x v="0"/>
    <x v="0"/>
  </r>
  <r>
    <x v="255"/>
    <x v="1"/>
    <x v="0"/>
    <x v="223"/>
    <x v="249"/>
    <x v="1"/>
    <x v="1"/>
    <x v="28"/>
    <x v="0"/>
    <x v="1"/>
    <x v="2"/>
    <x v="3"/>
    <x v="1"/>
    <x v="0"/>
    <x v="228"/>
    <x v="49"/>
    <x v="2"/>
    <x v="0"/>
    <x v="1"/>
    <x v="1"/>
  </r>
  <r>
    <x v="256"/>
    <x v="1"/>
    <x v="1"/>
    <x v="224"/>
    <x v="250"/>
    <x v="1"/>
    <x v="1"/>
    <x v="4"/>
    <x v="1"/>
    <x v="1"/>
    <x v="0"/>
    <x v="1"/>
    <x v="1"/>
    <x v="1"/>
    <x v="229"/>
    <x v="84"/>
    <x v="1"/>
    <x v="0"/>
    <x v="1"/>
    <x v="1"/>
  </r>
  <r>
    <x v="257"/>
    <x v="1"/>
    <x v="1"/>
    <x v="225"/>
    <x v="251"/>
    <x v="2"/>
    <x v="1"/>
    <x v="39"/>
    <x v="0"/>
    <x v="1"/>
    <x v="0"/>
    <x v="1"/>
    <x v="1"/>
    <x v="1"/>
    <x v="230"/>
    <x v="126"/>
    <x v="1"/>
    <x v="44"/>
    <x v="0"/>
    <x v="0"/>
  </r>
  <r>
    <x v="258"/>
    <x v="1"/>
    <x v="1"/>
    <x v="226"/>
    <x v="125"/>
    <x v="2"/>
    <x v="1"/>
    <x v="3"/>
    <x v="0"/>
    <x v="1"/>
    <x v="0"/>
    <x v="1"/>
    <x v="1"/>
    <x v="1"/>
    <x v="231"/>
    <x v="127"/>
    <x v="1"/>
    <x v="0"/>
    <x v="1"/>
    <x v="1"/>
  </r>
  <r>
    <x v="259"/>
    <x v="1"/>
    <x v="2"/>
    <x v="227"/>
    <x v="252"/>
    <x v="1"/>
    <x v="1"/>
    <x v="61"/>
    <x v="0"/>
    <x v="1"/>
    <x v="1"/>
    <x v="0"/>
    <x v="1"/>
    <x v="0"/>
    <x v="232"/>
    <x v="19"/>
    <x v="2"/>
    <x v="0"/>
    <x v="0"/>
    <x v="0"/>
  </r>
  <r>
    <x v="260"/>
    <x v="0"/>
    <x v="0"/>
    <x v="155"/>
    <x v="253"/>
    <x v="0"/>
    <x v="0"/>
    <x v="4"/>
    <x v="1"/>
    <x v="1"/>
    <x v="0"/>
    <x v="1"/>
    <x v="0"/>
    <x v="1"/>
    <x v="233"/>
    <x v="28"/>
    <x v="0"/>
    <x v="0"/>
    <x v="2"/>
    <x v="2"/>
  </r>
  <r>
    <x v="261"/>
    <x v="1"/>
    <x v="0"/>
    <x v="24"/>
    <x v="254"/>
    <x v="3"/>
    <x v="0"/>
    <x v="25"/>
    <x v="2"/>
    <x v="3"/>
    <x v="2"/>
    <x v="4"/>
    <x v="1"/>
    <x v="2"/>
    <x v="24"/>
    <x v="22"/>
    <x v="2"/>
    <x v="0"/>
    <x v="0"/>
    <x v="0"/>
  </r>
  <r>
    <x v="262"/>
    <x v="0"/>
    <x v="1"/>
    <x v="228"/>
    <x v="88"/>
    <x v="0"/>
    <x v="0"/>
    <x v="67"/>
    <x v="0"/>
    <x v="0"/>
    <x v="1"/>
    <x v="3"/>
    <x v="0"/>
    <x v="0"/>
    <x v="234"/>
    <x v="128"/>
    <x v="1"/>
    <x v="45"/>
    <x v="0"/>
    <x v="0"/>
  </r>
  <r>
    <x v="263"/>
    <x v="0"/>
    <x v="1"/>
    <x v="229"/>
    <x v="187"/>
    <x v="0"/>
    <x v="0"/>
    <x v="20"/>
    <x v="0"/>
    <x v="1"/>
    <x v="0"/>
    <x v="1"/>
    <x v="0"/>
    <x v="1"/>
    <x v="235"/>
    <x v="104"/>
    <x v="0"/>
    <x v="46"/>
    <x v="0"/>
    <x v="0"/>
  </r>
  <r>
    <x v="264"/>
    <x v="0"/>
    <x v="0"/>
    <x v="230"/>
    <x v="255"/>
    <x v="2"/>
    <x v="1"/>
    <x v="4"/>
    <x v="1"/>
    <x v="1"/>
    <x v="0"/>
    <x v="1"/>
    <x v="0"/>
    <x v="1"/>
    <x v="236"/>
    <x v="28"/>
    <x v="0"/>
    <x v="0"/>
    <x v="2"/>
    <x v="2"/>
  </r>
  <r>
    <x v="265"/>
    <x v="0"/>
    <x v="2"/>
    <x v="231"/>
    <x v="256"/>
    <x v="0"/>
    <x v="0"/>
    <x v="62"/>
    <x v="0"/>
    <x v="1"/>
    <x v="0"/>
    <x v="1"/>
    <x v="0"/>
    <x v="1"/>
    <x v="237"/>
    <x v="29"/>
    <x v="2"/>
    <x v="0"/>
    <x v="0"/>
    <x v="0"/>
  </r>
  <r>
    <x v="266"/>
    <x v="0"/>
    <x v="0"/>
    <x v="48"/>
    <x v="257"/>
    <x v="0"/>
    <x v="0"/>
    <x v="36"/>
    <x v="3"/>
    <x v="3"/>
    <x v="1"/>
    <x v="5"/>
    <x v="0"/>
    <x v="2"/>
    <x v="49"/>
    <x v="40"/>
    <x v="2"/>
    <x v="0"/>
    <x v="0"/>
    <x v="0"/>
  </r>
  <r>
    <x v="267"/>
    <x v="1"/>
    <x v="0"/>
    <x v="232"/>
    <x v="258"/>
    <x v="0"/>
    <x v="0"/>
    <x v="37"/>
    <x v="0"/>
    <x v="0"/>
    <x v="0"/>
    <x v="0"/>
    <x v="1"/>
    <x v="0"/>
    <x v="238"/>
    <x v="71"/>
    <x v="0"/>
    <x v="0"/>
    <x v="0"/>
    <x v="0"/>
  </r>
  <r>
    <x v="268"/>
    <x v="1"/>
    <x v="1"/>
    <x v="233"/>
    <x v="259"/>
    <x v="1"/>
    <x v="1"/>
    <x v="10"/>
    <x v="0"/>
    <x v="1"/>
    <x v="1"/>
    <x v="0"/>
    <x v="1"/>
    <x v="0"/>
    <x v="239"/>
    <x v="129"/>
    <x v="1"/>
    <x v="47"/>
    <x v="0"/>
    <x v="0"/>
  </r>
  <r>
    <x v="269"/>
    <x v="1"/>
    <x v="1"/>
    <x v="234"/>
    <x v="260"/>
    <x v="2"/>
    <x v="1"/>
    <x v="3"/>
    <x v="0"/>
    <x v="1"/>
    <x v="0"/>
    <x v="1"/>
    <x v="1"/>
    <x v="1"/>
    <x v="240"/>
    <x v="130"/>
    <x v="1"/>
    <x v="48"/>
    <x v="0"/>
    <x v="0"/>
  </r>
  <r>
    <x v="270"/>
    <x v="0"/>
    <x v="1"/>
    <x v="235"/>
    <x v="261"/>
    <x v="0"/>
    <x v="0"/>
    <x v="4"/>
    <x v="1"/>
    <x v="1"/>
    <x v="0"/>
    <x v="1"/>
    <x v="0"/>
    <x v="1"/>
    <x v="241"/>
    <x v="113"/>
    <x v="2"/>
    <x v="0"/>
    <x v="0"/>
    <x v="0"/>
  </r>
  <r>
    <x v="271"/>
    <x v="1"/>
    <x v="0"/>
    <x v="236"/>
    <x v="4"/>
    <x v="0"/>
    <x v="0"/>
    <x v="37"/>
    <x v="0"/>
    <x v="1"/>
    <x v="0"/>
    <x v="1"/>
    <x v="1"/>
    <x v="1"/>
    <x v="163"/>
    <x v="104"/>
    <x v="0"/>
    <x v="0"/>
    <x v="0"/>
    <x v="0"/>
  </r>
  <r>
    <x v="272"/>
    <x v="1"/>
    <x v="2"/>
    <x v="237"/>
    <x v="262"/>
    <x v="1"/>
    <x v="1"/>
    <x v="66"/>
    <x v="0"/>
    <x v="1"/>
    <x v="1"/>
    <x v="0"/>
    <x v="1"/>
    <x v="0"/>
    <x v="242"/>
    <x v="131"/>
    <x v="2"/>
    <x v="0"/>
    <x v="0"/>
    <x v="0"/>
  </r>
  <r>
    <x v="273"/>
    <x v="0"/>
    <x v="1"/>
    <x v="238"/>
    <x v="263"/>
    <x v="0"/>
    <x v="0"/>
    <x v="46"/>
    <x v="0"/>
    <x v="1"/>
    <x v="1"/>
    <x v="0"/>
    <x v="0"/>
    <x v="0"/>
    <x v="243"/>
    <x v="132"/>
    <x v="2"/>
    <x v="49"/>
    <x v="1"/>
    <x v="1"/>
  </r>
  <r>
    <x v="274"/>
    <x v="1"/>
    <x v="0"/>
    <x v="239"/>
    <x v="264"/>
    <x v="2"/>
    <x v="1"/>
    <x v="4"/>
    <x v="1"/>
    <x v="1"/>
    <x v="0"/>
    <x v="1"/>
    <x v="1"/>
    <x v="1"/>
    <x v="244"/>
    <x v="28"/>
    <x v="0"/>
    <x v="0"/>
    <x v="2"/>
    <x v="2"/>
  </r>
  <r>
    <x v="275"/>
    <x v="1"/>
    <x v="1"/>
    <x v="240"/>
    <x v="265"/>
    <x v="2"/>
    <x v="1"/>
    <x v="68"/>
    <x v="4"/>
    <x v="0"/>
    <x v="0"/>
    <x v="0"/>
    <x v="1"/>
    <x v="0"/>
    <x v="245"/>
    <x v="133"/>
    <x v="1"/>
    <x v="50"/>
    <x v="0"/>
    <x v="0"/>
  </r>
  <r>
    <x v="276"/>
    <x v="0"/>
    <x v="0"/>
    <x v="241"/>
    <x v="266"/>
    <x v="2"/>
    <x v="1"/>
    <x v="33"/>
    <x v="0"/>
    <x v="1"/>
    <x v="0"/>
    <x v="1"/>
    <x v="0"/>
    <x v="1"/>
    <x v="246"/>
    <x v="28"/>
    <x v="0"/>
    <x v="0"/>
    <x v="0"/>
    <x v="0"/>
  </r>
  <r>
    <x v="277"/>
    <x v="0"/>
    <x v="2"/>
    <x v="242"/>
    <x v="267"/>
    <x v="0"/>
    <x v="0"/>
    <x v="4"/>
    <x v="1"/>
    <x v="1"/>
    <x v="0"/>
    <x v="1"/>
    <x v="0"/>
    <x v="1"/>
    <x v="247"/>
    <x v="104"/>
    <x v="0"/>
    <x v="0"/>
    <x v="0"/>
    <x v="0"/>
  </r>
  <r>
    <x v="278"/>
    <x v="0"/>
    <x v="0"/>
    <x v="16"/>
    <x v="268"/>
    <x v="3"/>
    <x v="0"/>
    <x v="26"/>
    <x v="2"/>
    <x v="3"/>
    <x v="1"/>
    <x v="5"/>
    <x v="0"/>
    <x v="2"/>
    <x v="16"/>
    <x v="15"/>
    <x v="2"/>
    <x v="0"/>
    <x v="2"/>
    <x v="2"/>
  </r>
  <r>
    <x v="279"/>
    <x v="1"/>
    <x v="0"/>
    <x v="243"/>
    <x v="269"/>
    <x v="1"/>
    <x v="1"/>
    <x v="3"/>
    <x v="0"/>
    <x v="0"/>
    <x v="1"/>
    <x v="3"/>
    <x v="1"/>
    <x v="0"/>
    <x v="248"/>
    <x v="134"/>
    <x v="2"/>
    <x v="0"/>
    <x v="0"/>
    <x v="0"/>
  </r>
  <r>
    <x v="280"/>
    <x v="0"/>
    <x v="0"/>
    <x v="244"/>
    <x v="270"/>
    <x v="0"/>
    <x v="0"/>
    <x v="29"/>
    <x v="4"/>
    <x v="1"/>
    <x v="0"/>
    <x v="1"/>
    <x v="0"/>
    <x v="1"/>
    <x v="249"/>
    <x v="28"/>
    <x v="0"/>
    <x v="0"/>
    <x v="2"/>
    <x v="2"/>
  </r>
  <r>
    <x v="281"/>
    <x v="0"/>
    <x v="0"/>
    <x v="245"/>
    <x v="271"/>
    <x v="0"/>
    <x v="0"/>
    <x v="17"/>
    <x v="0"/>
    <x v="1"/>
    <x v="0"/>
    <x v="1"/>
    <x v="0"/>
    <x v="1"/>
    <x v="250"/>
    <x v="13"/>
    <x v="0"/>
    <x v="0"/>
    <x v="0"/>
    <x v="0"/>
  </r>
  <r>
    <x v="282"/>
    <x v="0"/>
    <x v="0"/>
    <x v="246"/>
    <x v="272"/>
    <x v="0"/>
    <x v="0"/>
    <x v="36"/>
    <x v="3"/>
    <x v="1"/>
    <x v="0"/>
    <x v="1"/>
    <x v="0"/>
    <x v="1"/>
    <x v="251"/>
    <x v="59"/>
    <x v="0"/>
    <x v="0"/>
    <x v="0"/>
    <x v="0"/>
  </r>
  <r>
    <x v="283"/>
    <x v="1"/>
    <x v="0"/>
    <x v="247"/>
    <x v="273"/>
    <x v="0"/>
    <x v="0"/>
    <x v="19"/>
    <x v="3"/>
    <x v="1"/>
    <x v="0"/>
    <x v="1"/>
    <x v="1"/>
    <x v="1"/>
    <x v="252"/>
    <x v="4"/>
    <x v="0"/>
    <x v="0"/>
    <x v="0"/>
    <x v="0"/>
  </r>
  <r>
    <x v="284"/>
    <x v="0"/>
    <x v="1"/>
    <x v="155"/>
    <x v="274"/>
    <x v="0"/>
    <x v="0"/>
    <x v="4"/>
    <x v="1"/>
    <x v="1"/>
    <x v="0"/>
    <x v="1"/>
    <x v="0"/>
    <x v="1"/>
    <x v="253"/>
    <x v="19"/>
    <x v="2"/>
    <x v="51"/>
    <x v="0"/>
    <x v="0"/>
  </r>
  <r>
    <x v="285"/>
    <x v="0"/>
    <x v="0"/>
    <x v="248"/>
    <x v="75"/>
    <x v="0"/>
    <x v="0"/>
    <x v="40"/>
    <x v="0"/>
    <x v="1"/>
    <x v="0"/>
    <x v="1"/>
    <x v="0"/>
    <x v="1"/>
    <x v="254"/>
    <x v="51"/>
    <x v="0"/>
    <x v="0"/>
    <x v="1"/>
    <x v="1"/>
  </r>
  <r>
    <x v="286"/>
    <x v="1"/>
    <x v="0"/>
    <x v="249"/>
    <x v="275"/>
    <x v="0"/>
    <x v="0"/>
    <x v="39"/>
    <x v="0"/>
    <x v="1"/>
    <x v="0"/>
    <x v="1"/>
    <x v="1"/>
    <x v="1"/>
    <x v="255"/>
    <x v="59"/>
    <x v="0"/>
    <x v="0"/>
    <x v="0"/>
    <x v="0"/>
  </r>
  <r>
    <x v="287"/>
    <x v="0"/>
    <x v="0"/>
    <x v="250"/>
    <x v="276"/>
    <x v="0"/>
    <x v="0"/>
    <x v="0"/>
    <x v="0"/>
    <x v="1"/>
    <x v="0"/>
    <x v="1"/>
    <x v="0"/>
    <x v="1"/>
    <x v="256"/>
    <x v="25"/>
    <x v="0"/>
    <x v="0"/>
    <x v="0"/>
    <x v="0"/>
  </r>
  <r>
    <x v="288"/>
    <x v="1"/>
    <x v="2"/>
    <x v="251"/>
    <x v="277"/>
    <x v="0"/>
    <x v="0"/>
    <x v="22"/>
    <x v="0"/>
    <x v="1"/>
    <x v="0"/>
    <x v="1"/>
    <x v="1"/>
    <x v="1"/>
    <x v="257"/>
    <x v="16"/>
    <x v="2"/>
    <x v="0"/>
    <x v="0"/>
    <x v="0"/>
  </r>
  <r>
    <x v="289"/>
    <x v="1"/>
    <x v="0"/>
    <x v="252"/>
    <x v="278"/>
    <x v="2"/>
    <x v="1"/>
    <x v="0"/>
    <x v="0"/>
    <x v="1"/>
    <x v="0"/>
    <x v="1"/>
    <x v="1"/>
    <x v="1"/>
    <x v="258"/>
    <x v="28"/>
    <x v="0"/>
    <x v="0"/>
    <x v="2"/>
    <x v="2"/>
  </r>
  <r>
    <x v="290"/>
    <x v="1"/>
    <x v="1"/>
    <x v="253"/>
    <x v="27"/>
    <x v="2"/>
    <x v="1"/>
    <x v="2"/>
    <x v="0"/>
    <x v="1"/>
    <x v="0"/>
    <x v="1"/>
    <x v="1"/>
    <x v="1"/>
    <x v="259"/>
    <x v="135"/>
    <x v="1"/>
    <x v="0"/>
    <x v="0"/>
    <x v="0"/>
  </r>
  <r>
    <x v="291"/>
    <x v="1"/>
    <x v="1"/>
    <x v="254"/>
    <x v="279"/>
    <x v="1"/>
    <x v="1"/>
    <x v="19"/>
    <x v="3"/>
    <x v="0"/>
    <x v="0"/>
    <x v="0"/>
    <x v="1"/>
    <x v="0"/>
    <x v="260"/>
    <x v="136"/>
    <x v="1"/>
    <x v="52"/>
    <x v="1"/>
    <x v="1"/>
  </r>
  <r>
    <x v="292"/>
    <x v="0"/>
    <x v="2"/>
    <x v="255"/>
    <x v="280"/>
    <x v="0"/>
    <x v="0"/>
    <x v="62"/>
    <x v="0"/>
    <x v="1"/>
    <x v="0"/>
    <x v="1"/>
    <x v="0"/>
    <x v="1"/>
    <x v="261"/>
    <x v="137"/>
    <x v="2"/>
    <x v="53"/>
    <x v="1"/>
    <x v="1"/>
  </r>
  <r>
    <x v="293"/>
    <x v="0"/>
    <x v="0"/>
    <x v="256"/>
    <x v="281"/>
    <x v="2"/>
    <x v="1"/>
    <x v="42"/>
    <x v="0"/>
    <x v="1"/>
    <x v="0"/>
    <x v="1"/>
    <x v="0"/>
    <x v="1"/>
    <x v="262"/>
    <x v="138"/>
    <x v="0"/>
    <x v="0"/>
    <x v="0"/>
    <x v="0"/>
  </r>
  <r>
    <x v="294"/>
    <x v="0"/>
    <x v="0"/>
    <x v="257"/>
    <x v="75"/>
    <x v="0"/>
    <x v="0"/>
    <x v="42"/>
    <x v="0"/>
    <x v="1"/>
    <x v="0"/>
    <x v="1"/>
    <x v="0"/>
    <x v="1"/>
    <x v="263"/>
    <x v="25"/>
    <x v="0"/>
    <x v="0"/>
    <x v="0"/>
    <x v="0"/>
  </r>
  <r>
    <x v="295"/>
    <x v="0"/>
    <x v="1"/>
    <x v="258"/>
    <x v="282"/>
    <x v="0"/>
    <x v="0"/>
    <x v="4"/>
    <x v="1"/>
    <x v="1"/>
    <x v="0"/>
    <x v="1"/>
    <x v="0"/>
    <x v="1"/>
    <x v="264"/>
    <x v="26"/>
    <x v="2"/>
    <x v="0"/>
    <x v="1"/>
    <x v="1"/>
  </r>
  <r>
    <x v="296"/>
    <x v="0"/>
    <x v="0"/>
    <x v="259"/>
    <x v="283"/>
    <x v="0"/>
    <x v="0"/>
    <x v="69"/>
    <x v="0"/>
    <x v="1"/>
    <x v="0"/>
    <x v="1"/>
    <x v="0"/>
    <x v="1"/>
    <x v="265"/>
    <x v="32"/>
    <x v="0"/>
    <x v="0"/>
    <x v="1"/>
    <x v="1"/>
  </r>
  <r>
    <x v="297"/>
    <x v="0"/>
    <x v="1"/>
    <x v="260"/>
    <x v="284"/>
    <x v="2"/>
    <x v="1"/>
    <x v="6"/>
    <x v="2"/>
    <x v="0"/>
    <x v="2"/>
    <x v="6"/>
    <x v="0"/>
    <x v="2"/>
    <x v="266"/>
    <x v="139"/>
    <x v="1"/>
    <x v="54"/>
    <x v="0"/>
    <x v="0"/>
  </r>
  <r>
    <x v="298"/>
    <x v="1"/>
    <x v="1"/>
    <x v="261"/>
    <x v="285"/>
    <x v="0"/>
    <x v="0"/>
    <x v="4"/>
    <x v="1"/>
    <x v="1"/>
    <x v="0"/>
    <x v="1"/>
    <x v="1"/>
    <x v="1"/>
    <x v="267"/>
    <x v="140"/>
    <x v="2"/>
    <x v="55"/>
    <x v="0"/>
    <x v="0"/>
  </r>
  <r>
    <x v="299"/>
    <x v="1"/>
    <x v="1"/>
    <x v="111"/>
    <x v="286"/>
    <x v="1"/>
    <x v="1"/>
    <x v="61"/>
    <x v="0"/>
    <x v="1"/>
    <x v="1"/>
    <x v="0"/>
    <x v="1"/>
    <x v="0"/>
    <x v="114"/>
    <x v="75"/>
    <x v="1"/>
    <x v="22"/>
    <x v="1"/>
    <x v="1"/>
  </r>
  <r>
    <x v="300"/>
    <x v="1"/>
    <x v="0"/>
    <x v="262"/>
    <x v="287"/>
    <x v="2"/>
    <x v="1"/>
    <x v="4"/>
    <x v="1"/>
    <x v="1"/>
    <x v="0"/>
    <x v="1"/>
    <x v="1"/>
    <x v="1"/>
    <x v="268"/>
    <x v="28"/>
    <x v="0"/>
    <x v="0"/>
    <x v="2"/>
    <x v="2"/>
  </r>
  <r>
    <x v="301"/>
    <x v="1"/>
    <x v="0"/>
    <x v="263"/>
    <x v="288"/>
    <x v="0"/>
    <x v="0"/>
    <x v="4"/>
    <x v="1"/>
    <x v="4"/>
    <x v="0"/>
    <x v="3"/>
    <x v="1"/>
    <x v="0"/>
    <x v="269"/>
    <x v="141"/>
    <x v="2"/>
    <x v="0"/>
    <x v="2"/>
    <x v="2"/>
  </r>
  <r>
    <x v="302"/>
    <x v="0"/>
    <x v="0"/>
    <x v="8"/>
    <x v="289"/>
    <x v="0"/>
    <x v="0"/>
    <x v="19"/>
    <x v="3"/>
    <x v="1"/>
    <x v="0"/>
    <x v="1"/>
    <x v="0"/>
    <x v="1"/>
    <x v="163"/>
    <x v="104"/>
    <x v="0"/>
    <x v="0"/>
    <x v="0"/>
    <x v="0"/>
  </r>
  <r>
    <x v="303"/>
    <x v="1"/>
    <x v="2"/>
    <x v="264"/>
    <x v="290"/>
    <x v="2"/>
    <x v="1"/>
    <x v="4"/>
    <x v="1"/>
    <x v="1"/>
    <x v="0"/>
    <x v="1"/>
    <x v="1"/>
    <x v="1"/>
    <x v="270"/>
    <x v="142"/>
    <x v="2"/>
    <x v="23"/>
    <x v="2"/>
    <x v="2"/>
  </r>
  <r>
    <x v="304"/>
    <x v="0"/>
    <x v="0"/>
    <x v="17"/>
    <x v="291"/>
    <x v="0"/>
    <x v="0"/>
    <x v="4"/>
    <x v="1"/>
    <x v="1"/>
    <x v="0"/>
    <x v="1"/>
    <x v="0"/>
    <x v="1"/>
    <x v="271"/>
    <x v="4"/>
    <x v="0"/>
    <x v="0"/>
    <x v="0"/>
    <x v="0"/>
  </r>
  <r>
    <x v="305"/>
    <x v="1"/>
    <x v="1"/>
    <x v="260"/>
    <x v="292"/>
    <x v="3"/>
    <x v="0"/>
    <x v="70"/>
    <x v="2"/>
    <x v="0"/>
    <x v="2"/>
    <x v="6"/>
    <x v="1"/>
    <x v="2"/>
    <x v="266"/>
    <x v="139"/>
    <x v="1"/>
    <x v="54"/>
    <x v="0"/>
    <x v="0"/>
  </r>
  <r>
    <x v="306"/>
    <x v="1"/>
    <x v="1"/>
    <x v="265"/>
    <x v="293"/>
    <x v="2"/>
    <x v="1"/>
    <x v="4"/>
    <x v="1"/>
    <x v="1"/>
    <x v="0"/>
    <x v="1"/>
    <x v="1"/>
    <x v="1"/>
    <x v="272"/>
    <x v="143"/>
    <x v="1"/>
    <x v="0"/>
    <x v="1"/>
    <x v="1"/>
  </r>
  <r>
    <x v="307"/>
    <x v="1"/>
    <x v="1"/>
    <x v="266"/>
    <x v="294"/>
    <x v="1"/>
    <x v="1"/>
    <x v="34"/>
    <x v="3"/>
    <x v="0"/>
    <x v="0"/>
    <x v="0"/>
    <x v="1"/>
    <x v="0"/>
    <x v="273"/>
    <x v="144"/>
    <x v="1"/>
    <x v="56"/>
    <x v="1"/>
    <x v="1"/>
  </r>
  <r>
    <x v="308"/>
    <x v="0"/>
    <x v="2"/>
    <x v="267"/>
    <x v="295"/>
    <x v="0"/>
    <x v="0"/>
    <x v="39"/>
    <x v="0"/>
    <x v="0"/>
    <x v="0"/>
    <x v="0"/>
    <x v="0"/>
    <x v="0"/>
    <x v="274"/>
    <x v="145"/>
    <x v="2"/>
    <x v="0"/>
    <x v="1"/>
    <x v="1"/>
  </r>
  <r>
    <x v="309"/>
    <x v="1"/>
    <x v="1"/>
    <x v="268"/>
    <x v="296"/>
    <x v="2"/>
    <x v="1"/>
    <x v="39"/>
    <x v="0"/>
    <x v="1"/>
    <x v="0"/>
    <x v="1"/>
    <x v="1"/>
    <x v="1"/>
    <x v="275"/>
    <x v="146"/>
    <x v="1"/>
    <x v="57"/>
    <x v="1"/>
    <x v="1"/>
  </r>
  <r>
    <x v="310"/>
    <x v="1"/>
    <x v="1"/>
    <x v="269"/>
    <x v="297"/>
    <x v="2"/>
    <x v="1"/>
    <x v="42"/>
    <x v="0"/>
    <x v="1"/>
    <x v="0"/>
    <x v="1"/>
    <x v="1"/>
    <x v="1"/>
    <x v="276"/>
    <x v="147"/>
    <x v="1"/>
    <x v="58"/>
    <x v="1"/>
    <x v="1"/>
  </r>
  <r>
    <x v="311"/>
    <x v="1"/>
    <x v="1"/>
    <x v="270"/>
    <x v="298"/>
    <x v="2"/>
    <x v="1"/>
    <x v="24"/>
    <x v="3"/>
    <x v="4"/>
    <x v="2"/>
    <x v="2"/>
    <x v="1"/>
    <x v="2"/>
    <x v="277"/>
    <x v="148"/>
    <x v="1"/>
    <x v="59"/>
    <x v="1"/>
    <x v="1"/>
  </r>
  <r>
    <x v="312"/>
    <x v="0"/>
    <x v="2"/>
    <x v="271"/>
    <x v="299"/>
    <x v="1"/>
    <x v="1"/>
    <x v="2"/>
    <x v="0"/>
    <x v="0"/>
    <x v="1"/>
    <x v="3"/>
    <x v="0"/>
    <x v="0"/>
    <x v="278"/>
    <x v="19"/>
    <x v="2"/>
    <x v="0"/>
    <x v="0"/>
    <x v="0"/>
  </r>
  <r>
    <x v="313"/>
    <x v="0"/>
    <x v="0"/>
    <x v="272"/>
    <x v="300"/>
    <x v="0"/>
    <x v="0"/>
    <x v="17"/>
    <x v="0"/>
    <x v="1"/>
    <x v="0"/>
    <x v="1"/>
    <x v="0"/>
    <x v="1"/>
    <x v="279"/>
    <x v="25"/>
    <x v="0"/>
    <x v="0"/>
    <x v="0"/>
    <x v="0"/>
  </r>
  <r>
    <x v="314"/>
    <x v="0"/>
    <x v="2"/>
    <x v="273"/>
    <x v="301"/>
    <x v="0"/>
    <x v="0"/>
    <x v="71"/>
    <x v="0"/>
    <x v="0"/>
    <x v="1"/>
    <x v="3"/>
    <x v="0"/>
    <x v="0"/>
    <x v="280"/>
    <x v="121"/>
    <x v="2"/>
    <x v="0"/>
    <x v="0"/>
    <x v="0"/>
  </r>
  <r>
    <x v="315"/>
    <x v="1"/>
    <x v="0"/>
    <x v="274"/>
    <x v="302"/>
    <x v="2"/>
    <x v="1"/>
    <x v="2"/>
    <x v="0"/>
    <x v="1"/>
    <x v="0"/>
    <x v="1"/>
    <x v="1"/>
    <x v="1"/>
    <x v="281"/>
    <x v="13"/>
    <x v="0"/>
    <x v="0"/>
    <x v="0"/>
    <x v="0"/>
  </r>
  <r>
    <x v="316"/>
    <x v="1"/>
    <x v="2"/>
    <x v="94"/>
    <x v="303"/>
    <x v="1"/>
    <x v="1"/>
    <x v="42"/>
    <x v="0"/>
    <x v="0"/>
    <x v="0"/>
    <x v="0"/>
    <x v="1"/>
    <x v="0"/>
    <x v="96"/>
    <x v="19"/>
    <x v="2"/>
    <x v="0"/>
    <x v="0"/>
    <x v="0"/>
  </r>
  <r>
    <x v="317"/>
    <x v="0"/>
    <x v="2"/>
    <x v="275"/>
    <x v="304"/>
    <x v="6"/>
    <x v="0"/>
    <x v="5"/>
    <x v="0"/>
    <x v="1"/>
    <x v="0"/>
    <x v="1"/>
    <x v="0"/>
    <x v="1"/>
    <x v="282"/>
    <x v="149"/>
    <x v="2"/>
    <x v="0"/>
    <x v="0"/>
    <x v="0"/>
  </r>
  <r>
    <x v="318"/>
    <x v="1"/>
    <x v="1"/>
    <x v="276"/>
    <x v="305"/>
    <x v="2"/>
    <x v="1"/>
    <x v="14"/>
    <x v="0"/>
    <x v="1"/>
    <x v="2"/>
    <x v="3"/>
    <x v="1"/>
    <x v="0"/>
    <x v="283"/>
    <x v="150"/>
    <x v="1"/>
    <x v="60"/>
    <x v="0"/>
    <x v="0"/>
  </r>
  <r>
    <x v="319"/>
    <x v="1"/>
    <x v="1"/>
    <x v="277"/>
    <x v="306"/>
    <x v="1"/>
    <x v="1"/>
    <x v="20"/>
    <x v="0"/>
    <x v="0"/>
    <x v="1"/>
    <x v="3"/>
    <x v="1"/>
    <x v="0"/>
    <x v="284"/>
    <x v="151"/>
    <x v="1"/>
    <x v="61"/>
    <x v="1"/>
    <x v="1"/>
  </r>
  <r>
    <x v="320"/>
    <x v="0"/>
    <x v="0"/>
    <x v="278"/>
    <x v="295"/>
    <x v="0"/>
    <x v="0"/>
    <x v="0"/>
    <x v="0"/>
    <x v="1"/>
    <x v="0"/>
    <x v="1"/>
    <x v="0"/>
    <x v="1"/>
    <x v="285"/>
    <x v="0"/>
    <x v="0"/>
    <x v="0"/>
    <x v="0"/>
    <x v="0"/>
  </r>
  <r>
    <x v="321"/>
    <x v="0"/>
    <x v="0"/>
    <x v="279"/>
    <x v="307"/>
    <x v="0"/>
    <x v="0"/>
    <x v="7"/>
    <x v="0"/>
    <x v="1"/>
    <x v="0"/>
    <x v="1"/>
    <x v="0"/>
    <x v="1"/>
    <x v="286"/>
    <x v="25"/>
    <x v="0"/>
    <x v="0"/>
    <x v="0"/>
    <x v="0"/>
  </r>
  <r>
    <x v="322"/>
    <x v="1"/>
    <x v="2"/>
    <x v="280"/>
    <x v="308"/>
    <x v="2"/>
    <x v="1"/>
    <x v="39"/>
    <x v="0"/>
    <x v="1"/>
    <x v="0"/>
    <x v="1"/>
    <x v="1"/>
    <x v="1"/>
    <x v="287"/>
    <x v="142"/>
    <x v="2"/>
    <x v="0"/>
    <x v="2"/>
    <x v="2"/>
  </r>
  <r>
    <x v="323"/>
    <x v="1"/>
    <x v="2"/>
    <x v="74"/>
    <x v="309"/>
    <x v="1"/>
    <x v="1"/>
    <x v="0"/>
    <x v="0"/>
    <x v="0"/>
    <x v="1"/>
    <x v="3"/>
    <x v="1"/>
    <x v="0"/>
    <x v="76"/>
    <x v="56"/>
    <x v="2"/>
    <x v="0"/>
    <x v="0"/>
    <x v="0"/>
  </r>
  <r>
    <x v="324"/>
    <x v="0"/>
    <x v="0"/>
    <x v="144"/>
    <x v="310"/>
    <x v="0"/>
    <x v="0"/>
    <x v="4"/>
    <x v="1"/>
    <x v="6"/>
    <x v="2"/>
    <x v="8"/>
    <x v="0"/>
    <x v="2"/>
    <x v="148"/>
    <x v="94"/>
    <x v="1"/>
    <x v="0"/>
    <x v="0"/>
    <x v="0"/>
  </r>
  <r>
    <x v="325"/>
    <x v="1"/>
    <x v="1"/>
    <x v="281"/>
    <x v="311"/>
    <x v="2"/>
    <x v="1"/>
    <x v="62"/>
    <x v="0"/>
    <x v="1"/>
    <x v="0"/>
    <x v="1"/>
    <x v="1"/>
    <x v="1"/>
    <x v="240"/>
    <x v="130"/>
    <x v="1"/>
    <x v="62"/>
    <x v="1"/>
    <x v="1"/>
  </r>
  <r>
    <x v="326"/>
    <x v="0"/>
    <x v="0"/>
    <x v="282"/>
    <x v="312"/>
    <x v="0"/>
    <x v="0"/>
    <x v="59"/>
    <x v="4"/>
    <x v="1"/>
    <x v="0"/>
    <x v="1"/>
    <x v="0"/>
    <x v="1"/>
    <x v="288"/>
    <x v="152"/>
    <x v="0"/>
    <x v="0"/>
    <x v="0"/>
    <x v="0"/>
  </r>
  <r>
    <x v="327"/>
    <x v="1"/>
    <x v="2"/>
    <x v="283"/>
    <x v="313"/>
    <x v="1"/>
    <x v="1"/>
    <x v="62"/>
    <x v="0"/>
    <x v="1"/>
    <x v="0"/>
    <x v="1"/>
    <x v="1"/>
    <x v="1"/>
    <x v="289"/>
    <x v="16"/>
    <x v="2"/>
    <x v="53"/>
    <x v="0"/>
    <x v="0"/>
  </r>
  <r>
    <x v="328"/>
    <x v="1"/>
    <x v="0"/>
    <x v="149"/>
    <x v="314"/>
    <x v="1"/>
    <x v="1"/>
    <x v="14"/>
    <x v="0"/>
    <x v="0"/>
    <x v="1"/>
    <x v="3"/>
    <x v="1"/>
    <x v="0"/>
    <x v="153"/>
    <x v="97"/>
    <x v="2"/>
    <x v="0"/>
    <x v="0"/>
    <x v="0"/>
  </r>
  <r>
    <x v="329"/>
    <x v="1"/>
    <x v="1"/>
    <x v="284"/>
    <x v="315"/>
    <x v="2"/>
    <x v="1"/>
    <x v="36"/>
    <x v="3"/>
    <x v="1"/>
    <x v="1"/>
    <x v="0"/>
    <x v="1"/>
    <x v="0"/>
    <x v="290"/>
    <x v="153"/>
    <x v="1"/>
    <x v="63"/>
    <x v="1"/>
    <x v="1"/>
  </r>
  <r>
    <x v="330"/>
    <x v="1"/>
    <x v="0"/>
    <x v="263"/>
    <x v="316"/>
    <x v="2"/>
    <x v="1"/>
    <x v="4"/>
    <x v="1"/>
    <x v="4"/>
    <x v="0"/>
    <x v="3"/>
    <x v="1"/>
    <x v="0"/>
    <x v="269"/>
    <x v="141"/>
    <x v="2"/>
    <x v="0"/>
    <x v="2"/>
    <x v="2"/>
  </r>
  <r>
    <x v="331"/>
    <x v="0"/>
    <x v="1"/>
    <x v="285"/>
    <x v="317"/>
    <x v="0"/>
    <x v="0"/>
    <x v="63"/>
    <x v="0"/>
    <x v="1"/>
    <x v="0"/>
    <x v="1"/>
    <x v="0"/>
    <x v="1"/>
    <x v="291"/>
    <x v="154"/>
    <x v="2"/>
    <x v="64"/>
    <x v="0"/>
    <x v="0"/>
  </r>
  <r>
    <x v="332"/>
    <x v="0"/>
    <x v="1"/>
    <x v="233"/>
    <x v="318"/>
    <x v="0"/>
    <x v="0"/>
    <x v="1"/>
    <x v="0"/>
    <x v="1"/>
    <x v="1"/>
    <x v="0"/>
    <x v="0"/>
    <x v="0"/>
    <x v="239"/>
    <x v="129"/>
    <x v="1"/>
    <x v="65"/>
    <x v="0"/>
    <x v="0"/>
  </r>
  <r>
    <x v="333"/>
    <x v="0"/>
    <x v="0"/>
    <x v="18"/>
    <x v="319"/>
    <x v="0"/>
    <x v="0"/>
    <x v="36"/>
    <x v="3"/>
    <x v="4"/>
    <x v="0"/>
    <x v="3"/>
    <x v="0"/>
    <x v="0"/>
    <x v="37"/>
    <x v="17"/>
    <x v="2"/>
    <x v="0"/>
    <x v="0"/>
    <x v="0"/>
  </r>
  <r>
    <x v="334"/>
    <x v="1"/>
    <x v="1"/>
    <x v="286"/>
    <x v="320"/>
    <x v="1"/>
    <x v="1"/>
    <x v="4"/>
    <x v="1"/>
    <x v="0"/>
    <x v="0"/>
    <x v="0"/>
    <x v="1"/>
    <x v="0"/>
    <x v="292"/>
    <x v="155"/>
    <x v="1"/>
    <x v="0"/>
    <x v="0"/>
    <x v="0"/>
  </r>
  <r>
    <x v="335"/>
    <x v="0"/>
    <x v="0"/>
    <x v="287"/>
    <x v="321"/>
    <x v="0"/>
    <x v="0"/>
    <x v="4"/>
    <x v="1"/>
    <x v="1"/>
    <x v="0"/>
    <x v="1"/>
    <x v="0"/>
    <x v="1"/>
    <x v="293"/>
    <x v="25"/>
    <x v="0"/>
    <x v="0"/>
    <x v="0"/>
    <x v="0"/>
  </r>
  <r>
    <x v="336"/>
    <x v="0"/>
    <x v="1"/>
    <x v="137"/>
    <x v="322"/>
    <x v="0"/>
    <x v="0"/>
    <x v="28"/>
    <x v="0"/>
    <x v="0"/>
    <x v="0"/>
    <x v="0"/>
    <x v="0"/>
    <x v="0"/>
    <x v="140"/>
    <x v="90"/>
    <x v="1"/>
    <x v="28"/>
    <x v="0"/>
    <x v="0"/>
  </r>
  <r>
    <x v="337"/>
    <x v="1"/>
    <x v="1"/>
    <x v="288"/>
    <x v="323"/>
    <x v="2"/>
    <x v="1"/>
    <x v="66"/>
    <x v="0"/>
    <x v="1"/>
    <x v="0"/>
    <x v="1"/>
    <x v="1"/>
    <x v="1"/>
    <x v="284"/>
    <x v="151"/>
    <x v="1"/>
    <x v="66"/>
    <x v="1"/>
    <x v="1"/>
  </r>
  <r>
    <x v="338"/>
    <x v="1"/>
    <x v="0"/>
    <x v="289"/>
    <x v="324"/>
    <x v="0"/>
    <x v="0"/>
    <x v="33"/>
    <x v="0"/>
    <x v="1"/>
    <x v="0"/>
    <x v="1"/>
    <x v="1"/>
    <x v="1"/>
    <x v="294"/>
    <x v="4"/>
    <x v="0"/>
    <x v="0"/>
    <x v="0"/>
    <x v="0"/>
  </r>
  <r>
    <x v="339"/>
    <x v="0"/>
    <x v="1"/>
    <x v="290"/>
    <x v="325"/>
    <x v="0"/>
    <x v="0"/>
    <x v="33"/>
    <x v="0"/>
    <x v="1"/>
    <x v="0"/>
    <x v="1"/>
    <x v="0"/>
    <x v="1"/>
    <x v="295"/>
    <x v="21"/>
    <x v="2"/>
    <x v="67"/>
    <x v="0"/>
    <x v="0"/>
  </r>
  <r>
    <x v="340"/>
    <x v="1"/>
    <x v="2"/>
    <x v="134"/>
    <x v="326"/>
    <x v="3"/>
    <x v="0"/>
    <x v="6"/>
    <x v="2"/>
    <x v="0"/>
    <x v="1"/>
    <x v="3"/>
    <x v="1"/>
    <x v="0"/>
    <x v="137"/>
    <x v="19"/>
    <x v="2"/>
    <x v="27"/>
    <x v="0"/>
    <x v="0"/>
  </r>
  <r>
    <x v="341"/>
    <x v="1"/>
    <x v="1"/>
    <x v="26"/>
    <x v="327"/>
    <x v="2"/>
    <x v="1"/>
    <x v="42"/>
    <x v="0"/>
    <x v="2"/>
    <x v="2"/>
    <x v="5"/>
    <x v="1"/>
    <x v="2"/>
    <x v="26"/>
    <x v="23"/>
    <x v="1"/>
    <x v="8"/>
    <x v="0"/>
    <x v="0"/>
  </r>
  <r>
    <x v="342"/>
    <x v="0"/>
    <x v="2"/>
    <x v="291"/>
    <x v="328"/>
    <x v="0"/>
    <x v="0"/>
    <x v="17"/>
    <x v="0"/>
    <x v="1"/>
    <x v="0"/>
    <x v="1"/>
    <x v="0"/>
    <x v="1"/>
    <x v="296"/>
    <x v="16"/>
    <x v="2"/>
    <x v="0"/>
    <x v="0"/>
    <x v="0"/>
  </r>
  <r>
    <x v="343"/>
    <x v="0"/>
    <x v="2"/>
    <x v="292"/>
    <x v="329"/>
    <x v="0"/>
    <x v="0"/>
    <x v="37"/>
    <x v="0"/>
    <x v="1"/>
    <x v="0"/>
    <x v="1"/>
    <x v="0"/>
    <x v="1"/>
    <x v="297"/>
    <x v="16"/>
    <x v="2"/>
    <x v="0"/>
    <x v="0"/>
    <x v="0"/>
  </r>
  <r>
    <x v="344"/>
    <x v="0"/>
    <x v="2"/>
    <x v="293"/>
    <x v="330"/>
    <x v="0"/>
    <x v="0"/>
    <x v="62"/>
    <x v="0"/>
    <x v="1"/>
    <x v="0"/>
    <x v="1"/>
    <x v="0"/>
    <x v="1"/>
    <x v="298"/>
    <x v="16"/>
    <x v="2"/>
    <x v="0"/>
    <x v="0"/>
    <x v="0"/>
  </r>
  <r>
    <x v="345"/>
    <x v="1"/>
    <x v="2"/>
    <x v="172"/>
    <x v="331"/>
    <x v="2"/>
    <x v="1"/>
    <x v="42"/>
    <x v="0"/>
    <x v="1"/>
    <x v="0"/>
    <x v="1"/>
    <x v="1"/>
    <x v="1"/>
    <x v="299"/>
    <x v="16"/>
    <x v="2"/>
    <x v="15"/>
    <x v="0"/>
    <x v="0"/>
  </r>
  <r>
    <x v="346"/>
    <x v="1"/>
    <x v="2"/>
    <x v="155"/>
    <x v="332"/>
    <x v="2"/>
    <x v="1"/>
    <x v="20"/>
    <x v="0"/>
    <x v="1"/>
    <x v="0"/>
    <x v="1"/>
    <x v="1"/>
    <x v="1"/>
    <x v="300"/>
    <x v="16"/>
    <x v="2"/>
    <x v="0"/>
    <x v="0"/>
    <x v="0"/>
  </r>
  <r>
    <x v="347"/>
    <x v="1"/>
    <x v="0"/>
    <x v="294"/>
    <x v="333"/>
    <x v="1"/>
    <x v="1"/>
    <x v="4"/>
    <x v="1"/>
    <x v="0"/>
    <x v="0"/>
    <x v="0"/>
    <x v="1"/>
    <x v="0"/>
    <x v="301"/>
    <x v="95"/>
    <x v="2"/>
    <x v="0"/>
    <x v="0"/>
    <x v="0"/>
  </r>
  <r>
    <x v="348"/>
    <x v="1"/>
    <x v="0"/>
    <x v="295"/>
    <x v="334"/>
    <x v="3"/>
    <x v="0"/>
    <x v="25"/>
    <x v="2"/>
    <x v="0"/>
    <x v="1"/>
    <x v="3"/>
    <x v="1"/>
    <x v="0"/>
    <x v="302"/>
    <x v="156"/>
    <x v="2"/>
    <x v="0"/>
    <x v="0"/>
    <x v="0"/>
  </r>
  <r>
    <x v="349"/>
    <x v="0"/>
    <x v="0"/>
    <x v="296"/>
    <x v="335"/>
    <x v="0"/>
    <x v="0"/>
    <x v="22"/>
    <x v="0"/>
    <x v="1"/>
    <x v="0"/>
    <x v="1"/>
    <x v="0"/>
    <x v="1"/>
    <x v="303"/>
    <x v="51"/>
    <x v="0"/>
    <x v="0"/>
    <x v="0"/>
    <x v="0"/>
  </r>
  <r>
    <x v="350"/>
    <x v="0"/>
    <x v="0"/>
    <x v="297"/>
    <x v="336"/>
    <x v="0"/>
    <x v="0"/>
    <x v="41"/>
    <x v="0"/>
    <x v="1"/>
    <x v="0"/>
    <x v="1"/>
    <x v="0"/>
    <x v="1"/>
    <x v="304"/>
    <x v="157"/>
    <x v="0"/>
    <x v="0"/>
    <x v="0"/>
    <x v="0"/>
  </r>
  <r>
    <x v="351"/>
    <x v="0"/>
    <x v="1"/>
    <x v="298"/>
    <x v="337"/>
    <x v="0"/>
    <x v="0"/>
    <x v="4"/>
    <x v="1"/>
    <x v="1"/>
    <x v="0"/>
    <x v="1"/>
    <x v="0"/>
    <x v="1"/>
    <x v="305"/>
    <x v="158"/>
    <x v="2"/>
    <x v="68"/>
    <x v="0"/>
    <x v="0"/>
  </r>
  <r>
    <x v="352"/>
    <x v="0"/>
    <x v="0"/>
    <x v="299"/>
    <x v="338"/>
    <x v="0"/>
    <x v="0"/>
    <x v="16"/>
    <x v="3"/>
    <x v="0"/>
    <x v="1"/>
    <x v="3"/>
    <x v="0"/>
    <x v="0"/>
    <x v="306"/>
    <x v="32"/>
    <x v="0"/>
    <x v="0"/>
    <x v="1"/>
    <x v="1"/>
  </r>
  <r>
    <x v="353"/>
    <x v="0"/>
    <x v="0"/>
    <x v="47"/>
    <x v="339"/>
    <x v="0"/>
    <x v="0"/>
    <x v="37"/>
    <x v="0"/>
    <x v="0"/>
    <x v="0"/>
    <x v="0"/>
    <x v="0"/>
    <x v="0"/>
    <x v="48"/>
    <x v="39"/>
    <x v="2"/>
    <x v="0"/>
    <x v="0"/>
    <x v="0"/>
  </r>
  <r>
    <x v="354"/>
    <x v="0"/>
    <x v="0"/>
    <x v="300"/>
    <x v="340"/>
    <x v="0"/>
    <x v="0"/>
    <x v="4"/>
    <x v="1"/>
    <x v="1"/>
    <x v="0"/>
    <x v="1"/>
    <x v="0"/>
    <x v="1"/>
    <x v="307"/>
    <x v="18"/>
    <x v="0"/>
    <x v="0"/>
    <x v="1"/>
    <x v="1"/>
  </r>
  <r>
    <x v="355"/>
    <x v="0"/>
    <x v="0"/>
    <x v="301"/>
    <x v="341"/>
    <x v="0"/>
    <x v="0"/>
    <x v="17"/>
    <x v="0"/>
    <x v="1"/>
    <x v="0"/>
    <x v="1"/>
    <x v="0"/>
    <x v="1"/>
    <x v="308"/>
    <x v="59"/>
    <x v="0"/>
    <x v="0"/>
    <x v="0"/>
    <x v="0"/>
  </r>
  <r>
    <x v="356"/>
    <x v="1"/>
    <x v="1"/>
    <x v="302"/>
    <x v="342"/>
    <x v="2"/>
    <x v="1"/>
    <x v="0"/>
    <x v="0"/>
    <x v="1"/>
    <x v="1"/>
    <x v="0"/>
    <x v="1"/>
    <x v="0"/>
    <x v="154"/>
    <x v="98"/>
    <x v="1"/>
    <x v="29"/>
    <x v="0"/>
    <x v="0"/>
  </r>
  <r>
    <x v="357"/>
    <x v="0"/>
    <x v="2"/>
    <x v="303"/>
    <x v="343"/>
    <x v="2"/>
    <x v="1"/>
    <x v="1"/>
    <x v="0"/>
    <x v="1"/>
    <x v="0"/>
    <x v="1"/>
    <x v="0"/>
    <x v="1"/>
    <x v="309"/>
    <x v="16"/>
    <x v="2"/>
    <x v="0"/>
    <x v="0"/>
    <x v="0"/>
  </r>
  <r>
    <x v="358"/>
    <x v="1"/>
    <x v="0"/>
    <x v="304"/>
    <x v="344"/>
    <x v="2"/>
    <x v="1"/>
    <x v="4"/>
    <x v="1"/>
    <x v="1"/>
    <x v="0"/>
    <x v="1"/>
    <x v="1"/>
    <x v="1"/>
    <x v="310"/>
    <x v="24"/>
    <x v="0"/>
    <x v="0"/>
    <x v="2"/>
    <x v="2"/>
  </r>
  <r>
    <x v="359"/>
    <x v="1"/>
    <x v="0"/>
    <x v="305"/>
    <x v="345"/>
    <x v="2"/>
    <x v="1"/>
    <x v="4"/>
    <x v="1"/>
    <x v="1"/>
    <x v="0"/>
    <x v="1"/>
    <x v="1"/>
    <x v="1"/>
    <x v="311"/>
    <x v="24"/>
    <x v="0"/>
    <x v="0"/>
    <x v="2"/>
    <x v="2"/>
  </r>
  <r>
    <x v="360"/>
    <x v="0"/>
    <x v="0"/>
    <x v="61"/>
    <x v="346"/>
    <x v="0"/>
    <x v="0"/>
    <x v="20"/>
    <x v="0"/>
    <x v="0"/>
    <x v="5"/>
    <x v="5"/>
    <x v="0"/>
    <x v="2"/>
    <x v="62"/>
    <x v="48"/>
    <x v="2"/>
    <x v="0"/>
    <x v="0"/>
    <x v="0"/>
  </r>
  <r>
    <x v="361"/>
    <x v="0"/>
    <x v="2"/>
    <x v="306"/>
    <x v="347"/>
    <x v="0"/>
    <x v="0"/>
    <x v="28"/>
    <x v="0"/>
    <x v="0"/>
    <x v="0"/>
    <x v="0"/>
    <x v="0"/>
    <x v="0"/>
    <x v="312"/>
    <x v="26"/>
    <x v="2"/>
    <x v="0"/>
    <x v="1"/>
    <x v="1"/>
  </r>
  <r>
    <x v="362"/>
    <x v="0"/>
    <x v="0"/>
    <x v="307"/>
    <x v="348"/>
    <x v="1"/>
    <x v="1"/>
    <x v="33"/>
    <x v="0"/>
    <x v="1"/>
    <x v="1"/>
    <x v="0"/>
    <x v="0"/>
    <x v="0"/>
    <x v="313"/>
    <x v="53"/>
    <x v="2"/>
    <x v="0"/>
    <x v="1"/>
    <x v="1"/>
  </r>
  <r>
    <x v="363"/>
    <x v="0"/>
    <x v="0"/>
    <x v="308"/>
    <x v="349"/>
    <x v="0"/>
    <x v="0"/>
    <x v="3"/>
    <x v="0"/>
    <x v="1"/>
    <x v="0"/>
    <x v="1"/>
    <x v="0"/>
    <x v="1"/>
    <x v="314"/>
    <x v="79"/>
    <x v="0"/>
    <x v="0"/>
    <x v="0"/>
    <x v="0"/>
  </r>
  <r>
    <x v="364"/>
    <x v="0"/>
    <x v="0"/>
    <x v="165"/>
    <x v="253"/>
    <x v="0"/>
    <x v="0"/>
    <x v="4"/>
    <x v="1"/>
    <x v="0"/>
    <x v="0"/>
    <x v="0"/>
    <x v="0"/>
    <x v="0"/>
    <x v="168"/>
    <x v="37"/>
    <x v="2"/>
    <x v="0"/>
    <x v="2"/>
    <x v="2"/>
  </r>
  <r>
    <x v="365"/>
    <x v="0"/>
    <x v="0"/>
    <x v="309"/>
    <x v="350"/>
    <x v="0"/>
    <x v="0"/>
    <x v="39"/>
    <x v="0"/>
    <x v="1"/>
    <x v="0"/>
    <x v="1"/>
    <x v="0"/>
    <x v="1"/>
    <x v="315"/>
    <x v="0"/>
    <x v="0"/>
    <x v="0"/>
    <x v="0"/>
    <x v="0"/>
  </r>
  <r>
    <x v="366"/>
    <x v="1"/>
    <x v="1"/>
    <x v="310"/>
    <x v="351"/>
    <x v="1"/>
    <x v="1"/>
    <x v="72"/>
    <x v="4"/>
    <x v="0"/>
    <x v="0"/>
    <x v="0"/>
    <x v="1"/>
    <x v="0"/>
    <x v="316"/>
    <x v="159"/>
    <x v="1"/>
    <x v="69"/>
    <x v="1"/>
    <x v="1"/>
  </r>
  <r>
    <x v="367"/>
    <x v="1"/>
    <x v="0"/>
    <x v="311"/>
    <x v="352"/>
    <x v="1"/>
    <x v="1"/>
    <x v="4"/>
    <x v="1"/>
    <x v="1"/>
    <x v="0"/>
    <x v="1"/>
    <x v="1"/>
    <x v="1"/>
    <x v="317"/>
    <x v="32"/>
    <x v="0"/>
    <x v="0"/>
    <x v="1"/>
    <x v="1"/>
  </r>
  <r>
    <x v="368"/>
    <x v="1"/>
    <x v="0"/>
    <x v="312"/>
    <x v="353"/>
    <x v="2"/>
    <x v="1"/>
    <x v="4"/>
    <x v="1"/>
    <x v="1"/>
    <x v="0"/>
    <x v="1"/>
    <x v="1"/>
    <x v="1"/>
    <x v="318"/>
    <x v="28"/>
    <x v="0"/>
    <x v="0"/>
    <x v="2"/>
    <x v="2"/>
  </r>
  <r>
    <x v="369"/>
    <x v="1"/>
    <x v="1"/>
    <x v="313"/>
    <x v="354"/>
    <x v="7"/>
    <x v="2"/>
    <x v="42"/>
    <x v="0"/>
    <x v="1"/>
    <x v="0"/>
    <x v="1"/>
    <x v="1"/>
    <x v="1"/>
    <x v="319"/>
    <x v="160"/>
    <x v="1"/>
    <x v="70"/>
    <x v="1"/>
    <x v="1"/>
  </r>
  <r>
    <x v="370"/>
    <x v="1"/>
    <x v="1"/>
    <x v="314"/>
    <x v="355"/>
    <x v="0"/>
    <x v="0"/>
    <x v="37"/>
    <x v="0"/>
    <x v="0"/>
    <x v="0"/>
    <x v="0"/>
    <x v="1"/>
    <x v="0"/>
    <x v="320"/>
    <x v="161"/>
    <x v="1"/>
    <x v="71"/>
    <x v="1"/>
    <x v="1"/>
  </r>
  <r>
    <x v="371"/>
    <x v="0"/>
    <x v="0"/>
    <x v="315"/>
    <x v="198"/>
    <x v="0"/>
    <x v="0"/>
    <x v="24"/>
    <x v="3"/>
    <x v="0"/>
    <x v="0"/>
    <x v="0"/>
    <x v="0"/>
    <x v="0"/>
    <x v="321"/>
    <x v="110"/>
    <x v="0"/>
    <x v="0"/>
    <x v="0"/>
    <x v="0"/>
  </r>
  <r>
    <x v="372"/>
    <x v="0"/>
    <x v="0"/>
    <x v="316"/>
    <x v="246"/>
    <x v="0"/>
    <x v="0"/>
    <x v="19"/>
    <x v="3"/>
    <x v="1"/>
    <x v="0"/>
    <x v="1"/>
    <x v="0"/>
    <x v="1"/>
    <x v="322"/>
    <x v="4"/>
    <x v="0"/>
    <x v="0"/>
    <x v="0"/>
    <x v="0"/>
  </r>
  <r>
    <x v="373"/>
    <x v="0"/>
    <x v="1"/>
    <x v="317"/>
    <x v="356"/>
    <x v="0"/>
    <x v="0"/>
    <x v="0"/>
    <x v="0"/>
    <x v="1"/>
    <x v="0"/>
    <x v="1"/>
    <x v="0"/>
    <x v="1"/>
    <x v="240"/>
    <x v="130"/>
    <x v="1"/>
    <x v="0"/>
    <x v="1"/>
    <x v="1"/>
  </r>
  <r>
    <x v="374"/>
    <x v="0"/>
    <x v="0"/>
    <x v="7"/>
    <x v="357"/>
    <x v="2"/>
    <x v="1"/>
    <x v="25"/>
    <x v="2"/>
    <x v="2"/>
    <x v="1"/>
    <x v="2"/>
    <x v="0"/>
    <x v="2"/>
    <x v="7"/>
    <x v="7"/>
    <x v="2"/>
    <x v="0"/>
    <x v="0"/>
    <x v="0"/>
  </r>
  <r>
    <x v="375"/>
    <x v="1"/>
    <x v="1"/>
    <x v="33"/>
    <x v="358"/>
    <x v="1"/>
    <x v="1"/>
    <x v="4"/>
    <x v="1"/>
    <x v="0"/>
    <x v="0"/>
    <x v="0"/>
    <x v="1"/>
    <x v="0"/>
    <x v="33"/>
    <x v="30"/>
    <x v="1"/>
    <x v="0"/>
    <x v="1"/>
    <x v="1"/>
  </r>
  <r>
    <x v="376"/>
    <x v="1"/>
    <x v="0"/>
    <x v="318"/>
    <x v="359"/>
    <x v="2"/>
    <x v="1"/>
    <x v="0"/>
    <x v="0"/>
    <x v="1"/>
    <x v="0"/>
    <x v="1"/>
    <x v="1"/>
    <x v="1"/>
    <x v="323"/>
    <x v="0"/>
    <x v="0"/>
    <x v="0"/>
    <x v="0"/>
    <x v="0"/>
  </r>
  <r>
    <x v="377"/>
    <x v="0"/>
    <x v="1"/>
    <x v="319"/>
    <x v="360"/>
    <x v="0"/>
    <x v="0"/>
    <x v="7"/>
    <x v="0"/>
    <x v="1"/>
    <x v="2"/>
    <x v="3"/>
    <x v="0"/>
    <x v="0"/>
    <x v="324"/>
    <x v="162"/>
    <x v="1"/>
    <x v="72"/>
    <x v="1"/>
    <x v="1"/>
  </r>
  <r>
    <x v="378"/>
    <x v="0"/>
    <x v="0"/>
    <x v="320"/>
    <x v="338"/>
    <x v="0"/>
    <x v="0"/>
    <x v="11"/>
    <x v="0"/>
    <x v="1"/>
    <x v="0"/>
    <x v="1"/>
    <x v="0"/>
    <x v="1"/>
    <x v="325"/>
    <x v="163"/>
    <x v="0"/>
    <x v="0"/>
    <x v="1"/>
    <x v="1"/>
  </r>
  <r>
    <x v="379"/>
    <x v="0"/>
    <x v="0"/>
    <x v="99"/>
    <x v="361"/>
    <x v="0"/>
    <x v="0"/>
    <x v="19"/>
    <x v="3"/>
    <x v="1"/>
    <x v="0"/>
    <x v="1"/>
    <x v="0"/>
    <x v="1"/>
    <x v="326"/>
    <x v="71"/>
    <x v="0"/>
    <x v="0"/>
    <x v="0"/>
    <x v="0"/>
  </r>
  <r>
    <x v="380"/>
    <x v="1"/>
    <x v="1"/>
    <x v="321"/>
    <x v="362"/>
    <x v="2"/>
    <x v="1"/>
    <x v="22"/>
    <x v="0"/>
    <x v="1"/>
    <x v="0"/>
    <x v="1"/>
    <x v="1"/>
    <x v="1"/>
    <x v="327"/>
    <x v="164"/>
    <x v="1"/>
    <x v="0"/>
    <x v="1"/>
    <x v="1"/>
  </r>
  <r>
    <x v="381"/>
    <x v="1"/>
    <x v="0"/>
    <x v="322"/>
    <x v="363"/>
    <x v="2"/>
    <x v="1"/>
    <x v="58"/>
    <x v="2"/>
    <x v="1"/>
    <x v="2"/>
    <x v="3"/>
    <x v="1"/>
    <x v="0"/>
    <x v="328"/>
    <x v="165"/>
    <x v="2"/>
    <x v="0"/>
    <x v="1"/>
    <x v="1"/>
  </r>
  <r>
    <x v="382"/>
    <x v="0"/>
    <x v="0"/>
    <x v="323"/>
    <x v="364"/>
    <x v="0"/>
    <x v="0"/>
    <x v="35"/>
    <x v="0"/>
    <x v="1"/>
    <x v="0"/>
    <x v="1"/>
    <x v="0"/>
    <x v="1"/>
    <x v="329"/>
    <x v="2"/>
    <x v="0"/>
    <x v="0"/>
    <x v="0"/>
    <x v="0"/>
  </r>
  <r>
    <x v="383"/>
    <x v="1"/>
    <x v="1"/>
    <x v="34"/>
    <x v="365"/>
    <x v="1"/>
    <x v="1"/>
    <x v="3"/>
    <x v="0"/>
    <x v="0"/>
    <x v="0"/>
    <x v="0"/>
    <x v="1"/>
    <x v="0"/>
    <x v="34"/>
    <x v="31"/>
    <x v="1"/>
    <x v="0"/>
    <x v="0"/>
    <x v="0"/>
  </r>
  <r>
    <x v="384"/>
    <x v="0"/>
    <x v="0"/>
    <x v="324"/>
    <x v="366"/>
    <x v="0"/>
    <x v="0"/>
    <x v="4"/>
    <x v="1"/>
    <x v="1"/>
    <x v="0"/>
    <x v="1"/>
    <x v="0"/>
    <x v="1"/>
    <x v="330"/>
    <x v="25"/>
    <x v="0"/>
    <x v="0"/>
    <x v="0"/>
    <x v="0"/>
  </r>
  <r>
    <x v="385"/>
    <x v="0"/>
    <x v="2"/>
    <x v="325"/>
    <x v="367"/>
    <x v="0"/>
    <x v="0"/>
    <x v="24"/>
    <x v="3"/>
    <x v="1"/>
    <x v="0"/>
    <x v="1"/>
    <x v="0"/>
    <x v="1"/>
    <x v="70"/>
    <x v="52"/>
    <x v="1"/>
    <x v="0"/>
    <x v="0"/>
    <x v="0"/>
  </r>
  <r>
    <x v="386"/>
    <x v="0"/>
    <x v="0"/>
    <x v="57"/>
    <x v="368"/>
    <x v="3"/>
    <x v="0"/>
    <x v="58"/>
    <x v="2"/>
    <x v="5"/>
    <x v="2"/>
    <x v="7"/>
    <x v="0"/>
    <x v="2"/>
    <x v="58"/>
    <x v="45"/>
    <x v="2"/>
    <x v="0"/>
    <x v="0"/>
    <x v="0"/>
  </r>
  <r>
    <x v="387"/>
    <x v="1"/>
    <x v="2"/>
    <x v="326"/>
    <x v="278"/>
    <x v="2"/>
    <x v="1"/>
    <x v="62"/>
    <x v="0"/>
    <x v="1"/>
    <x v="0"/>
    <x v="1"/>
    <x v="1"/>
    <x v="1"/>
    <x v="331"/>
    <x v="16"/>
    <x v="2"/>
    <x v="0"/>
    <x v="0"/>
    <x v="0"/>
  </r>
  <r>
    <x v="388"/>
    <x v="0"/>
    <x v="0"/>
    <x v="327"/>
    <x v="369"/>
    <x v="0"/>
    <x v="0"/>
    <x v="4"/>
    <x v="1"/>
    <x v="1"/>
    <x v="0"/>
    <x v="1"/>
    <x v="0"/>
    <x v="1"/>
    <x v="332"/>
    <x v="166"/>
    <x v="0"/>
    <x v="0"/>
    <x v="2"/>
    <x v="2"/>
  </r>
  <r>
    <x v="389"/>
    <x v="1"/>
    <x v="2"/>
    <x v="328"/>
    <x v="82"/>
    <x v="2"/>
    <x v="1"/>
    <x v="34"/>
    <x v="3"/>
    <x v="1"/>
    <x v="0"/>
    <x v="1"/>
    <x v="1"/>
    <x v="1"/>
    <x v="333"/>
    <x v="167"/>
    <x v="2"/>
    <x v="0"/>
    <x v="1"/>
    <x v="1"/>
  </r>
  <r>
    <x v="390"/>
    <x v="1"/>
    <x v="1"/>
    <x v="218"/>
    <x v="370"/>
    <x v="0"/>
    <x v="0"/>
    <x v="62"/>
    <x v="0"/>
    <x v="0"/>
    <x v="2"/>
    <x v="6"/>
    <x v="1"/>
    <x v="2"/>
    <x v="334"/>
    <x v="168"/>
    <x v="1"/>
    <x v="73"/>
    <x v="0"/>
    <x v="0"/>
  </r>
  <r>
    <x v="391"/>
    <x v="1"/>
    <x v="0"/>
    <x v="329"/>
    <x v="371"/>
    <x v="0"/>
    <x v="0"/>
    <x v="23"/>
    <x v="0"/>
    <x v="1"/>
    <x v="0"/>
    <x v="1"/>
    <x v="1"/>
    <x v="1"/>
    <x v="335"/>
    <x v="88"/>
    <x v="0"/>
    <x v="0"/>
    <x v="0"/>
    <x v="0"/>
  </r>
  <r>
    <x v="392"/>
    <x v="0"/>
    <x v="0"/>
    <x v="99"/>
    <x v="372"/>
    <x v="0"/>
    <x v="0"/>
    <x v="17"/>
    <x v="0"/>
    <x v="4"/>
    <x v="0"/>
    <x v="3"/>
    <x v="0"/>
    <x v="0"/>
    <x v="336"/>
    <x v="2"/>
    <x v="0"/>
    <x v="0"/>
    <x v="0"/>
    <x v="0"/>
  </r>
  <r>
    <x v="393"/>
    <x v="1"/>
    <x v="1"/>
    <x v="190"/>
    <x v="373"/>
    <x v="2"/>
    <x v="1"/>
    <x v="41"/>
    <x v="0"/>
    <x v="0"/>
    <x v="0"/>
    <x v="0"/>
    <x v="1"/>
    <x v="0"/>
    <x v="193"/>
    <x v="114"/>
    <x v="1"/>
    <x v="38"/>
    <x v="1"/>
    <x v="1"/>
  </r>
  <r>
    <x v="394"/>
    <x v="1"/>
    <x v="0"/>
    <x v="10"/>
    <x v="374"/>
    <x v="1"/>
    <x v="1"/>
    <x v="42"/>
    <x v="0"/>
    <x v="1"/>
    <x v="2"/>
    <x v="3"/>
    <x v="1"/>
    <x v="0"/>
    <x v="10"/>
    <x v="10"/>
    <x v="2"/>
    <x v="4"/>
    <x v="0"/>
    <x v="0"/>
  </r>
  <r>
    <x v="395"/>
    <x v="0"/>
    <x v="0"/>
    <x v="98"/>
    <x v="375"/>
    <x v="0"/>
    <x v="0"/>
    <x v="0"/>
    <x v="0"/>
    <x v="1"/>
    <x v="0"/>
    <x v="1"/>
    <x v="0"/>
    <x v="1"/>
    <x v="337"/>
    <x v="88"/>
    <x v="0"/>
    <x v="0"/>
    <x v="0"/>
    <x v="0"/>
  </r>
  <r>
    <x v="396"/>
    <x v="0"/>
    <x v="0"/>
    <x v="245"/>
    <x v="376"/>
    <x v="2"/>
    <x v="1"/>
    <x v="14"/>
    <x v="0"/>
    <x v="1"/>
    <x v="0"/>
    <x v="1"/>
    <x v="0"/>
    <x v="1"/>
    <x v="338"/>
    <x v="13"/>
    <x v="0"/>
    <x v="0"/>
    <x v="0"/>
    <x v="0"/>
  </r>
  <r>
    <x v="397"/>
    <x v="0"/>
    <x v="2"/>
    <x v="330"/>
    <x v="377"/>
    <x v="0"/>
    <x v="0"/>
    <x v="43"/>
    <x v="0"/>
    <x v="1"/>
    <x v="0"/>
    <x v="1"/>
    <x v="0"/>
    <x v="1"/>
    <x v="339"/>
    <x v="19"/>
    <x v="2"/>
    <x v="0"/>
    <x v="0"/>
    <x v="0"/>
  </r>
  <r>
    <x v="398"/>
    <x v="0"/>
    <x v="2"/>
    <x v="331"/>
    <x v="378"/>
    <x v="6"/>
    <x v="0"/>
    <x v="41"/>
    <x v="0"/>
    <x v="1"/>
    <x v="0"/>
    <x v="1"/>
    <x v="0"/>
    <x v="1"/>
    <x v="340"/>
    <x v="29"/>
    <x v="2"/>
    <x v="0"/>
    <x v="0"/>
    <x v="0"/>
  </r>
  <r>
    <x v="399"/>
    <x v="1"/>
    <x v="2"/>
    <x v="332"/>
    <x v="379"/>
    <x v="1"/>
    <x v="1"/>
    <x v="17"/>
    <x v="0"/>
    <x v="1"/>
    <x v="0"/>
    <x v="1"/>
    <x v="1"/>
    <x v="1"/>
    <x v="341"/>
    <x v="169"/>
    <x v="2"/>
    <x v="0"/>
    <x v="0"/>
    <x v="0"/>
  </r>
  <r>
    <x v="400"/>
    <x v="1"/>
    <x v="0"/>
    <x v="333"/>
    <x v="380"/>
    <x v="0"/>
    <x v="0"/>
    <x v="12"/>
    <x v="0"/>
    <x v="1"/>
    <x v="0"/>
    <x v="1"/>
    <x v="1"/>
    <x v="1"/>
    <x v="342"/>
    <x v="2"/>
    <x v="0"/>
    <x v="0"/>
    <x v="0"/>
    <x v="0"/>
  </r>
  <r>
    <x v="401"/>
    <x v="0"/>
    <x v="0"/>
    <x v="334"/>
    <x v="184"/>
    <x v="0"/>
    <x v="0"/>
    <x v="2"/>
    <x v="0"/>
    <x v="1"/>
    <x v="0"/>
    <x v="1"/>
    <x v="0"/>
    <x v="1"/>
    <x v="343"/>
    <x v="4"/>
    <x v="0"/>
    <x v="0"/>
    <x v="0"/>
    <x v="0"/>
  </r>
  <r>
    <x v="402"/>
    <x v="0"/>
    <x v="0"/>
    <x v="107"/>
    <x v="381"/>
    <x v="2"/>
    <x v="1"/>
    <x v="23"/>
    <x v="0"/>
    <x v="0"/>
    <x v="0"/>
    <x v="0"/>
    <x v="0"/>
    <x v="0"/>
    <x v="344"/>
    <x v="73"/>
    <x v="0"/>
    <x v="0"/>
    <x v="0"/>
    <x v="0"/>
  </r>
  <r>
    <x v="403"/>
    <x v="0"/>
    <x v="0"/>
    <x v="130"/>
    <x v="382"/>
    <x v="0"/>
    <x v="0"/>
    <x v="17"/>
    <x v="0"/>
    <x v="0"/>
    <x v="0"/>
    <x v="0"/>
    <x v="0"/>
    <x v="0"/>
    <x v="132"/>
    <x v="62"/>
    <x v="2"/>
    <x v="0"/>
    <x v="0"/>
    <x v="0"/>
  </r>
  <r>
    <x v="404"/>
    <x v="0"/>
    <x v="0"/>
    <x v="335"/>
    <x v="383"/>
    <x v="2"/>
    <x v="1"/>
    <x v="11"/>
    <x v="0"/>
    <x v="1"/>
    <x v="0"/>
    <x v="1"/>
    <x v="0"/>
    <x v="1"/>
    <x v="345"/>
    <x v="51"/>
    <x v="0"/>
    <x v="0"/>
    <x v="0"/>
    <x v="0"/>
  </r>
  <r>
    <x v="405"/>
    <x v="0"/>
    <x v="2"/>
    <x v="336"/>
    <x v="384"/>
    <x v="0"/>
    <x v="0"/>
    <x v="15"/>
    <x v="0"/>
    <x v="0"/>
    <x v="0"/>
    <x v="0"/>
    <x v="0"/>
    <x v="0"/>
    <x v="346"/>
    <x v="35"/>
    <x v="2"/>
    <x v="0"/>
    <x v="0"/>
    <x v="0"/>
  </r>
  <r>
    <x v="406"/>
    <x v="0"/>
    <x v="0"/>
    <x v="337"/>
    <x v="385"/>
    <x v="0"/>
    <x v="0"/>
    <x v="54"/>
    <x v="0"/>
    <x v="1"/>
    <x v="0"/>
    <x v="1"/>
    <x v="0"/>
    <x v="1"/>
    <x v="347"/>
    <x v="28"/>
    <x v="0"/>
    <x v="0"/>
    <x v="0"/>
    <x v="0"/>
  </r>
  <r>
    <x v="407"/>
    <x v="1"/>
    <x v="2"/>
    <x v="338"/>
    <x v="386"/>
    <x v="3"/>
    <x v="0"/>
    <x v="25"/>
    <x v="2"/>
    <x v="0"/>
    <x v="1"/>
    <x v="3"/>
    <x v="1"/>
    <x v="0"/>
    <x v="348"/>
    <x v="170"/>
    <x v="2"/>
    <x v="0"/>
    <x v="0"/>
    <x v="0"/>
  </r>
  <r>
    <x v="408"/>
    <x v="0"/>
    <x v="0"/>
    <x v="339"/>
    <x v="387"/>
    <x v="0"/>
    <x v="0"/>
    <x v="23"/>
    <x v="0"/>
    <x v="1"/>
    <x v="0"/>
    <x v="1"/>
    <x v="0"/>
    <x v="1"/>
    <x v="349"/>
    <x v="71"/>
    <x v="0"/>
    <x v="0"/>
    <x v="0"/>
    <x v="0"/>
  </r>
  <r>
    <x v="409"/>
    <x v="0"/>
    <x v="0"/>
    <x v="157"/>
    <x v="388"/>
    <x v="2"/>
    <x v="1"/>
    <x v="4"/>
    <x v="1"/>
    <x v="2"/>
    <x v="1"/>
    <x v="2"/>
    <x v="0"/>
    <x v="2"/>
    <x v="160"/>
    <x v="102"/>
    <x v="2"/>
    <x v="0"/>
    <x v="0"/>
    <x v="0"/>
  </r>
  <r>
    <x v="410"/>
    <x v="0"/>
    <x v="0"/>
    <x v="340"/>
    <x v="389"/>
    <x v="0"/>
    <x v="0"/>
    <x v="4"/>
    <x v="1"/>
    <x v="1"/>
    <x v="0"/>
    <x v="1"/>
    <x v="0"/>
    <x v="1"/>
    <x v="350"/>
    <x v="25"/>
    <x v="0"/>
    <x v="0"/>
    <x v="0"/>
    <x v="0"/>
  </r>
  <r>
    <x v="411"/>
    <x v="0"/>
    <x v="0"/>
    <x v="273"/>
    <x v="205"/>
    <x v="0"/>
    <x v="0"/>
    <x v="4"/>
    <x v="1"/>
    <x v="1"/>
    <x v="0"/>
    <x v="1"/>
    <x v="0"/>
    <x v="1"/>
    <x v="351"/>
    <x v="171"/>
    <x v="0"/>
    <x v="0"/>
    <x v="2"/>
    <x v="2"/>
  </r>
  <r>
    <x v="412"/>
    <x v="1"/>
    <x v="1"/>
    <x v="214"/>
    <x v="390"/>
    <x v="2"/>
    <x v="1"/>
    <x v="40"/>
    <x v="0"/>
    <x v="0"/>
    <x v="0"/>
    <x v="0"/>
    <x v="1"/>
    <x v="0"/>
    <x v="219"/>
    <x v="117"/>
    <x v="1"/>
    <x v="41"/>
    <x v="2"/>
    <x v="2"/>
  </r>
  <r>
    <x v="413"/>
    <x v="0"/>
    <x v="2"/>
    <x v="341"/>
    <x v="391"/>
    <x v="0"/>
    <x v="0"/>
    <x v="4"/>
    <x v="1"/>
    <x v="1"/>
    <x v="0"/>
    <x v="1"/>
    <x v="0"/>
    <x v="1"/>
    <x v="247"/>
    <x v="104"/>
    <x v="0"/>
    <x v="0"/>
    <x v="0"/>
    <x v="0"/>
  </r>
  <r>
    <x v="414"/>
    <x v="1"/>
    <x v="0"/>
    <x v="342"/>
    <x v="392"/>
    <x v="0"/>
    <x v="0"/>
    <x v="57"/>
    <x v="0"/>
    <x v="1"/>
    <x v="0"/>
    <x v="1"/>
    <x v="1"/>
    <x v="1"/>
    <x v="352"/>
    <x v="2"/>
    <x v="0"/>
    <x v="0"/>
    <x v="0"/>
    <x v="0"/>
  </r>
  <r>
    <x v="415"/>
    <x v="0"/>
    <x v="0"/>
    <x v="343"/>
    <x v="393"/>
    <x v="1"/>
    <x v="1"/>
    <x v="4"/>
    <x v="1"/>
    <x v="1"/>
    <x v="0"/>
    <x v="1"/>
    <x v="0"/>
    <x v="1"/>
    <x v="353"/>
    <x v="4"/>
    <x v="0"/>
    <x v="0"/>
    <x v="0"/>
    <x v="0"/>
  </r>
  <r>
    <x v="416"/>
    <x v="1"/>
    <x v="2"/>
    <x v="344"/>
    <x v="394"/>
    <x v="1"/>
    <x v="1"/>
    <x v="15"/>
    <x v="0"/>
    <x v="0"/>
    <x v="1"/>
    <x v="3"/>
    <x v="1"/>
    <x v="0"/>
    <x v="354"/>
    <x v="172"/>
    <x v="2"/>
    <x v="0"/>
    <x v="0"/>
    <x v="0"/>
  </r>
  <r>
    <x v="417"/>
    <x v="1"/>
    <x v="2"/>
    <x v="345"/>
    <x v="395"/>
    <x v="2"/>
    <x v="1"/>
    <x v="24"/>
    <x v="3"/>
    <x v="1"/>
    <x v="2"/>
    <x v="3"/>
    <x v="1"/>
    <x v="0"/>
    <x v="355"/>
    <x v="16"/>
    <x v="2"/>
    <x v="0"/>
    <x v="0"/>
    <x v="0"/>
  </r>
  <r>
    <x v="418"/>
    <x v="0"/>
    <x v="2"/>
    <x v="346"/>
    <x v="44"/>
    <x v="0"/>
    <x v="0"/>
    <x v="39"/>
    <x v="0"/>
    <x v="1"/>
    <x v="0"/>
    <x v="1"/>
    <x v="0"/>
    <x v="1"/>
    <x v="356"/>
    <x v="16"/>
    <x v="2"/>
    <x v="0"/>
    <x v="0"/>
    <x v="0"/>
  </r>
  <r>
    <x v="419"/>
    <x v="0"/>
    <x v="0"/>
    <x v="347"/>
    <x v="396"/>
    <x v="2"/>
    <x v="1"/>
    <x v="73"/>
    <x v="2"/>
    <x v="1"/>
    <x v="2"/>
    <x v="3"/>
    <x v="0"/>
    <x v="0"/>
    <x v="357"/>
    <x v="72"/>
    <x v="2"/>
    <x v="0"/>
    <x v="0"/>
    <x v="0"/>
  </r>
  <r>
    <x v="420"/>
    <x v="0"/>
    <x v="0"/>
    <x v="348"/>
    <x v="397"/>
    <x v="0"/>
    <x v="0"/>
    <x v="4"/>
    <x v="1"/>
    <x v="1"/>
    <x v="0"/>
    <x v="1"/>
    <x v="0"/>
    <x v="1"/>
    <x v="358"/>
    <x v="25"/>
    <x v="0"/>
    <x v="0"/>
    <x v="1"/>
    <x v="1"/>
  </r>
  <r>
    <x v="421"/>
    <x v="0"/>
    <x v="0"/>
    <x v="349"/>
    <x v="256"/>
    <x v="0"/>
    <x v="0"/>
    <x v="23"/>
    <x v="0"/>
    <x v="1"/>
    <x v="0"/>
    <x v="1"/>
    <x v="0"/>
    <x v="1"/>
    <x v="359"/>
    <x v="93"/>
    <x v="0"/>
    <x v="0"/>
    <x v="2"/>
    <x v="2"/>
  </r>
  <r>
    <x v="422"/>
    <x v="0"/>
    <x v="0"/>
    <x v="350"/>
    <x v="398"/>
    <x v="0"/>
    <x v="0"/>
    <x v="28"/>
    <x v="0"/>
    <x v="1"/>
    <x v="0"/>
    <x v="1"/>
    <x v="0"/>
    <x v="1"/>
    <x v="360"/>
    <x v="173"/>
    <x v="0"/>
    <x v="0"/>
    <x v="0"/>
    <x v="0"/>
  </r>
  <r>
    <x v="423"/>
    <x v="0"/>
    <x v="0"/>
    <x v="351"/>
    <x v="399"/>
    <x v="1"/>
    <x v="1"/>
    <x v="17"/>
    <x v="0"/>
    <x v="0"/>
    <x v="1"/>
    <x v="3"/>
    <x v="0"/>
    <x v="0"/>
    <x v="361"/>
    <x v="174"/>
    <x v="2"/>
    <x v="0"/>
    <x v="0"/>
    <x v="0"/>
  </r>
  <r>
    <x v="424"/>
    <x v="0"/>
    <x v="0"/>
    <x v="222"/>
    <x v="400"/>
    <x v="0"/>
    <x v="0"/>
    <x v="24"/>
    <x v="3"/>
    <x v="0"/>
    <x v="1"/>
    <x v="3"/>
    <x v="0"/>
    <x v="0"/>
    <x v="227"/>
    <x v="125"/>
    <x v="2"/>
    <x v="0"/>
    <x v="0"/>
    <x v="0"/>
  </r>
  <r>
    <x v="425"/>
    <x v="0"/>
    <x v="0"/>
    <x v="352"/>
    <x v="401"/>
    <x v="0"/>
    <x v="0"/>
    <x v="4"/>
    <x v="1"/>
    <x v="1"/>
    <x v="0"/>
    <x v="1"/>
    <x v="0"/>
    <x v="1"/>
    <x v="362"/>
    <x v="0"/>
    <x v="0"/>
    <x v="0"/>
    <x v="0"/>
    <x v="0"/>
  </r>
  <r>
    <x v="426"/>
    <x v="1"/>
    <x v="2"/>
    <x v="353"/>
    <x v="402"/>
    <x v="1"/>
    <x v="1"/>
    <x v="17"/>
    <x v="0"/>
    <x v="0"/>
    <x v="0"/>
    <x v="0"/>
    <x v="1"/>
    <x v="0"/>
    <x v="363"/>
    <x v="19"/>
    <x v="2"/>
    <x v="0"/>
    <x v="0"/>
    <x v="0"/>
  </r>
  <r>
    <x v="427"/>
    <x v="1"/>
    <x v="2"/>
    <x v="354"/>
    <x v="403"/>
    <x v="2"/>
    <x v="1"/>
    <x v="19"/>
    <x v="3"/>
    <x v="1"/>
    <x v="0"/>
    <x v="1"/>
    <x v="1"/>
    <x v="1"/>
    <x v="364"/>
    <x v="19"/>
    <x v="2"/>
    <x v="0"/>
    <x v="0"/>
    <x v="0"/>
  </r>
  <r>
    <x v="428"/>
    <x v="0"/>
    <x v="0"/>
    <x v="355"/>
    <x v="5"/>
    <x v="0"/>
    <x v="0"/>
    <x v="4"/>
    <x v="1"/>
    <x v="1"/>
    <x v="0"/>
    <x v="1"/>
    <x v="0"/>
    <x v="1"/>
    <x v="365"/>
    <x v="28"/>
    <x v="0"/>
    <x v="0"/>
    <x v="2"/>
    <x v="2"/>
  </r>
  <r>
    <x v="429"/>
    <x v="1"/>
    <x v="0"/>
    <x v="356"/>
    <x v="404"/>
    <x v="0"/>
    <x v="0"/>
    <x v="35"/>
    <x v="0"/>
    <x v="1"/>
    <x v="0"/>
    <x v="1"/>
    <x v="1"/>
    <x v="1"/>
    <x v="366"/>
    <x v="4"/>
    <x v="0"/>
    <x v="74"/>
    <x v="0"/>
    <x v="0"/>
  </r>
  <r>
    <x v="430"/>
    <x v="1"/>
    <x v="1"/>
    <x v="357"/>
    <x v="405"/>
    <x v="0"/>
    <x v="0"/>
    <x v="17"/>
    <x v="0"/>
    <x v="1"/>
    <x v="0"/>
    <x v="1"/>
    <x v="1"/>
    <x v="1"/>
    <x v="367"/>
    <x v="11"/>
    <x v="2"/>
    <x v="12"/>
    <x v="0"/>
    <x v="0"/>
  </r>
  <r>
    <x v="431"/>
    <x v="1"/>
    <x v="0"/>
    <x v="358"/>
    <x v="406"/>
    <x v="1"/>
    <x v="1"/>
    <x v="4"/>
    <x v="1"/>
    <x v="0"/>
    <x v="0"/>
    <x v="0"/>
    <x v="1"/>
    <x v="0"/>
    <x v="368"/>
    <x v="95"/>
    <x v="2"/>
    <x v="0"/>
    <x v="0"/>
    <x v="0"/>
  </r>
  <r>
    <x v="432"/>
    <x v="1"/>
    <x v="2"/>
    <x v="359"/>
    <x v="407"/>
    <x v="1"/>
    <x v="1"/>
    <x v="22"/>
    <x v="0"/>
    <x v="0"/>
    <x v="0"/>
    <x v="0"/>
    <x v="1"/>
    <x v="0"/>
    <x v="369"/>
    <x v="19"/>
    <x v="2"/>
    <x v="0"/>
    <x v="0"/>
    <x v="0"/>
  </r>
  <r>
    <x v="433"/>
    <x v="0"/>
    <x v="0"/>
    <x v="360"/>
    <x v="408"/>
    <x v="0"/>
    <x v="0"/>
    <x v="34"/>
    <x v="3"/>
    <x v="1"/>
    <x v="0"/>
    <x v="1"/>
    <x v="0"/>
    <x v="1"/>
    <x v="370"/>
    <x v="123"/>
    <x v="0"/>
    <x v="0"/>
    <x v="0"/>
    <x v="0"/>
  </r>
  <r>
    <x v="434"/>
    <x v="0"/>
    <x v="1"/>
    <x v="361"/>
    <x v="409"/>
    <x v="0"/>
    <x v="0"/>
    <x v="61"/>
    <x v="0"/>
    <x v="0"/>
    <x v="0"/>
    <x v="0"/>
    <x v="0"/>
    <x v="0"/>
    <x v="371"/>
    <x v="175"/>
    <x v="1"/>
    <x v="75"/>
    <x v="0"/>
    <x v="0"/>
  </r>
  <r>
    <x v="435"/>
    <x v="1"/>
    <x v="1"/>
    <x v="218"/>
    <x v="410"/>
    <x v="2"/>
    <x v="1"/>
    <x v="8"/>
    <x v="3"/>
    <x v="0"/>
    <x v="2"/>
    <x v="6"/>
    <x v="1"/>
    <x v="2"/>
    <x v="334"/>
    <x v="168"/>
    <x v="1"/>
    <x v="73"/>
    <x v="0"/>
    <x v="0"/>
  </r>
  <r>
    <x v="436"/>
    <x v="0"/>
    <x v="0"/>
    <x v="82"/>
    <x v="411"/>
    <x v="2"/>
    <x v="1"/>
    <x v="23"/>
    <x v="0"/>
    <x v="4"/>
    <x v="2"/>
    <x v="2"/>
    <x v="0"/>
    <x v="2"/>
    <x v="84"/>
    <x v="63"/>
    <x v="2"/>
    <x v="0"/>
    <x v="0"/>
    <x v="0"/>
  </r>
  <r>
    <x v="437"/>
    <x v="1"/>
    <x v="2"/>
    <x v="338"/>
    <x v="412"/>
    <x v="1"/>
    <x v="1"/>
    <x v="42"/>
    <x v="0"/>
    <x v="4"/>
    <x v="4"/>
    <x v="5"/>
    <x v="1"/>
    <x v="2"/>
    <x v="348"/>
    <x v="170"/>
    <x v="2"/>
    <x v="0"/>
    <x v="0"/>
    <x v="0"/>
  </r>
  <r>
    <x v="438"/>
    <x v="0"/>
    <x v="1"/>
    <x v="26"/>
    <x v="413"/>
    <x v="0"/>
    <x v="0"/>
    <x v="74"/>
    <x v="4"/>
    <x v="0"/>
    <x v="5"/>
    <x v="5"/>
    <x v="0"/>
    <x v="2"/>
    <x v="26"/>
    <x v="23"/>
    <x v="1"/>
    <x v="8"/>
    <x v="0"/>
    <x v="0"/>
  </r>
  <r>
    <x v="439"/>
    <x v="0"/>
    <x v="2"/>
    <x v="362"/>
    <x v="414"/>
    <x v="0"/>
    <x v="0"/>
    <x v="14"/>
    <x v="0"/>
    <x v="1"/>
    <x v="0"/>
    <x v="1"/>
    <x v="0"/>
    <x v="1"/>
    <x v="372"/>
    <x v="29"/>
    <x v="2"/>
    <x v="0"/>
    <x v="0"/>
    <x v="0"/>
  </r>
  <r>
    <x v="440"/>
    <x v="1"/>
    <x v="2"/>
    <x v="273"/>
    <x v="415"/>
    <x v="1"/>
    <x v="1"/>
    <x v="33"/>
    <x v="0"/>
    <x v="0"/>
    <x v="1"/>
    <x v="3"/>
    <x v="1"/>
    <x v="0"/>
    <x v="280"/>
    <x v="121"/>
    <x v="2"/>
    <x v="0"/>
    <x v="0"/>
    <x v="0"/>
  </r>
  <r>
    <x v="441"/>
    <x v="0"/>
    <x v="0"/>
    <x v="363"/>
    <x v="416"/>
    <x v="0"/>
    <x v="0"/>
    <x v="11"/>
    <x v="0"/>
    <x v="1"/>
    <x v="0"/>
    <x v="1"/>
    <x v="0"/>
    <x v="1"/>
    <x v="373"/>
    <x v="59"/>
    <x v="0"/>
    <x v="0"/>
    <x v="0"/>
    <x v="0"/>
  </r>
  <r>
    <x v="442"/>
    <x v="0"/>
    <x v="0"/>
    <x v="364"/>
    <x v="417"/>
    <x v="0"/>
    <x v="0"/>
    <x v="37"/>
    <x v="0"/>
    <x v="0"/>
    <x v="0"/>
    <x v="0"/>
    <x v="0"/>
    <x v="0"/>
    <x v="374"/>
    <x v="71"/>
    <x v="0"/>
    <x v="0"/>
    <x v="0"/>
    <x v="0"/>
  </r>
  <r>
    <x v="443"/>
    <x v="1"/>
    <x v="2"/>
    <x v="365"/>
    <x v="418"/>
    <x v="8"/>
    <x v="2"/>
    <x v="17"/>
    <x v="0"/>
    <x v="1"/>
    <x v="0"/>
    <x v="1"/>
    <x v="1"/>
    <x v="1"/>
    <x v="375"/>
    <x v="16"/>
    <x v="2"/>
    <x v="0"/>
    <x v="0"/>
    <x v="0"/>
  </r>
  <r>
    <x v="444"/>
    <x v="1"/>
    <x v="0"/>
    <x v="366"/>
    <x v="419"/>
    <x v="0"/>
    <x v="0"/>
    <x v="4"/>
    <x v="1"/>
    <x v="1"/>
    <x v="0"/>
    <x v="1"/>
    <x v="1"/>
    <x v="1"/>
    <x v="376"/>
    <x v="176"/>
    <x v="0"/>
    <x v="0"/>
    <x v="0"/>
    <x v="0"/>
  </r>
  <r>
    <x v="445"/>
    <x v="1"/>
    <x v="1"/>
    <x v="367"/>
    <x v="420"/>
    <x v="3"/>
    <x v="0"/>
    <x v="9"/>
    <x v="2"/>
    <x v="1"/>
    <x v="2"/>
    <x v="3"/>
    <x v="1"/>
    <x v="0"/>
    <x v="377"/>
    <x v="177"/>
    <x v="1"/>
    <x v="76"/>
    <x v="0"/>
    <x v="0"/>
  </r>
  <r>
    <x v="446"/>
    <x v="1"/>
    <x v="2"/>
    <x v="237"/>
    <x v="421"/>
    <x v="2"/>
    <x v="1"/>
    <x v="75"/>
    <x v="3"/>
    <x v="1"/>
    <x v="1"/>
    <x v="0"/>
    <x v="1"/>
    <x v="0"/>
    <x v="242"/>
    <x v="131"/>
    <x v="2"/>
    <x v="0"/>
    <x v="0"/>
    <x v="0"/>
  </r>
  <r>
    <x v="447"/>
    <x v="1"/>
    <x v="1"/>
    <x v="368"/>
    <x v="422"/>
    <x v="0"/>
    <x v="0"/>
    <x v="15"/>
    <x v="0"/>
    <x v="1"/>
    <x v="0"/>
    <x v="1"/>
    <x v="1"/>
    <x v="1"/>
    <x v="378"/>
    <x v="11"/>
    <x v="2"/>
    <x v="0"/>
    <x v="0"/>
    <x v="0"/>
  </r>
  <r>
    <x v="448"/>
    <x v="1"/>
    <x v="0"/>
    <x v="369"/>
    <x v="423"/>
    <x v="2"/>
    <x v="1"/>
    <x v="31"/>
    <x v="2"/>
    <x v="4"/>
    <x v="1"/>
    <x v="6"/>
    <x v="1"/>
    <x v="2"/>
    <x v="379"/>
    <x v="178"/>
    <x v="2"/>
    <x v="0"/>
    <x v="1"/>
    <x v="1"/>
  </r>
  <r>
    <x v="449"/>
    <x v="1"/>
    <x v="1"/>
    <x v="370"/>
    <x v="424"/>
    <x v="9"/>
    <x v="2"/>
    <x v="67"/>
    <x v="0"/>
    <x v="1"/>
    <x v="0"/>
    <x v="1"/>
    <x v="1"/>
    <x v="1"/>
    <x v="380"/>
    <x v="140"/>
    <x v="2"/>
    <x v="77"/>
    <x v="0"/>
    <x v="0"/>
  </r>
  <r>
    <x v="450"/>
    <x v="0"/>
    <x v="2"/>
    <x v="56"/>
    <x v="425"/>
    <x v="0"/>
    <x v="0"/>
    <x v="62"/>
    <x v="0"/>
    <x v="0"/>
    <x v="2"/>
    <x v="6"/>
    <x v="0"/>
    <x v="2"/>
    <x v="57"/>
    <x v="44"/>
    <x v="2"/>
    <x v="0"/>
    <x v="0"/>
    <x v="0"/>
  </r>
  <r>
    <x v="451"/>
    <x v="0"/>
    <x v="0"/>
    <x v="371"/>
    <x v="426"/>
    <x v="0"/>
    <x v="0"/>
    <x v="4"/>
    <x v="1"/>
    <x v="0"/>
    <x v="0"/>
    <x v="0"/>
    <x v="0"/>
    <x v="0"/>
    <x v="381"/>
    <x v="179"/>
    <x v="2"/>
    <x v="0"/>
    <x v="0"/>
    <x v="0"/>
  </r>
  <r>
    <x v="452"/>
    <x v="0"/>
    <x v="1"/>
    <x v="372"/>
    <x v="427"/>
    <x v="0"/>
    <x v="0"/>
    <x v="39"/>
    <x v="0"/>
    <x v="1"/>
    <x v="0"/>
    <x v="1"/>
    <x v="0"/>
    <x v="1"/>
    <x v="382"/>
    <x v="44"/>
    <x v="2"/>
    <x v="78"/>
    <x v="1"/>
    <x v="1"/>
  </r>
  <r>
    <x v="453"/>
    <x v="1"/>
    <x v="1"/>
    <x v="373"/>
    <x v="428"/>
    <x v="0"/>
    <x v="0"/>
    <x v="27"/>
    <x v="0"/>
    <x v="0"/>
    <x v="0"/>
    <x v="0"/>
    <x v="1"/>
    <x v="0"/>
    <x v="383"/>
    <x v="180"/>
    <x v="1"/>
    <x v="79"/>
    <x v="1"/>
    <x v="1"/>
  </r>
  <r>
    <x v="454"/>
    <x v="0"/>
    <x v="0"/>
    <x v="374"/>
    <x v="429"/>
    <x v="0"/>
    <x v="0"/>
    <x v="4"/>
    <x v="1"/>
    <x v="1"/>
    <x v="0"/>
    <x v="1"/>
    <x v="0"/>
    <x v="1"/>
    <x v="384"/>
    <x v="4"/>
    <x v="0"/>
    <x v="0"/>
    <x v="0"/>
    <x v="0"/>
  </r>
  <r>
    <x v="455"/>
    <x v="1"/>
    <x v="0"/>
    <x v="375"/>
    <x v="75"/>
    <x v="0"/>
    <x v="0"/>
    <x v="28"/>
    <x v="0"/>
    <x v="1"/>
    <x v="0"/>
    <x v="1"/>
    <x v="1"/>
    <x v="1"/>
    <x v="385"/>
    <x v="25"/>
    <x v="0"/>
    <x v="0"/>
    <x v="1"/>
    <x v="1"/>
  </r>
  <r>
    <x v="456"/>
    <x v="0"/>
    <x v="1"/>
    <x v="376"/>
    <x v="430"/>
    <x v="0"/>
    <x v="0"/>
    <x v="29"/>
    <x v="4"/>
    <x v="1"/>
    <x v="0"/>
    <x v="1"/>
    <x v="0"/>
    <x v="1"/>
    <x v="386"/>
    <x v="11"/>
    <x v="2"/>
    <x v="80"/>
    <x v="0"/>
    <x v="0"/>
  </r>
  <r>
    <x v="457"/>
    <x v="1"/>
    <x v="1"/>
    <x v="377"/>
    <x v="431"/>
    <x v="1"/>
    <x v="1"/>
    <x v="4"/>
    <x v="1"/>
    <x v="0"/>
    <x v="0"/>
    <x v="0"/>
    <x v="1"/>
    <x v="0"/>
    <x v="387"/>
    <x v="6"/>
    <x v="1"/>
    <x v="81"/>
    <x v="0"/>
    <x v="0"/>
  </r>
  <r>
    <x v="458"/>
    <x v="1"/>
    <x v="2"/>
    <x v="378"/>
    <x v="432"/>
    <x v="2"/>
    <x v="1"/>
    <x v="61"/>
    <x v="0"/>
    <x v="1"/>
    <x v="0"/>
    <x v="1"/>
    <x v="1"/>
    <x v="1"/>
    <x v="388"/>
    <x v="29"/>
    <x v="2"/>
    <x v="0"/>
    <x v="0"/>
    <x v="0"/>
  </r>
  <r>
    <x v="459"/>
    <x v="0"/>
    <x v="0"/>
    <x v="379"/>
    <x v="433"/>
    <x v="0"/>
    <x v="0"/>
    <x v="4"/>
    <x v="1"/>
    <x v="1"/>
    <x v="0"/>
    <x v="1"/>
    <x v="0"/>
    <x v="1"/>
    <x v="389"/>
    <x v="28"/>
    <x v="0"/>
    <x v="0"/>
    <x v="2"/>
    <x v="2"/>
  </r>
  <r>
    <x v="460"/>
    <x v="1"/>
    <x v="1"/>
    <x v="380"/>
    <x v="154"/>
    <x v="0"/>
    <x v="0"/>
    <x v="76"/>
    <x v="0"/>
    <x v="1"/>
    <x v="0"/>
    <x v="1"/>
    <x v="1"/>
    <x v="1"/>
    <x v="390"/>
    <x v="11"/>
    <x v="2"/>
    <x v="82"/>
    <x v="0"/>
    <x v="0"/>
  </r>
  <r>
    <x v="461"/>
    <x v="0"/>
    <x v="0"/>
    <x v="381"/>
    <x v="187"/>
    <x v="0"/>
    <x v="0"/>
    <x v="15"/>
    <x v="0"/>
    <x v="1"/>
    <x v="0"/>
    <x v="1"/>
    <x v="0"/>
    <x v="1"/>
    <x v="391"/>
    <x v="4"/>
    <x v="0"/>
    <x v="0"/>
    <x v="0"/>
    <x v="0"/>
  </r>
  <r>
    <x v="462"/>
    <x v="0"/>
    <x v="1"/>
    <x v="382"/>
    <x v="434"/>
    <x v="0"/>
    <x v="0"/>
    <x v="47"/>
    <x v="0"/>
    <x v="1"/>
    <x v="0"/>
    <x v="1"/>
    <x v="0"/>
    <x v="1"/>
    <x v="392"/>
    <x v="181"/>
    <x v="2"/>
    <x v="83"/>
    <x v="0"/>
    <x v="0"/>
  </r>
  <r>
    <x v="463"/>
    <x v="0"/>
    <x v="2"/>
    <x v="383"/>
    <x v="435"/>
    <x v="0"/>
    <x v="0"/>
    <x v="76"/>
    <x v="0"/>
    <x v="1"/>
    <x v="0"/>
    <x v="1"/>
    <x v="0"/>
    <x v="1"/>
    <x v="393"/>
    <x v="16"/>
    <x v="2"/>
    <x v="0"/>
    <x v="0"/>
    <x v="0"/>
  </r>
  <r>
    <x v="464"/>
    <x v="0"/>
    <x v="0"/>
    <x v="384"/>
    <x v="436"/>
    <x v="0"/>
    <x v="0"/>
    <x v="4"/>
    <x v="1"/>
    <x v="1"/>
    <x v="0"/>
    <x v="1"/>
    <x v="0"/>
    <x v="1"/>
    <x v="394"/>
    <x v="4"/>
    <x v="0"/>
    <x v="0"/>
    <x v="0"/>
    <x v="0"/>
  </r>
  <r>
    <x v="465"/>
    <x v="0"/>
    <x v="0"/>
    <x v="385"/>
    <x v="437"/>
    <x v="0"/>
    <x v="0"/>
    <x v="1"/>
    <x v="0"/>
    <x v="1"/>
    <x v="0"/>
    <x v="1"/>
    <x v="0"/>
    <x v="1"/>
    <x v="395"/>
    <x v="79"/>
    <x v="0"/>
    <x v="0"/>
    <x v="0"/>
    <x v="0"/>
  </r>
  <r>
    <x v="466"/>
    <x v="0"/>
    <x v="2"/>
    <x v="386"/>
    <x v="187"/>
    <x v="0"/>
    <x v="0"/>
    <x v="4"/>
    <x v="1"/>
    <x v="1"/>
    <x v="0"/>
    <x v="1"/>
    <x v="0"/>
    <x v="1"/>
    <x v="247"/>
    <x v="104"/>
    <x v="0"/>
    <x v="0"/>
    <x v="0"/>
    <x v="0"/>
  </r>
  <r>
    <x v="467"/>
    <x v="0"/>
    <x v="1"/>
    <x v="387"/>
    <x v="438"/>
    <x v="0"/>
    <x v="0"/>
    <x v="60"/>
    <x v="0"/>
    <x v="1"/>
    <x v="0"/>
    <x v="1"/>
    <x v="0"/>
    <x v="1"/>
    <x v="396"/>
    <x v="11"/>
    <x v="2"/>
    <x v="0"/>
    <x v="0"/>
    <x v="0"/>
  </r>
  <r>
    <x v="468"/>
    <x v="0"/>
    <x v="0"/>
    <x v="388"/>
    <x v="5"/>
    <x v="0"/>
    <x v="0"/>
    <x v="4"/>
    <x v="1"/>
    <x v="1"/>
    <x v="0"/>
    <x v="1"/>
    <x v="0"/>
    <x v="1"/>
    <x v="397"/>
    <x v="182"/>
    <x v="0"/>
    <x v="0"/>
    <x v="2"/>
    <x v="2"/>
  </r>
  <r>
    <x v="469"/>
    <x v="1"/>
    <x v="0"/>
    <x v="369"/>
    <x v="439"/>
    <x v="2"/>
    <x v="1"/>
    <x v="77"/>
    <x v="2"/>
    <x v="4"/>
    <x v="1"/>
    <x v="6"/>
    <x v="1"/>
    <x v="2"/>
    <x v="379"/>
    <x v="178"/>
    <x v="2"/>
    <x v="0"/>
    <x v="1"/>
    <x v="1"/>
  </r>
  <r>
    <x v="470"/>
    <x v="0"/>
    <x v="0"/>
    <x v="389"/>
    <x v="167"/>
    <x v="0"/>
    <x v="0"/>
    <x v="4"/>
    <x v="1"/>
    <x v="1"/>
    <x v="0"/>
    <x v="1"/>
    <x v="0"/>
    <x v="1"/>
    <x v="398"/>
    <x v="0"/>
    <x v="0"/>
    <x v="0"/>
    <x v="0"/>
    <x v="0"/>
  </r>
  <r>
    <x v="471"/>
    <x v="0"/>
    <x v="0"/>
    <x v="390"/>
    <x v="440"/>
    <x v="0"/>
    <x v="0"/>
    <x v="1"/>
    <x v="0"/>
    <x v="1"/>
    <x v="0"/>
    <x v="1"/>
    <x v="0"/>
    <x v="1"/>
    <x v="399"/>
    <x v="51"/>
    <x v="0"/>
    <x v="0"/>
    <x v="0"/>
    <x v="0"/>
  </r>
  <r>
    <x v="472"/>
    <x v="1"/>
    <x v="2"/>
    <x v="56"/>
    <x v="441"/>
    <x v="1"/>
    <x v="1"/>
    <x v="40"/>
    <x v="0"/>
    <x v="0"/>
    <x v="2"/>
    <x v="6"/>
    <x v="1"/>
    <x v="2"/>
    <x v="57"/>
    <x v="44"/>
    <x v="2"/>
    <x v="0"/>
    <x v="0"/>
    <x v="0"/>
  </r>
  <r>
    <x v="473"/>
    <x v="1"/>
    <x v="2"/>
    <x v="391"/>
    <x v="442"/>
    <x v="1"/>
    <x v="1"/>
    <x v="41"/>
    <x v="0"/>
    <x v="1"/>
    <x v="0"/>
    <x v="1"/>
    <x v="1"/>
    <x v="1"/>
    <x v="400"/>
    <x v="183"/>
    <x v="2"/>
    <x v="53"/>
    <x v="1"/>
    <x v="1"/>
  </r>
  <r>
    <x v="474"/>
    <x v="0"/>
    <x v="0"/>
    <x v="392"/>
    <x v="443"/>
    <x v="2"/>
    <x v="1"/>
    <x v="0"/>
    <x v="0"/>
    <x v="1"/>
    <x v="0"/>
    <x v="1"/>
    <x v="0"/>
    <x v="1"/>
    <x v="401"/>
    <x v="184"/>
    <x v="0"/>
    <x v="0"/>
    <x v="0"/>
    <x v="0"/>
  </r>
  <r>
    <x v="475"/>
    <x v="0"/>
    <x v="1"/>
    <x v="393"/>
    <x v="444"/>
    <x v="0"/>
    <x v="0"/>
    <x v="4"/>
    <x v="1"/>
    <x v="1"/>
    <x v="0"/>
    <x v="1"/>
    <x v="0"/>
    <x v="1"/>
    <x v="107"/>
    <x v="31"/>
    <x v="1"/>
    <x v="84"/>
    <x v="0"/>
    <x v="0"/>
  </r>
  <r>
    <x v="476"/>
    <x v="0"/>
    <x v="2"/>
    <x v="394"/>
    <x v="445"/>
    <x v="0"/>
    <x v="0"/>
    <x v="15"/>
    <x v="0"/>
    <x v="0"/>
    <x v="0"/>
    <x v="0"/>
    <x v="0"/>
    <x v="0"/>
    <x v="402"/>
    <x v="35"/>
    <x v="2"/>
    <x v="0"/>
    <x v="0"/>
    <x v="0"/>
  </r>
  <r>
    <x v="477"/>
    <x v="0"/>
    <x v="0"/>
    <x v="0"/>
    <x v="446"/>
    <x v="0"/>
    <x v="0"/>
    <x v="28"/>
    <x v="0"/>
    <x v="0"/>
    <x v="0"/>
    <x v="0"/>
    <x v="0"/>
    <x v="0"/>
    <x v="403"/>
    <x v="185"/>
    <x v="0"/>
    <x v="0"/>
    <x v="0"/>
    <x v="0"/>
  </r>
  <r>
    <x v="478"/>
    <x v="0"/>
    <x v="0"/>
    <x v="395"/>
    <x v="447"/>
    <x v="0"/>
    <x v="0"/>
    <x v="0"/>
    <x v="0"/>
    <x v="1"/>
    <x v="0"/>
    <x v="1"/>
    <x v="0"/>
    <x v="1"/>
    <x v="404"/>
    <x v="186"/>
    <x v="0"/>
    <x v="0"/>
    <x v="0"/>
    <x v="0"/>
  </r>
  <r>
    <x v="479"/>
    <x v="1"/>
    <x v="0"/>
    <x v="396"/>
    <x v="448"/>
    <x v="2"/>
    <x v="1"/>
    <x v="6"/>
    <x v="2"/>
    <x v="1"/>
    <x v="1"/>
    <x v="0"/>
    <x v="1"/>
    <x v="0"/>
    <x v="405"/>
    <x v="187"/>
    <x v="2"/>
    <x v="0"/>
    <x v="0"/>
    <x v="0"/>
  </r>
  <r>
    <x v="480"/>
    <x v="0"/>
    <x v="0"/>
    <x v="57"/>
    <x v="449"/>
    <x v="3"/>
    <x v="0"/>
    <x v="52"/>
    <x v="2"/>
    <x v="5"/>
    <x v="2"/>
    <x v="7"/>
    <x v="0"/>
    <x v="2"/>
    <x v="58"/>
    <x v="45"/>
    <x v="2"/>
    <x v="0"/>
    <x v="0"/>
    <x v="0"/>
  </r>
  <r>
    <x v="481"/>
    <x v="0"/>
    <x v="2"/>
    <x v="397"/>
    <x v="450"/>
    <x v="0"/>
    <x v="0"/>
    <x v="4"/>
    <x v="1"/>
    <x v="1"/>
    <x v="0"/>
    <x v="1"/>
    <x v="0"/>
    <x v="1"/>
    <x v="406"/>
    <x v="104"/>
    <x v="0"/>
    <x v="0"/>
    <x v="0"/>
    <x v="0"/>
  </r>
  <r>
    <x v="482"/>
    <x v="0"/>
    <x v="0"/>
    <x v="398"/>
    <x v="451"/>
    <x v="0"/>
    <x v="0"/>
    <x v="61"/>
    <x v="0"/>
    <x v="1"/>
    <x v="0"/>
    <x v="1"/>
    <x v="0"/>
    <x v="1"/>
    <x v="407"/>
    <x v="4"/>
    <x v="0"/>
    <x v="0"/>
    <x v="0"/>
    <x v="0"/>
  </r>
  <r>
    <x v="483"/>
    <x v="1"/>
    <x v="0"/>
    <x v="399"/>
    <x v="452"/>
    <x v="1"/>
    <x v="1"/>
    <x v="68"/>
    <x v="4"/>
    <x v="1"/>
    <x v="0"/>
    <x v="1"/>
    <x v="1"/>
    <x v="1"/>
    <x v="408"/>
    <x v="188"/>
    <x v="0"/>
    <x v="0"/>
    <x v="0"/>
    <x v="0"/>
  </r>
  <r>
    <x v="484"/>
    <x v="1"/>
    <x v="1"/>
    <x v="254"/>
    <x v="453"/>
    <x v="0"/>
    <x v="0"/>
    <x v="37"/>
    <x v="0"/>
    <x v="0"/>
    <x v="0"/>
    <x v="0"/>
    <x v="1"/>
    <x v="0"/>
    <x v="260"/>
    <x v="136"/>
    <x v="1"/>
    <x v="52"/>
    <x v="1"/>
    <x v="1"/>
  </r>
  <r>
    <x v="485"/>
    <x v="0"/>
    <x v="0"/>
    <x v="157"/>
    <x v="454"/>
    <x v="2"/>
    <x v="1"/>
    <x v="4"/>
    <x v="1"/>
    <x v="2"/>
    <x v="1"/>
    <x v="2"/>
    <x v="0"/>
    <x v="2"/>
    <x v="160"/>
    <x v="102"/>
    <x v="2"/>
    <x v="0"/>
    <x v="0"/>
    <x v="0"/>
  </r>
  <r>
    <x v="486"/>
    <x v="1"/>
    <x v="1"/>
    <x v="198"/>
    <x v="455"/>
    <x v="1"/>
    <x v="1"/>
    <x v="3"/>
    <x v="0"/>
    <x v="0"/>
    <x v="0"/>
    <x v="0"/>
    <x v="1"/>
    <x v="0"/>
    <x v="202"/>
    <x v="117"/>
    <x v="1"/>
    <x v="40"/>
    <x v="0"/>
    <x v="0"/>
  </r>
  <r>
    <x v="487"/>
    <x v="0"/>
    <x v="1"/>
    <x v="400"/>
    <x v="456"/>
    <x v="0"/>
    <x v="0"/>
    <x v="10"/>
    <x v="0"/>
    <x v="1"/>
    <x v="0"/>
    <x v="1"/>
    <x v="0"/>
    <x v="1"/>
    <x v="409"/>
    <x v="132"/>
    <x v="2"/>
    <x v="85"/>
    <x v="1"/>
    <x v="1"/>
  </r>
  <r>
    <x v="488"/>
    <x v="0"/>
    <x v="0"/>
    <x v="401"/>
    <x v="457"/>
    <x v="0"/>
    <x v="0"/>
    <x v="39"/>
    <x v="0"/>
    <x v="1"/>
    <x v="0"/>
    <x v="1"/>
    <x v="0"/>
    <x v="1"/>
    <x v="410"/>
    <x v="4"/>
    <x v="0"/>
    <x v="0"/>
    <x v="0"/>
    <x v="0"/>
  </r>
  <r>
    <x v="489"/>
    <x v="1"/>
    <x v="0"/>
    <x v="295"/>
    <x v="458"/>
    <x v="3"/>
    <x v="0"/>
    <x v="52"/>
    <x v="2"/>
    <x v="0"/>
    <x v="1"/>
    <x v="3"/>
    <x v="1"/>
    <x v="0"/>
    <x v="302"/>
    <x v="156"/>
    <x v="2"/>
    <x v="0"/>
    <x v="0"/>
    <x v="0"/>
  </r>
  <r>
    <x v="490"/>
    <x v="0"/>
    <x v="0"/>
    <x v="371"/>
    <x v="459"/>
    <x v="0"/>
    <x v="0"/>
    <x v="4"/>
    <x v="1"/>
    <x v="0"/>
    <x v="0"/>
    <x v="0"/>
    <x v="0"/>
    <x v="0"/>
    <x v="411"/>
    <x v="179"/>
    <x v="2"/>
    <x v="0"/>
    <x v="0"/>
    <x v="0"/>
  </r>
  <r>
    <x v="491"/>
    <x v="0"/>
    <x v="0"/>
    <x v="402"/>
    <x v="460"/>
    <x v="0"/>
    <x v="0"/>
    <x v="23"/>
    <x v="0"/>
    <x v="1"/>
    <x v="0"/>
    <x v="1"/>
    <x v="0"/>
    <x v="1"/>
    <x v="412"/>
    <x v="0"/>
    <x v="0"/>
    <x v="0"/>
    <x v="0"/>
    <x v="0"/>
  </r>
  <r>
    <x v="492"/>
    <x v="0"/>
    <x v="1"/>
    <x v="403"/>
    <x v="461"/>
    <x v="0"/>
    <x v="0"/>
    <x v="13"/>
    <x v="0"/>
    <x v="1"/>
    <x v="0"/>
    <x v="1"/>
    <x v="0"/>
    <x v="1"/>
    <x v="413"/>
    <x v="140"/>
    <x v="2"/>
    <x v="86"/>
    <x v="0"/>
    <x v="0"/>
  </r>
  <r>
    <x v="493"/>
    <x v="0"/>
    <x v="1"/>
    <x v="404"/>
    <x v="462"/>
    <x v="0"/>
    <x v="0"/>
    <x v="45"/>
    <x v="4"/>
    <x v="1"/>
    <x v="0"/>
    <x v="1"/>
    <x v="0"/>
    <x v="1"/>
    <x v="414"/>
    <x v="189"/>
    <x v="2"/>
    <x v="0"/>
    <x v="1"/>
    <x v="1"/>
  </r>
  <r>
    <x v="494"/>
    <x v="0"/>
    <x v="0"/>
    <x v="405"/>
    <x v="463"/>
    <x v="0"/>
    <x v="0"/>
    <x v="23"/>
    <x v="0"/>
    <x v="1"/>
    <x v="0"/>
    <x v="1"/>
    <x v="0"/>
    <x v="1"/>
    <x v="415"/>
    <x v="4"/>
    <x v="0"/>
    <x v="0"/>
    <x v="0"/>
    <x v="0"/>
  </r>
  <r>
    <x v="495"/>
    <x v="0"/>
    <x v="0"/>
    <x v="406"/>
    <x v="199"/>
    <x v="0"/>
    <x v="0"/>
    <x v="4"/>
    <x v="1"/>
    <x v="1"/>
    <x v="0"/>
    <x v="1"/>
    <x v="0"/>
    <x v="1"/>
    <x v="111"/>
    <x v="74"/>
    <x v="2"/>
    <x v="0"/>
    <x v="1"/>
    <x v="1"/>
  </r>
  <r>
    <x v="496"/>
    <x v="1"/>
    <x v="1"/>
    <x v="407"/>
    <x v="464"/>
    <x v="2"/>
    <x v="1"/>
    <x v="5"/>
    <x v="0"/>
    <x v="0"/>
    <x v="0"/>
    <x v="0"/>
    <x v="1"/>
    <x v="0"/>
    <x v="416"/>
    <x v="190"/>
    <x v="1"/>
    <x v="87"/>
    <x v="1"/>
    <x v="1"/>
  </r>
  <r>
    <x v="497"/>
    <x v="0"/>
    <x v="0"/>
    <x v="408"/>
    <x v="233"/>
    <x v="0"/>
    <x v="0"/>
    <x v="4"/>
    <x v="1"/>
    <x v="1"/>
    <x v="0"/>
    <x v="1"/>
    <x v="0"/>
    <x v="1"/>
    <x v="417"/>
    <x v="191"/>
    <x v="2"/>
    <x v="0"/>
    <x v="0"/>
    <x v="0"/>
  </r>
  <r>
    <x v="498"/>
    <x v="0"/>
    <x v="1"/>
    <x v="260"/>
    <x v="465"/>
    <x v="1"/>
    <x v="1"/>
    <x v="37"/>
    <x v="0"/>
    <x v="0"/>
    <x v="2"/>
    <x v="6"/>
    <x v="0"/>
    <x v="2"/>
    <x v="266"/>
    <x v="139"/>
    <x v="1"/>
    <x v="54"/>
    <x v="0"/>
    <x v="0"/>
  </r>
  <r>
    <x v="499"/>
    <x v="0"/>
    <x v="0"/>
    <x v="409"/>
    <x v="466"/>
    <x v="0"/>
    <x v="0"/>
    <x v="42"/>
    <x v="0"/>
    <x v="1"/>
    <x v="0"/>
    <x v="1"/>
    <x v="0"/>
    <x v="1"/>
    <x v="418"/>
    <x v="88"/>
    <x v="0"/>
    <x v="0"/>
    <x v="0"/>
    <x v="0"/>
  </r>
  <r>
    <x v="500"/>
    <x v="0"/>
    <x v="0"/>
    <x v="148"/>
    <x v="467"/>
    <x v="0"/>
    <x v="0"/>
    <x v="34"/>
    <x v="3"/>
    <x v="1"/>
    <x v="0"/>
    <x v="1"/>
    <x v="0"/>
    <x v="1"/>
    <x v="419"/>
    <x v="51"/>
    <x v="0"/>
    <x v="0"/>
    <x v="0"/>
    <x v="0"/>
  </r>
  <r>
    <x v="501"/>
    <x v="0"/>
    <x v="0"/>
    <x v="410"/>
    <x v="344"/>
    <x v="2"/>
    <x v="1"/>
    <x v="23"/>
    <x v="0"/>
    <x v="1"/>
    <x v="0"/>
    <x v="1"/>
    <x v="0"/>
    <x v="1"/>
    <x v="420"/>
    <x v="28"/>
    <x v="0"/>
    <x v="0"/>
    <x v="2"/>
    <x v="2"/>
  </r>
  <r>
    <x v="502"/>
    <x v="0"/>
    <x v="0"/>
    <x v="411"/>
    <x v="468"/>
    <x v="2"/>
    <x v="1"/>
    <x v="4"/>
    <x v="1"/>
    <x v="1"/>
    <x v="0"/>
    <x v="1"/>
    <x v="0"/>
    <x v="1"/>
    <x v="421"/>
    <x v="192"/>
    <x v="0"/>
    <x v="0"/>
    <x v="2"/>
    <x v="2"/>
  </r>
  <r>
    <x v="503"/>
    <x v="0"/>
    <x v="0"/>
    <x v="412"/>
    <x v="469"/>
    <x v="2"/>
    <x v="1"/>
    <x v="46"/>
    <x v="0"/>
    <x v="1"/>
    <x v="0"/>
    <x v="1"/>
    <x v="0"/>
    <x v="1"/>
    <x v="422"/>
    <x v="188"/>
    <x v="0"/>
    <x v="0"/>
    <x v="0"/>
    <x v="0"/>
  </r>
  <r>
    <x v="504"/>
    <x v="1"/>
    <x v="1"/>
    <x v="413"/>
    <x v="470"/>
    <x v="2"/>
    <x v="1"/>
    <x v="36"/>
    <x v="3"/>
    <x v="1"/>
    <x v="0"/>
    <x v="1"/>
    <x v="1"/>
    <x v="1"/>
    <x v="230"/>
    <x v="126"/>
    <x v="1"/>
    <x v="88"/>
    <x v="0"/>
    <x v="0"/>
  </r>
  <r>
    <x v="505"/>
    <x v="0"/>
    <x v="1"/>
    <x v="266"/>
    <x v="471"/>
    <x v="0"/>
    <x v="0"/>
    <x v="24"/>
    <x v="3"/>
    <x v="0"/>
    <x v="0"/>
    <x v="0"/>
    <x v="0"/>
    <x v="0"/>
    <x v="273"/>
    <x v="144"/>
    <x v="1"/>
    <x v="56"/>
    <x v="1"/>
    <x v="1"/>
  </r>
  <r>
    <x v="506"/>
    <x v="1"/>
    <x v="2"/>
    <x v="414"/>
    <x v="472"/>
    <x v="1"/>
    <x v="1"/>
    <x v="40"/>
    <x v="0"/>
    <x v="1"/>
    <x v="2"/>
    <x v="3"/>
    <x v="1"/>
    <x v="0"/>
    <x v="423"/>
    <x v="19"/>
    <x v="2"/>
    <x v="0"/>
    <x v="0"/>
    <x v="0"/>
  </r>
  <r>
    <x v="507"/>
    <x v="1"/>
    <x v="1"/>
    <x v="415"/>
    <x v="473"/>
    <x v="0"/>
    <x v="0"/>
    <x v="4"/>
    <x v="1"/>
    <x v="1"/>
    <x v="0"/>
    <x v="1"/>
    <x v="1"/>
    <x v="1"/>
    <x v="424"/>
    <x v="11"/>
    <x v="2"/>
    <x v="0"/>
    <x v="0"/>
    <x v="0"/>
  </r>
  <r>
    <x v="508"/>
    <x v="0"/>
    <x v="0"/>
    <x v="140"/>
    <x v="474"/>
    <x v="0"/>
    <x v="0"/>
    <x v="17"/>
    <x v="0"/>
    <x v="1"/>
    <x v="0"/>
    <x v="1"/>
    <x v="0"/>
    <x v="1"/>
    <x v="425"/>
    <x v="193"/>
    <x v="2"/>
    <x v="0"/>
    <x v="0"/>
    <x v="0"/>
  </r>
  <r>
    <x v="509"/>
    <x v="1"/>
    <x v="0"/>
    <x v="416"/>
    <x v="475"/>
    <x v="0"/>
    <x v="0"/>
    <x v="2"/>
    <x v="0"/>
    <x v="1"/>
    <x v="0"/>
    <x v="1"/>
    <x v="1"/>
    <x v="1"/>
    <x v="72"/>
    <x v="54"/>
    <x v="1"/>
    <x v="0"/>
    <x v="0"/>
    <x v="0"/>
  </r>
  <r>
    <x v="510"/>
    <x v="1"/>
    <x v="0"/>
    <x v="417"/>
    <x v="476"/>
    <x v="0"/>
    <x v="0"/>
    <x v="28"/>
    <x v="0"/>
    <x v="1"/>
    <x v="0"/>
    <x v="1"/>
    <x v="1"/>
    <x v="1"/>
    <x v="426"/>
    <x v="28"/>
    <x v="0"/>
    <x v="0"/>
    <x v="2"/>
    <x v="2"/>
  </r>
  <r>
    <x v="511"/>
    <x v="0"/>
    <x v="0"/>
    <x v="114"/>
    <x v="5"/>
    <x v="0"/>
    <x v="0"/>
    <x v="4"/>
    <x v="1"/>
    <x v="1"/>
    <x v="0"/>
    <x v="1"/>
    <x v="0"/>
    <x v="1"/>
    <x v="427"/>
    <x v="4"/>
    <x v="0"/>
    <x v="0"/>
    <x v="0"/>
    <x v="0"/>
  </r>
  <r>
    <x v="512"/>
    <x v="1"/>
    <x v="1"/>
    <x v="418"/>
    <x v="477"/>
    <x v="0"/>
    <x v="0"/>
    <x v="62"/>
    <x v="0"/>
    <x v="1"/>
    <x v="0"/>
    <x v="1"/>
    <x v="1"/>
    <x v="1"/>
    <x v="428"/>
    <x v="194"/>
    <x v="2"/>
    <x v="89"/>
    <x v="0"/>
    <x v="0"/>
  </r>
  <r>
    <x v="513"/>
    <x v="1"/>
    <x v="1"/>
    <x v="419"/>
    <x v="478"/>
    <x v="1"/>
    <x v="1"/>
    <x v="5"/>
    <x v="0"/>
    <x v="0"/>
    <x v="0"/>
    <x v="0"/>
    <x v="1"/>
    <x v="0"/>
    <x v="429"/>
    <x v="195"/>
    <x v="1"/>
    <x v="0"/>
    <x v="1"/>
    <x v="1"/>
  </r>
  <r>
    <x v="514"/>
    <x v="0"/>
    <x v="0"/>
    <x v="420"/>
    <x v="479"/>
    <x v="0"/>
    <x v="0"/>
    <x v="42"/>
    <x v="0"/>
    <x v="1"/>
    <x v="0"/>
    <x v="1"/>
    <x v="0"/>
    <x v="1"/>
    <x v="430"/>
    <x v="196"/>
    <x v="0"/>
    <x v="0"/>
    <x v="0"/>
    <x v="0"/>
  </r>
  <r>
    <x v="515"/>
    <x v="0"/>
    <x v="1"/>
    <x v="421"/>
    <x v="480"/>
    <x v="0"/>
    <x v="0"/>
    <x v="47"/>
    <x v="0"/>
    <x v="1"/>
    <x v="0"/>
    <x v="1"/>
    <x v="0"/>
    <x v="1"/>
    <x v="431"/>
    <x v="197"/>
    <x v="2"/>
    <x v="90"/>
    <x v="0"/>
    <x v="0"/>
  </r>
  <r>
    <x v="516"/>
    <x v="1"/>
    <x v="2"/>
    <x v="422"/>
    <x v="481"/>
    <x v="1"/>
    <x v="1"/>
    <x v="15"/>
    <x v="0"/>
    <x v="1"/>
    <x v="0"/>
    <x v="1"/>
    <x v="1"/>
    <x v="1"/>
    <x v="432"/>
    <x v="29"/>
    <x v="2"/>
    <x v="15"/>
    <x v="0"/>
    <x v="0"/>
  </r>
  <r>
    <x v="517"/>
    <x v="0"/>
    <x v="0"/>
    <x v="423"/>
    <x v="113"/>
    <x v="0"/>
    <x v="0"/>
    <x v="4"/>
    <x v="1"/>
    <x v="1"/>
    <x v="0"/>
    <x v="1"/>
    <x v="0"/>
    <x v="1"/>
    <x v="106"/>
    <x v="72"/>
    <x v="2"/>
    <x v="0"/>
    <x v="2"/>
    <x v="2"/>
  </r>
  <r>
    <x v="518"/>
    <x v="1"/>
    <x v="2"/>
    <x v="424"/>
    <x v="482"/>
    <x v="1"/>
    <x v="1"/>
    <x v="62"/>
    <x v="0"/>
    <x v="0"/>
    <x v="0"/>
    <x v="0"/>
    <x v="1"/>
    <x v="0"/>
    <x v="433"/>
    <x v="19"/>
    <x v="2"/>
    <x v="0"/>
    <x v="0"/>
    <x v="0"/>
  </r>
  <r>
    <x v="519"/>
    <x v="0"/>
    <x v="0"/>
    <x v="425"/>
    <x v="483"/>
    <x v="0"/>
    <x v="0"/>
    <x v="35"/>
    <x v="0"/>
    <x v="1"/>
    <x v="0"/>
    <x v="1"/>
    <x v="0"/>
    <x v="1"/>
    <x v="434"/>
    <x v="25"/>
    <x v="0"/>
    <x v="0"/>
    <x v="0"/>
    <x v="0"/>
  </r>
  <r>
    <x v="520"/>
    <x v="1"/>
    <x v="1"/>
    <x v="426"/>
    <x v="484"/>
    <x v="2"/>
    <x v="1"/>
    <x v="39"/>
    <x v="0"/>
    <x v="1"/>
    <x v="0"/>
    <x v="1"/>
    <x v="1"/>
    <x v="1"/>
    <x v="435"/>
    <x v="198"/>
    <x v="1"/>
    <x v="91"/>
    <x v="0"/>
    <x v="0"/>
  </r>
  <r>
    <x v="521"/>
    <x v="0"/>
    <x v="0"/>
    <x v="427"/>
    <x v="485"/>
    <x v="0"/>
    <x v="0"/>
    <x v="0"/>
    <x v="0"/>
    <x v="1"/>
    <x v="0"/>
    <x v="1"/>
    <x v="0"/>
    <x v="1"/>
    <x v="436"/>
    <x v="25"/>
    <x v="0"/>
    <x v="0"/>
    <x v="0"/>
    <x v="0"/>
  </r>
  <r>
    <x v="522"/>
    <x v="0"/>
    <x v="0"/>
    <x v="428"/>
    <x v="486"/>
    <x v="0"/>
    <x v="0"/>
    <x v="4"/>
    <x v="1"/>
    <x v="1"/>
    <x v="0"/>
    <x v="1"/>
    <x v="0"/>
    <x v="1"/>
    <x v="437"/>
    <x v="18"/>
    <x v="0"/>
    <x v="0"/>
    <x v="1"/>
    <x v="1"/>
  </r>
  <r>
    <x v="523"/>
    <x v="1"/>
    <x v="1"/>
    <x v="284"/>
    <x v="487"/>
    <x v="1"/>
    <x v="1"/>
    <x v="57"/>
    <x v="0"/>
    <x v="1"/>
    <x v="1"/>
    <x v="0"/>
    <x v="1"/>
    <x v="0"/>
    <x v="290"/>
    <x v="153"/>
    <x v="1"/>
    <x v="63"/>
    <x v="1"/>
    <x v="1"/>
  </r>
  <r>
    <x v="524"/>
    <x v="0"/>
    <x v="0"/>
    <x v="429"/>
    <x v="488"/>
    <x v="0"/>
    <x v="0"/>
    <x v="4"/>
    <x v="1"/>
    <x v="1"/>
    <x v="0"/>
    <x v="1"/>
    <x v="0"/>
    <x v="1"/>
    <x v="438"/>
    <x v="32"/>
    <x v="0"/>
    <x v="0"/>
    <x v="1"/>
    <x v="1"/>
  </r>
  <r>
    <x v="525"/>
    <x v="0"/>
    <x v="0"/>
    <x v="430"/>
    <x v="5"/>
    <x v="0"/>
    <x v="0"/>
    <x v="56"/>
    <x v="0"/>
    <x v="1"/>
    <x v="0"/>
    <x v="1"/>
    <x v="0"/>
    <x v="1"/>
    <x v="439"/>
    <x v="28"/>
    <x v="0"/>
    <x v="0"/>
    <x v="2"/>
    <x v="2"/>
  </r>
  <r>
    <x v="526"/>
    <x v="1"/>
    <x v="2"/>
    <x v="431"/>
    <x v="489"/>
    <x v="2"/>
    <x v="1"/>
    <x v="61"/>
    <x v="0"/>
    <x v="1"/>
    <x v="0"/>
    <x v="1"/>
    <x v="1"/>
    <x v="1"/>
    <x v="440"/>
    <x v="29"/>
    <x v="2"/>
    <x v="0"/>
    <x v="0"/>
    <x v="0"/>
  </r>
  <r>
    <x v="527"/>
    <x v="0"/>
    <x v="1"/>
    <x v="432"/>
    <x v="184"/>
    <x v="0"/>
    <x v="0"/>
    <x v="4"/>
    <x v="1"/>
    <x v="1"/>
    <x v="0"/>
    <x v="1"/>
    <x v="0"/>
    <x v="1"/>
    <x v="441"/>
    <x v="199"/>
    <x v="1"/>
    <x v="92"/>
    <x v="0"/>
    <x v="0"/>
  </r>
  <r>
    <x v="528"/>
    <x v="0"/>
    <x v="0"/>
    <x v="433"/>
    <x v="490"/>
    <x v="0"/>
    <x v="0"/>
    <x v="12"/>
    <x v="0"/>
    <x v="1"/>
    <x v="0"/>
    <x v="1"/>
    <x v="0"/>
    <x v="1"/>
    <x v="442"/>
    <x v="2"/>
    <x v="0"/>
    <x v="0"/>
    <x v="0"/>
    <x v="0"/>
  </r>
  <r>
    <x v="529"/>
    <x v="0"/>
    <x v="2"/>
    <x v="434"/>
    <x v="491"/>
    <x v="0"/>
    <x v="0"/>
    <x v="41"/>
    <x v="0"/>
    <x v="4"/>
    <x v="1"/>
    <x v="6"/>
    <x v="0"/>
    <x v="2"/>
    <x v="443"/>
    <x v="86"/>
    <x v="2"/>
    <x v="0"/>
    <x v="0"/>
    <x v="0"/>
  </r>
  <r>
    <x v="530"/>
    <x v="1"/>
    <x v="2"/>
    <x v="414"/>
    <x v="492"/>
    <x v="2"/>
    <x v="1"/>
    <x v="6"/>
    <x v="2"/>
    <x v="0"/>
    <x v="1"/>
    <x v="3"/>
    <x v="1"/>
    <x v="0"/>
    <x v="423"/>
    <x v="19"/>
    <x v="2"/>
    <x v="0"/>
    <x v="0"/>
    <x v="0"/>
  </r>
  <r>
    <x v="531"/>
    <x v="0"/>
    <x v="0"/>
    <x v="435"/>
    <x v="493"/>
    <x v="0"/>
    <x v="0"/>
    <x v="4"/>
    <x v="1"/>
    <x v="1"/>
    <x v="0"/>
    <x v="1"/>
    <x v="0"/>
    <x v="1"/>
    <x v="444"/>
    <x v="32"/>
    <x v="0"/>
    <x v="0"/>
    <x v="1"/>
    <x v="1"/>
  </r>
  <r>
    <x v="532"/>
    <x v="0"/>
    <x v="0"/>
    <x v="299"/>
    <x v="494"/>
    <x v="0"/>
    <x v="0"/>
    <x v="34"/>
    <x v="3"/>
    <x v="0"/>
    <x v="1"/>
    <x v="3"/>
    <x v="0"/>
    <x v="0"/>
    <x v="445"/>
    <x v="32"/>
    <x v="0"/>
    <x v="0"/>
    <x v="1"/>
    <x v="1"/>
  </r>
  <r>
    <x v="533"/>
    <x v="1"/>
    <x v="0"/>
    <x v="117"/>
    <x v="495"/>
    <x v="1"/>
    <x v="1"/>
    <x v="4"/>
    <x v="1"/>
    <x v="1"/>
    <x v="2"/>
    <x v="3"/>
    <x v="1"/>
    <x v="0"/>
    <x v="119"/>
    <x v="77"/>
    <x v="2"/>
    <x v="0"/>
    <x v="1"/>
    <x v="1"/>
  </r>
  <r>
    <x v="534"/>
    <x v="0"/>
    <x v="0"/>
    <x v="390"/>
    <x v="383"/>
    <x v="2"/>
    <x v="1"/>
    <x v="39"/>
    <x v="0"/>
    <x v="1"/>
    <x v="0"/>
    <x v="1"/>
    <x v="0"/>
    <x v="1"/>
    <x v="446"/>
    <x v="51"/>
    <x v="0"/>
    <x v="0"/>
    <x v="0"/>
    <x v="0"/>
  </r>
  <r>
    <x v="535"/>
    <x v="1"/>
    <x v="2"/>
    <x v="273"/>
    <x v="496"/>
    <x v="2"/>
    <x v="1"/>
    <x v="26"/>
    <x v="2"/>
    <x v="1"/>
    <x v="2"/>
    <x v="3"/>
    <x v="1"/>
    <x v="0"/>
    <x v="280"/>
    <x v="121"/>
    <x v="2"/>
    <x v="0"/>
    <x v="0"/>
    <x v="0"/>
  </r>
  <r>
    <x v="536"/>
    <x v="0"/>
    <x v="1"/>
    <x v="436"/>
    <x v="497"/>
    <x v="9"/>
    <x v="2"/>
    <x v="33"/>
    <x v="0"/>
    <x v="1"/>
    <x v="0"/>
    <x v="1"/>
    <x v="0"/>
    <x v="1"/>
    <x v="447"/>
    <x v="11"/>
    <x v="2"/>
    <x v="93"/>
    <x v="0"/>
    <x v="0"/>
  </r>
  <r>
    <x v="537"/>
    <x v="1"/>
    <x v="1"/>
    <x v="437"/>
    <x v="82"/>
    <x v="2"/>
    <x v="1"/>
    <x v="39"/>
    <x v="0"/>
    <x v="1"/>
    <x v="0"/>
    <x v="1"/>
    <x v="1"/>
    <x v="1"/>
    <x v="448"/>
    <x v="200"/>
    <x v="1"/>
    <x v="0"/>
    <x v="1"/>
    <x v="1"/>
  </r>
  <r>
    <x v="538"/>
    <x v="0"/>
    <x v="0"/>
    <x v="438"/>
    <x v="498"/>
    <x v="0"/>
    <x v="0"/>
    <x v="4"/>
    <x v="1"/>
    <x v="1"/>
    <x v="0"/>
    <x v="1"/>
    <x v="0"/>
    <x v="1"/>
    <x v="449"/>
    <x v="80"/>
    <x v="2"/>
    <x v="0"/>
    <x v="0"/>
    <x v="0"/>
  </r>
  <r>
    <x v="539"/>
    <x v="1"/>
    <x v="1"/>
    <x v="439"/>
    <x v="499"/>
    <x v="2"/>
    <x v="1"/>
    <x v="0"/>
    <x v="0"/>
    <x v="1"/>
    <x v="2"/>
    <x v="3"/>
    <x v="1"/>
    <x v="0"/>
    <x v="450"/>
    <x v="201"/>
    <x v="2"/>
    <x v="94"/>
    <x v="1"/>
    <x v="1"/>
  </r>
  <r>
    <x v="540"/>
    <x v="1"/>
    <x v="1"/>
    <x v="440"/>
    <x v="500"/>
    <x v="2"/>
    <x v="1"/>
    <x v="62"/>
    <x v="0"/>
    <x v="1"/>
    <x v="2"/>
    <x v="3"/>
    <x v="1"/>
    <x v="0"/>
    <x v="451"/>
    <x v="202"/>
    <x v="1"/>
    <x v="95"/>
    <x v="0"/>
    <x v="0"/>
  </r>
  <r>
    <x v="541"/>
    <x v="0"/>
    <x v="0"/>
    <x v="13"/>
    <x v="501"/>
    <x v="2"/>
    <x v="1"/>
    <x v="52"/>
    <x v="2"/>
    <x v="3"/>
    <x v="2"/>
    <x v="4"/>
    <x v="0"/>
    <x v="2"/>
    <x v="13"/>
    <x v="12"/>
    <x v="2"/>
    <x v="0"/>
    <x v="0"/>
    <x v="0"/>
  </r>
  <r>
    <x v="542"/>
    <x v="0"/>
    <x v="0"/>
    <x v="13"/>
    <x v="502"/>
    <x v="2"/>
    <x v="1"/>
    <x v="32"/>
    <x v="2"/>
    <x v="3"/>
    <x v="2"/>
    <x v="4"/>
    <x v="0"/>
    <x v="2"/>
    <x v="13"/>
    <x v="12"/>
    <x v="2"/>
    <x v="0"/>
    <x v="0"/>
    <x v="0"/>
  </r>
  <r>
    <x v="543"/>
    <x v="1"/>
    <x v="2"/>
    <x v="441"/>
    <x v="503"/>
    <x v="0"/>
    <x v="0"/>
    <x v="35"/>
    <x v="0"/>
    <x v="0"/>
    <x v="0"/>
    <x v="0"/>
    <x v="1"/>
    <x v="0"/>
    <x v="452"/>
    <x v="19"/>
    <x v="2"/>
    <x v="0"/>
    <x v="0"/>
    <x v="0"/>
  </r>
  <r>
    <x v="544"/>
    <x v="0"/>
    <x v="1"/>
    <x v="442"/>
    <x v="504"/>
    <x v="0"/>
    <x v="0"/>
    <x v="61"/>
    <x v="0"/>
    <x v="0"/>
    <x v="0"/>
    <x v="0"/>
    <x v="0"/>
    <x v="0"/>
    <x v="448"/>
    <x v="200"/>
    <x v="1"/>
    <x v="96"/>
    <x v="1"/>
    <x v="1"/>
  </r>
  <r>
    <x v="545"/>
    <x v="0"/>
    <x v="1"/>
    <x v="443"/>
    <x v="505"/>
    <x v="0"/>
    <x v="0"/>
    <x v="74"/>
    <x v="4"/>
    <x v="1"/>
    <x v="0"/>
    <x v="1"/>
    <x v="0"/>
    <x v="1"/>
    <x v="453"/>
    <x v="19"/>
    <x v="2"/>
    <x v="0"/>
    <x v="0"/>
    <x v="0"/>
  </r>
  <r>
    <x v="546"/>
    <x v="1"/>
    <x v="2"/>
    <x v="441"/>
    <x v="506"/>
    <x v="1"/>
    <x v="1"/>
    <x v="19"/>
    <x v="3"/>
    <x v="0"/>
    <x v="0"/>
    <x v="0"/>
    <x v="1"/>
    <x v="0"/>
    <x v="452"/>
    <x v="19"/>
    <x v="2"/>
    <x v="0"/>
    <x v="0"/>
    <x v="0"/>
  </r>
  <r>
    <x v="547"/>
    <x v="1"/>
    <x v="2"/>
    <x v="444"/>
    <x v="507"/>
    <x v="0"/>
    <x v="0"/>
    <x v="4"/>
    <x v="1"/>
    <x v="1"/>
    <x v="0"/>
    <x v="1"/>
    <x v="1"/>
    <x v="1"/>
    <x v="454"/>
    <x v="203"/>
    <x v="2"/>
    <x v="0"/>
    <x v="1"/>
    <x v="1"/>
  </r>
  <r>
    <x v="548"/>
    <x v="0"/>
    <x v="0"/>
    <x v="149"/>
    <x v="508"/>
    <x v="0"/>
    <x v="0"/>
    <x v="40"/>
    <x v="0"/>
    <x v="0"/>
    <x v="1"/>
    <x v="3"/>
    <x v="0"/>
    <x v="0"/>
    <x v="153"/>
    <x v="97"/>
    <x v="2"/>
    <x v="0"/>
    <x v="0"/>
    <x v="0"/>
  </r>
  <r>
    <x v="549"/>
    <x v="1"/>
    <x v="2"/>
    <x v="325"/>
    <x v="509"/>
    <x v="3"/>
    <x v="0"/>
    <x v="18"/>
    <x v="2"/>
    <x v="0"/>
    <x v="1"/>
    <x v="3"/>
    <x v="1"/>
    <x v="0"/>
    <x v="135"/>
    <x v="87"/>
    <x v="2"/>
    <x v="0"/>
    <x v="0"/>
    <x v="0"/>
  </r>
  <r>
    <x v="550"/>
    <x v="1"/>
    <x v="1"/>
    <x v="445"/>
    <x v="510"/>
    <x v="0"/>
    <x v="0"/>
    <x v="34"/>
    <x v="3"/>
    <x v="1"/>
    <x v="2"/>
    <x v="3"/>
    <x v="1"/>
    <x v="0"/>
    <x v="272"/>
    <x v="143"/>
    <x v="1"/>
    <x v="97"/>
    <x v="1"/>
    <x v="1"/>
  </r>
  <r>
    <x v="551"/>
    <x v="0"/>
    <x v="2"/>
    <x v="446"/>
    <x v="511"/>
    <x v="0"/>
    <x v="0"/>
    <x v="7"/>
    <x v="0"/>
    <x v="1"/>
    <x v="0"/>
    <x v="1"/>
    <x v="0"/>
    <x v="1"/>
    <x v="455"/>
    <x v="19"/>
    <x v="2"/>
    <x v="0"/>
    <x v="0"/>
    <x v="0"/>
  </r>
  <r>
    <x v="552"/>
    <x v="0"/>
    <x v="0"/>
    <x v="165"/>
    <x v="512"/>
    <x v="0"/>
    <x v="0"/>
    <x v="4"/>
    <x v="1"/>
    <x v="1"/>
    <x v="0"/>
    <x v="1"/>
    <x v="0"/>
    <x v="1"/>
    <x v="456"/>
    <x v="204"/>
    <x v="0"/>
    <x v="0"/>
    <x v="2"/>
    <x v="2"/>
  </r>
  <r>
    <x v="553"/>
    <x v="1"/>
    <x v="0"/>
    <x v="447"/>
    <x v="513"/>
    <x v="0"/>
    <x v="0"/>
    <x v="0"/>
    <x v="0"/>
    <x v="1"/>
    <x v="0"/>
    <x v="1"/>
    <x v="1"/>
    <x v="1"/>
    <x v="457"/>
    <x v="18"/>
    <x v="0"/>
    <x v="0"/>
    <x v="1"/>
    <x v="1"/>
  </r>
  <r>
    <x v="554"/>
    <x v="1"/>
    <x v="0"/>
    <x v="448"/>
    <x v="514"/>
    <x v="2"/>
    <x v="1"/>
    <x v="0"/>
    <x v="0"/>
    <x v="1"/>
    <x v="0"/>
    <x v="1"/>
    <x v="1"/>
    <x v="1"/>
    <x v="458"/>
    <x v="71"/>
    <x v="0"/>
    <x v="0"/>
    <x v="0"/>
    <x v="0"/>
  </r>
  <r>
    <x v="555"/>
    <x v="0"/>
    <x v="1"/>
    <x v="449"/>
    <x v="515"/>
    <x v="0"/>
    <x v="0"/>
    <x v="65"/>
    <x v="4"/>
    <x v="1"/>
    <x v="0"/>
    <x v="1"/>
    <x v="0"/>
    <x v="1"/>
    <x v="459"/>
    <x v="11"/>
    <x v="2"/>
    <x v="0"/>
    <x v="0"/>
    <x v="0"/>
  </r>
  <r>
    <x v="556"/>
    <x v="1"/>
    <x v="1"/>
    <x v="450"/>
    <x v="516"/>
    <x v="10"/>
    <x v="2"/>
    <x v="76"/>
    <x v="0"/>
    <x v="0"/>
    <x v="0"/>
    <x v="0"/>
    <x v="1"/>
    <x v="0"/>
    <x v="460"/>
    <x v="205"/>
    <x v="2"/>
    <x v="98"/>
    <x v="1"/>
    <x v="1"/>
  </r>
  <r>
    <x v="557"/>
    <x v="0"/>
    <x v="1"/>
    <x v="451"/>
    <x v="136"/>
    <x v="0"/>
    <x v="0"/>
    <x v="4"/>
    <x v="1"/>
    <x v="1"/>
    <x v="0"/>
    <x v="1"/>
    <x v="0"/>
    <x v="1"/>
    <x v="327"/>
    <x v="164"/>
    <x v="1"/>
    <x v="0"/>
    <x v="1"/>
    <x v="1"/>
  </r>
  <r>
    <x v="558"/>
    <x v="1"/>
    <x v="1"/>
    <x v="228"/>
    <x v="517"/>
    <x v="1"/>
    <x v="1"/>
    <x v="12"/>
    <x v="0"/>
    <x v="0"/>
    <x v="1"/>
    <x v="3"/>
    <x v="1"/>
    <x v="0"/>
    <x v="234"/>
    <x v="128"/>
    <x v="1"/>
    <x v="45"/>
    <x v="0"/>
    <x v="0"/>
  </r>
  <r>
    <x v="559"/>
    <x v="1"/>
    <x v="0"/>
    <x v="452"/>
    <x v="518"/>
    <x v="1"/>
    <x v="1"/>
    <x v="62"/>
    <x v="0"/>
    <x v="0"/>
    <x v="0"/>
    <x v="0"/>
    <x v="1"/>
    <x v="0"/>
    <x v="461"/>
    <x v="206"/>
    <x v="2"/>
    <x v="0"/>
    <x v="0"/>
    <x v="0"/>
  </r>
  <r>
    <x v="560"/>
    <x v="0"/>
    <x v="0"/>
    <x v="453"/>
    <x v="519"/>
    <x v="0"/>
    <x v="0"/>
    <x v="4"/>
    <x v="1"/>
    <x v="1"/>
    <x v="0"/>
    <x v="1"/>
    <x v="0"/>
    <x v="1"/>
    <x v="462"/>
    <x v="28"/>
    <x v="0"/>
    <x v="0"/>
    <x v="2"/>
    <x v="2"/>
  </r>
  <r>
    <x v="561"/>
    <x v="0"/>
    <x v="0"/>
    <x v="454"/>
    <x v="520"/>
    <x v="0"/>
    <x v="0"/>
    <x v="20"/>
    <x v="0"/>
    <x v="1"/>
    <x v="0"/>
    <x v="1"/>
    <x v="0"/>
    <x v="1"/>
    <x v="463"/>
    <x v="25"/>
    <x v="0"/>
    <x v="0"/>
    <x v="0"/>
    <x v="0"/>
  </r>
  <r>
    <x v="562"/>
    <x v="0"/>
    <x v="2"/>
    <x v="455"/>
    <x v="521"/>
    <x v="0"/>
    <x v="0"/>
    <x v="17"/>
    <x v="0"/>
    <x v="1"/>
    <x v="0"/>
    <x v="1"/>
    <x v="0"/>
    <x v="1"/>
    <x v="464"/>
    <x v="119"/>
    <x v="2"/>
    <x v="0"/>
    <x v="0"/>
    <x v="0"/>
  </r>
  <r>
    <x v="563"/>
    <x v="0"/>
    <x v="0"/>
    <x v="456"/>
    <x v="184"/>
    <x v="0"/>
    <x v="0"/>
    <x v="4"/>
    <x v="1"/>
    <x v="1"/>
    <x v="0"/>
    <x v="1"/>
    <x v="0"/>
    <x v="1"/>
    <x v="465"/>
    <x v="4"/>
    <x v="0"/>
    <x v="0"/>
    <x v="0"/>
    <x v="0"/>
  </r>
  <r>
    <x v="564"/>
    <x v="0"/>
    <x v="0"/>
    <x v="457"/>
    <x v="522"/>
    <x v="2"/>
    <x v="1"/>
    <x v="4"/>
    <x v="1"/>
    <x v="1"/>
    <x v="0"/>
    <x v="1"/>
    <x v="0"/>
    <x v="1"/>
    <x v="466"/>
    <x v="4"/>
    <x v="0"/>
    <x v="0"/>
    <x v="0"/>
    <x v="0"/>
  </r>
  <r>
    <x v="565"/>
    <x v="0"/>
    <x v="0"/>
    <x v="325"/>
    <x v="523"/>
    <x v="0"/>
    <x v="0"/>
    <x v="42"/>
    <x v="0"/>
    <x v="4"/>
    <x v="0"/>
    <x v="3"/>
    <x v="0"/>
    <x v="0"/>
    <x v="467"/>
    <x v="72"/>
    <x v="2"/>
    <x v="0"/>
    <x v="0"/>
    <x v="0"/>
  </r>
  <r>
    <x v="566"/>
    <x v="0"/>
    <x v="0"/>
    <x v="458"/>
    <x v="524"/>
    <x v="0"/>
    <x v="0"/>
    <x v="19"/>
    <x v="3"/>
    <x v="1"/>
    <x v="0"/>
    <x v="1"/>
    <x v="0"/>
    <x v="1"/>
    <x v="468"/>
    <x v="25"/>
    <x v="0"/>
    <x v="0"/>
    <x v="0"/>
    <x v="0"/>
  </r>
  <r>
    <x v="567"/>
    <x v="0"/>
    <x v="0"/>
    <x v="7"/>
    <x v="525"/>
    <x v="1"/>
    <x v="1"/>
    <x v="28"/>
    <x v="0"/>
    <x v="1"/>
    <x v="5"/>
    <x v="2"/>
    <x v="0"/>
    <x v="2"/>
    <x v="7"/>
    <x v="7"/>
    <x v="2"/>
    <x v="0"/>
    <x v="0"/>
    <x v="0"/>
  </r>
  <r>
    <x v="568"/>
    <x v="0"/>
    <x v="0"/>
    <x v="459"/>
    <x v="338"/>
    <x v="0"/>
    <x v="0"/>
    <x v="4"/>
    <x v="1"/>
    <x v="1"/>
    <x v="0"/>
    <x v="1"/>
    <x v="0"/>
    <x v="1"/>
    <x v="469"/>
    <x v="32"/>
    <x v="0"/>
    <x v="0"/>
    <x v="1"/>
    <x v="1"/>
  </r>
  <r>
    <x v="569"/>
    <x v="1"/>
    <x v="0"/>
    <x v="460"/>
    <x v="526"/>
    <x v="0"/>
    <x v="0"/>
    <x v="35"/>
    <x v="0"/>
    <x v="1"/>
    <x v="0"/>
    <x v="1"/>
    <x v="1"/>
    <x v="1"/>
    <x v="470"/>
    <x v="13"/>
    <x v="0"/>
    <x v="0"/>
    <x v="0"/>
    <x v="0"/>
  </r>
  <r>
    <x v="570"/>
    <x v="1"/>
    <x v="2"/>
    <x v="60"/>
    <x v="515"/>
    <x v="0"/>
    <x v="0"/>
    <x v="65"/>
    <x v="4"/>
    <x v="1"/>
    <x v="0"/>
    <x v="1"/>
    <x v="1"/>
    <x v="1"/>
    <x v="471"/>
    <x v="29"/>
    <x v="2"/>
    <x v="0"/>
    <x v="0"/>
    <x v="0"/>
  </r>
  <r>
    <x v="571"/>
    <x v="1"/>
    <x v="1"/>
    <x v="461"/>
    <x v="527"/>
    <x v="1"/>
    <x v="1"/>
    <x v="78"/>
    <x v="0"/>
    <x v="4"/>
    <x v="0"/>
    <x v="3"/>
    <x v="1"/>
    <x v="0"/>
    <x v="472"/>
    <x v="207"/>
    <x v="1"/>
    <x v="99"/>
    <x v="0"/>
    <x v="0"/>
  </r>
  <r>
    <x v="572"/>
    <x v="1"/>
    <x v="1"/>
    <x v="355"/>
    <x v="528"/>
    <x v="0"/>
    <x v="0"/>
    <x v="62"/>
    <x v="0"/>
    <x v="1"/>
    <x v="0"/>
    <x v="1"/>
    <x v="1"/>
    <x v="1"/>
    <x v="473"/>
    <x v="208"/>
    <x v="2"/>
    <x v="89"/>
    <x v="0"/>
    <x v="0"/>
  </r>
  <r>
    <x v="573"/>
    <x v="1"/>
    <x v="0"/>
    <x v="262"/>
    <x v="344"/>
    <x v="2"/>
    <x v="1"/>
    <x v="4"/>
    <x v="1"/>
    <x v="1"/>
    <x v="0"/>
    <x v="1"/>
    <x v="1"/>
    <x v="1"/>
    <x v="474"/>
    <x v="28"/>
    <x v="0"/>
    <x v="0"/>
    <x v="2"/>
    <x v="2"/>
  </r>
  <r>
    <x v="574"/>
    <x v="0"/>
    <x v="0"/>
    <x v="462"/>
    <x v="529"/>
    <x v="0"/>
    <x v="0"/>
    <x v="36"/>
    <x v="3"/>
    <x v="1"/>
    <x v="0"/>
    <x v="1"/>
    <x v="0"/>
    <x v="1"/>
    <x v="475"/>
    <x v="4"/>
    <x v="0"/>
    <x v="0"/>
    <x v="0"/>
    <x v="0"/>
  </r>
  <r>
    <x v="575"/>
    <x v="0"/>
    <x v="0"/>
    <x v="463"/>
    <x v="515"/>
    <x v="0"/>
    <x v="0"/>
    <x v="19"/>
    <x v="3"/>
    <x v="1"/>
    <x v="0"/>
    <x v="1"/>
    <x v="0"/>
    <x v="1"/>
    <x v="476"/>
    <x v="80"/>
    <x v="2"/>
    <x v="0"/>
    <x v="0"/>
    <x v="0"/>
  </r>
  <r>
    <x v="576"/>
    <x v="1"/>
    <x v="2"/>
    <x v="464"/>
    <x v="530"/>
    <x v="2"/>
    <x v="1"/>
    <x v="15"/>
    <x v="0"/>
    <x v="1"/>
    <x v="0"/>
    <x v="1"/>
    <x v="1"/>
    <x v="1"/>
    <x v="477"/>
    <x v="16"/>
    <x v="2"/>
    <x v="0"/>
    <x v="0"/>
    <x v="0"/>
  </r>
  <r>
    <x v="577"/>
    <x v="1"/>
    <x v="1"/>
    <x v="361"/>
    <x v="531"/>
    <x v="1"/>
    <x v="1"/>
    <x v="12"/>
    <x v="0"/>
    <x v="0"/>
    <x v="0"/>
    <x v="0"/>
    <x v="1"/>
    <x v="0"/>
    <x v="371"/>
    <x v="175"/>
    <x v="1"/>
    <x v="75"/>
    <x v="0"/>
    <x v="0"/>
  </r>
  <r>
    <x v="578"/>
    <x v="0"/>
    <x v="0"/>
    <x v="465"/>
    <x v="532"/>
    <x v="1"/>
    <x v="1"/>
    <x v="4"/>
    <x v="1"/>
    <x v="0"/>
    <x v="0"/>
    <x v="0"/>
    <x v="0"/>
    <x v="0"/>
    <x v="478"/>
    <x v="74"/>
    <x v="2"/>
    <x v="0"/>
    <x v="1"/>
    <x v="1"/>
  </r>
  <r>
    <x v="579"/>
    <x v="1"/>
    <x v="0"/>
    <x v="107"/>
    <x v="533"/>
    <x v="0"/>
    <x v="0"/>
    <x v="35"/>
    <x v="0"/>
    <x v="1"/>
    <x v="0"/>
    <x v="1"/>
    <x v="1"/>
    <x v="1"/>
    <x v="479"/>
    <x v="2"/>
    <x v="0"/>
    <x v="0"/>
    <x v="0"/>
    <x v="0"/>
  </r>
  <r>
    <x v="580"/>
    <x v="1"/>
    <x v="2"/>
    <x v="466"/>
    <x v="534"/>
    <x v="2"/>
    <x v="1"/>
    <x v="37"/>
    <x v="0"/>
    <x v="0"/>
    <x v="1"/>
    <x v="3"/>
    <x v="1"/>
    <x v="0"/>
    <x v="480"/>
    <x v="209"/>
    <x v="2"/>
    <x v="0"/>
    <x v="0"/>
    <x v="0"/>
  </r>
  <r>
    <x v="581"/>
    <x v="1"/>
    <x v="1"/>
    <x v="445"/>
    <x v="535"/>
    <x v="1"/>
    <x v="1"/>
    <x v="12"/>
    <x v="0"/>
    <x v="0"/>
    <x v="1"/>
    <x v="3"/>
    <x v="1"/>
    <x v="0"/>
    <x v="272"/>
    <x v="143"/>
    <x v="1"/>
    <x v="100"/>
    <x v="1"/>
    <x v="1"/>
  </r>
  <r>
    <x v="582"/>
    <x v="0"/>
    <x v="2"/>
    <x v="467"/>
    <x v="536"/>
    <x v="0"/>
    <x v="0"/>
    <x v="5"/>
    <x v="0"/>
    <x v="1"/>
    <x v="0"/>
    <x v="1"/>
    <x v="0"/>
    <x v="1"/>
    <x v="339"/>
    <x v="19"/>
    <x v="2"/>
    <x v="0"/>
    <x v="0"/>
    <x v="0"/>
  </r>
  <r>
    <x v="583"/>
    <x v="0"/>
    <x v="1"/>
    <x v="468"/>
    <x v="537"/>
    <x v="0"/>
    <x v="0"/>
    <x v="62"/>
    <x v="0"/>
    <x v="1"/>
    <x v="0"/>
    <x v="1"/>
    <x v="0"/>
    <x v="1"/>
    <x v="481"/>
    <x v="210"/>
    <x v="2"/>
    <x v="101"/>
    <x v="1"/>
    <x v="1"/>
  </r>
  <r>
    <x v="584"/>
    <x v="0"/>
    <x v="0"/>
    <x v="469"/>
    <x v="538"/>
    <x v="0"/>
    <x v="0"/>
    <x v="4"/>
    <x v="1"/>
    <x v="1"/>
    <x v="0"/>
    <x v="1"/>
    <x v="0"/>
    <x v="1"/>
    <x v="482"/>
    <x v="211"/>
    <x v="0"/>
    <x v="0"/>
    <x v="1"/>
    <x v="1"/>
  </r>
  <r>
    <x v="585"/>
    <x v="1"/>
    <x v="1"/>
    <x v="228"/>
    <x v="539"/>
    <x v="2"/>
    <x v="1"/>
    <x v="24"/>
    <x v="3"/>
    <x v="1"/>
    <x v="2"/>
    <x v="3"/>
    <x v="1"/>
    <x v="0"/>
    <x v="234"/>
    <x v="128"/>
    <x v="1"/>
    <x v="102"/>
    <x v="0"/>
    <x v="0"/>
  </r>
  <r>
    <x v="586"/>
    <x v="0"/>
    <x v="2"/>
    <x v="470"/>
    <x v="540"/>
    <x v="0"/>
    <x v="0"/>
    <x v="47"/>
    <x v="0"/>
    <x v="1"/>
    <x v="0"/>
    <x v="1"/>
    <x v="0"/>
    <x v="1"/>
    <x v="483"/>
    <x v="212"/>
    <x v="2"/>
    <x v="0"/>
    <x v="0"/>
    <x v="0"/>
  </r>
  <r>
    <x v="587"/>
    <x v="1"/>
    <x v="1"/>
    <x v="471"/>
    <x v="541"/>
    <x v="0"/>
    <x v="0"/>
    <x v="72"/>
    <x v="4"/>
    <x v="0"/>
    <x v="1"/>
    <x v="3"/>
    <x v="1"/>
    <x v="0"/>
    <x v="484"/>
    <x v="84"/>
    <x v="1"/>
    <x v="103"/>
    <x v="1"/>
    <x v="1"/>
  </r>
  <r>
    <x v="588"/>
    <x v="0"/>
    <x v="0"/>
    <x v="472"/>
    <x v="542"/>
    <x v="0"/>
    <x v="0"/>
    <x v="0"/>
    <x v="0"/>
    <x v="1"/>
    <x v="0"/>
    <x v="1"/>
    <x v="0"/>
    <x v="1"/>
    <x v="485"/>
    <x v="4"/>
    <x v="0"/>
    <x v="0"/>
    <x v="0"/>
    <x v="0"/>
  </r>
  <r>
    <x v="589"/>
    <x v="0"/>
    <x v="0"/>
    <x v="473"/>
    <x v="429"/>
    <x v="0"/>
    <x v="0"/>
    <x v="4"/>
    <x v="1"/>
    <x v="1"/>
    <x v="0"/>
    <x v="1"/>
    <x v="0"/>
    <x v="1"/>
    <x v="486"/>
    <x v="4"/>
    <x v="0"/>
    <x v="0"/>
    <x v="0"/>
    <x v="0"/>
  </r>
  <r>
    <x v="590"/>
    <x v="0"/>
    <x v="0"/>
    <x v="474"/>
    <x v="543"/>
    <x v="0"/>
    <x v="0"/>
    <x v="3"/>
    <x v="0"/>
    <x v="1"/>
    <x v="0"/>
    <x v="1"/>
    <x v="0"/>
    <x v="1"/>
    <x v="487"/>
    <x v="123"/>
    <x v="0"/>
    <x v="0"/>
    <x v="0"/>
    <x v="0"/>
  </r>
  <r>
    <x v="591"/>
    <x v="1"/>
    <x v="1"/>
    <x v="475"/>
    <x v="544"/>
    <x v="1"/>
    <x v="1"/>
    <x v="67"/>
    <x v="0"/>
    <x v="0"/>
    <x v="0"/>
    <x v="0"/>
    <x v="1"/>
    <x v="0"/>
    <x v="416"/>
    <x v="190"/>
    <x v="1"/>
    <x v="87"/>
    <x v="1"/>
    <x v="1"/>
  </r>
  <r>
    <x v="592"/>
    <x v="0"/>
    <x v="0"/>
    <x v="476"/>
    <x v="536"/>
    <x v="0"/>
    <x v="0"/>
    <x v="47"/>
    <x v="0"/>
    <x v="1"/>
    <x v="0"/>
    <x v="1"/>
    <x v="0"/>
    <x v="1"/>
    <x v="488"/>
    <x v="0"/>
    <x v="0"/>
    <x v="0"/>
    <x v="0"/>
    <x v="0"/>
  </r>
  <r>
    <x v="593"/>
    <x v="0"/>
    <x v="0"/>
    <x v="167"/>
    <x v="344"/>
    <x v="2"/>
    <x v="1"/>
    <x v="4"/>
    <x v="1"/>
    <x v="1"/>
    <x v="2"/>
    <x v="3"/>
    <x v="0"/>
    <x v="0"/>
    <x v="489"/>
    <x v="28"/>
    <x v="0"/>
    <x v="0"/>
    <x v="2"/>
    <x v="2"/>
  </r>
  <r>
    <x v="594"/>
    <x v="0"/>
    <x v="2"/>
    <x v="477"/>
    <x v="208"/>
    <x v="0"/>
    <x v="0"/>
    <x v="46"/>
    <x v="0"/>
    <x v="0"/>
    <x v="0"/>
    <x v="0"/>
    <x v="0"/>
    <x v="0"/>
    <x v="490"/>
    <x v="19"/>
    <x v="2"/>
    <x v="0"/>
    <x v="0"/>
    <x v="0"/>
  </r>
  <r>
    <x v="595"/>
    <x v="0"/>
    <x v="0"/>
    <x v="347"/>
    <x v="545"/>
    <x v="0"/>
    <x v="0"/>
    <x v="62"/>
    <x v="0"/>
    <x v="0"/>
    <x v="1"/>
    <x v="3"/>
    <x v="0"/>
    <x v="0"/>
    <x v="357"/>
    <x v="72"/>
    <x v="2"/>
    <x v="0"/>
    <x v="0"/>
    <x v="0"/>
  </r>
  <r>
    <x v="596"/>
    <x v="1"/>
    <x v="2"/>
    <x v="478"/>
    <x v="546"/>
    <x v="2"/>
    <x v="1"/>
    <x v="4"/>
    <x v="1"/>
    <x v="1"/>
    <x v="0"/>
    <x v="1"/>
    <x v="1"/>
    <x v="1"/>
    <x v="491"/>
    <x v="213"/>
    <x v="2"/>
    <x v="0"/>
    <x v="0"/>
    <x v="0"/>
  </r>
  <r>
    <x v="597"/>
    <x v="0"/>
    <x v="0"/>
    <x v="8"/>
    <x v="378"/>
    <x v="0"/>
    <x v="0"/>
    <x v="27"/>
    <x v="0"/>
    <x v="1"/>
    <x v="0"/>
    <x v="1"/>
    <x v="0"/>
    <x v="1"/>
    <x v="163"/>
    <x v="104"/>
    <x v="0"/>
    <x v="0"/>
    <x v="0"/>
    <x v="0"/>
  </r>
  <r>
    <x v="598"/>
    <x v="0"/>
    <x v="0"/>
    <x v="128"/>
    <x v="35"/>
    <x v="0"/>
    <x v="0"/>
    <x v="4"/>
    <x v="1"/>
    <x v="1"/>
    <x v="0"/>
    <x v="1"/>
    <x v="0"/>
    <x v="1"/>
    <x v="492"/>
    <x v="18"/>
    <x v="0"/>
    <x v="0"/>
    <x v="1"/>
    <x v="1"/>
  </r>
  <r>
    <x v="599"/>
    <x v="1"/>
    <x v="1"/>
    <x v="450"/>
    <x v="547"/>
    <x v="11"/>
    <x v="2"/>
    <x v="27"/>
    <x v="0"/>
    <x v="0"/>
    <x v="0"/>
    <x v="0"/>
    <x v="1"/>
    <x v="0"/>
    <x v="275"/>
    <x v="146"/>
    <x v="1"/>
    <x v="104"/>
    <x v="1"/>
    <x v="1"/>
  </r>
  <r>
    <x v="600"/>
    <x v="1"/>
    <x v="2"/>
    <x v="192"/>
    <x v="548"/>
    <x v="1"/>
    <x v="1"/>
    <x v="42"/>
    <x v="0"/>
    <x v="4"/>
    <x v="1"/>
    <x v="6"/>
    <x v="1"/>
    <x v="2"/>
    <x v="195"/>
    <x v="115"/>
    <x v="2"/>
    <x v="0"/>
    <x v="0"/>
    <x v="0"/>
  </r>
  <r>
    <x v="601"/>
    <x v="0"/>
    <x v="0"/>
    <x v="479"/>
    <x v="549"/>
    <x v="0"/>
    <x v="0"/>
    <x v="4"/>
    <x v="1"/>
    <x v="1"/>
    <x v="0"/>
    <x v="1"/>
    <x v="0"/>
    <x v="1"/>
    <x v="493"/>
    <x v="25"/>
    <x v="0"/>
    <x v="0"/>
    <x v="0"/>
    <x v="0"/>
  </r>
  <r>
    <x v="602"/>
    <x v="0"/>
    <x v="1"/>
    <x v="480"/>
    <x v="263"/>
    <x v="0"/>
    <x v="0"/>
    <x v="4"/>
    <x v="1"/>
    <x v="1"/>
    <x v="0"/>
    <x v="1"/>
    <x v="0"/>
    <x v="1"/>
    <x v="494"/>
    <x v="214"/>
    <x v="2"/>
    <x v="0"/>
    <x v="0"/>
    <x v="0"/>
  </r>
  <r>
    <x v="603"/>
    <x v="0"/>
    <x v="0"/>
    <x v="481"/>
    <x v="550"/>
    <x v="0"/>
    <x v="0"/>
    <x v="57"/>
    <x v="0"/>
    <x v="1"/>
    <x v="0"/>
    <x v="1"/>
    <x v="0"/>
    <x v="1"/>
    <x v="495"/>
    <x v="4"/>
    <x v="0"/>
    <x v="0"/>
    <x v="0"/>
    <x v="0"/>
  </r>
  <r>
    <x v="604"/>
    <x v="1"/>
    <x v="1"/>
    <x v="482"/>
    <x v="551"/>
    <x v="0"/>
    <x v="0"/>
    <x v="3"/>
    <x v="0"/>
    <x v="1"/>
    <x v="0"/>
    <x v="1"/>
    <x v="1"/>
    <x v="1"/>
    <x v="496"/>
    <x v="11"/>
    <x v="2"/>
    <x v="0"/>
    <x v="1"/>
    <x v="1"/>
  </r>
  <r>
    <x v="605"/>
    <x v="0"/>
    <x v="0"/>
    <x v="483"/>
    <x v="552"/>
    <x v="0"/>
    <x v="0"/>
    <x v="62"/>
    <x v="0"/>
    <x v="0"/>
    <x v="0"/>
    <x v="0"/>
    <x v="0"/>
    <x v="0"/>
    <x v="497"/>
    <x v="215"/>
    <x v="2"/>
    <x v="0"/>
    <x v="0"/>
    <x v="0"/>
  </r>
  <r>
    <x v="606"/>
    <x v="0"/>
    <x v="0"/>
    <x v="484"/>
    <x v="553"/>
    <x v="0"/>
    <x v="0"/>
    <x v="39"/>
    <x v="0"/>
    <x v="1"/>
    <x v="0"/>
    <x v="1"/>
    <x v="0"/>
    <x v="1"/>
    <x v="498"/>
    <x v="25"/>
    <x v="0"/>
    <x v="0"/>
    <x v="0"/>
    <x v="0"/>
  </r>
  <r>
    <x v="607"/>
    <x v="1"/>
    <x v="1"/>
    <x v="485"/>
    <x v="554"/>
    <x v="0"/>
    <x v="0"/>
    <x v="7"/>
    <x v="0"/>
    <x v="1"/>
    <x v="0"/>
    <x v="1"/>
    <x v="1"/>
    <x v="1"/>
    <x v="499"/>
    <x v="140"/>
    <x v="2"/>
    <x v="0"/>
    <x v="0"/>
    <x v="0"/>
  </r>
  <r>
    <x v="608"/>
    <x v="1"/>
    <x v="2"/>
    <x v="41"/>
    <x v="555"/>
    <x v="1"/>
    <x v="1"/>
    <x v="0"/>
    <x v="0"/>
    <x v="0"/>
    <x v="2"/>
    <x v="6"/>
    <x v="1"/>
    <x v="2"/>
    <x v="42"/>
    <x v="36"/>
    <x v="2"/>
    <x v="0"/>
    <x v="1"/>
    <x v="1"/>
  </r>
  <r>
    <x v="609"/>
    <x v="1"/>
    <x v="1"/>
    <x v="486"/>
    <x v="556"/>
    <x v="2"/>
    <x v="1"/>
    <x v="20"/>
    <x v="0"/>
    <x v="1"/>
    <x v="0"/>
    <x v="1"/>
    <x v="1"/>
    <x v="1"/>
    <x v="239"/>
    <x v="129"/>
    <x v="1"/>
    <x v="47"/>
    <x v="0"/>
    <x v="0"/>
  </r>
  <r>
    <x v="610"/>
    <x v="0"/>
    <x v="0"/>
    <x v="13"/>
    <x v="557"/>
    <x v="1"/>
    <x v="1"/>
    <x v="12"/>
    <x v="0"/>
    <x v="0"/>
    <x v="3"/>
    <x v="4"/>
    <x v="0"/>
    <x v="2"/>
    <x v="13"/>
    <x v="12"/>
    <x v="2"/>
    <x v="0"/>
    <x v="0"/>
    <x v="0"/>
  </r>
  <r>
    <x v="611"/>
    <x v="0"/>
    <x v="0"/>
    <x v="487"/>
    <x v="558"/>
    <x v="0"/>
    <x v="0"/>
    <x v="4"/>
    <x v="1"/>
    <x v="1"/>
    <x v="0"/>
    <x v="1"/>
    <x v="0"/>
    <x v="1"/>
    <x v="500"/>
    <x v="79"/>
    <x v="0"/>
    <x v="0"/>
    <x v="0"/>
    <x v="0"/>
  </r>
  <r>
    <x v="612"/>
    <x v="1"/>
    <x v="0"/>
    <x v="211"/>
    <x v="559"/>
    <x v="2"/>
    <x v="1"/>
    <x v="4"/>
    <x v="1"/>
    <x v="0"/>
    <x v="0"/>
    <x v="0"/>
    <x v="1"/>
    <x v="0"/>
    <x v="215"/>
    <x v="37"/>
    <x v="2"/>
    <x v="0"/>
    <x v="2"/>
    <x v="2"/>
  </r>
  <r>
    <x v="613"/>
    <x v="0"/>
    <x v="0"/>
    <x v="488"/>
    <x v="184"/>
    <x v="0"/>
    <x v="0"/>
    <x v="4"/>
    <x v="1"/>
    <x v="1"/>
    <x v="0"/>
    <x v="1"/>
    <x v="0"/>
    <x v="1"/>
    <x v="501"/>
    <x v="28"/>
    <x v="0"/>
    <x v="0"/>
    <x v="2"/>
    <x v="2"/>
  </r>
  <r>
    <x v="614"/>
    <x v="0"/>
    <x v="0"/>
    <x v="489"/>
    <x v="560"/>
    <x v="0"/>
    <x v="0"/>
    <x v="3"/>
    <x v="0"/>
    <x v="1"/>
    <x v="0"/>
    <x v="1"/>
    <x v="0"/>
    <x v="1"/>
    <x v="502"/>
    <x v="4"/>
    <x v="0"/>
    <x v="0"/>
    <x v="0"/>
    <x v="0"/>
  </r>
  <r>
    <x v="615"/>
    <x v="1"/>
    <x v="2"/>
    <x v="490"/>
    <x v="561"/>
    <x v="2"/>
    <x v="1"/>
    <x v="42"/>
    <x v="0"/>
    <x v="0"/>
    <x v="2"/>
    <x v="6"/>
    <x v="1"/>
    <x v="2"/>
    <x v="503"/>
    <x v="216"/>
    <x v="1"/>
    <x v="0"/>
    <x v="0"/>
    <x v="0"/>
  </r>
  <r>
    <x v="616"/>
    <x v="0"/>
    <x v="0"/>
    <x v="351"/>
    <x v="562"/>
    <x v="0"/>
    <x v="0"/>
    <x v="15"/>
    <x v="0"/>
    <x v="0"/>
    <x v="1"/>
    <x v="3"/>
    <x v="0"/>
    <x v="0"/>
    <x v="361"/>
    <x v="174"/>
    <x v="2"/>
    <x v="0"/>
    <x v="0"/>
    <x v="0"/>
  </r>
  <r>
    <x v="617"/>
    <x v="0"/>
    <x v="0"/>
    <x v="221"/>
    <x v="563"/>
    <x v="1"/>
    <x v="1"/>
    <x v="2"/>
    <x v="0"/>
    <x v="0"/>
    <x v="0"/>
    <x v="0"/>
    <x v="0"/>
    <x v="0"/>
    <x v="226"/>
    <x v="95"/>
    <x v="2"/>
    <x v="0"/>
    <x v="0"/>
    <x v="0"/>
  </r>
  <r>
    <x v="618"/>
    <x v="1"/>
    <x v="2"/>
    <x v="162"/>
    <x v="564"/>
    <x v="2"/>
    <x v="1"/>
    <x v="9"/>
    <x v="2"/>
    <x v="4"/>
    <x v="1"/>
    <x v="6"/>
    <x v="1"/>
    <x v="2"/>
    <x v="165"/>
    <x v="106"/>
    <x v="2"/>
    <x v="33"/>
    <x v="0"/>
    <x v="0"/>
  </r>
  <r>
    <x v="619"/>
    <x v="0"/>
    <x v="2"/>
    <x v="491"/>
    <x v="20"/>
    <x v="0"/>
    <x v="0"/>
    <x v="2"/>
    <x v="0"/>
    <x v="1"/>
    <x v="0"/>
    <x v="1"/>
    <x v="0"/>
    <x v="1"/>
    <x v="504"/>
    <x v="29"/>
    <x v="2"/>
    <x v="0"/>
    <x v="0"/>
    <x v="0"/>
  </r>
  <r>
    <x v="620"/>
    <x v="0"/>
    <x v="0"/>
    <x v="492"/>
    <x v="565"/>
    <x v="0"/>
    <x v="0"/>
    <x v="7"/>
    <x v="0"/>
    <x v="0"/>
    <x v="0"/>
    <x v="0"/>
    <x v="0"/>
    <x v="0"/>
    <x v="505"/>
    <x v="53"/>
    <x v="2"/>
    <x v="0"/>
    <x v="1"/>
    <x v="1"/>
  </r>
  <r>
    <x v="621"/>
    <x v="1"/>
    <x v="1"/>
    <x v="493"/>
    <x v="566"/>
    <x v="0"/>
    <x v="0"/>
    <x v="22"/>
    <x v="0"/>
    <x v="0"/>
    <x v="0"/>
    <x v="0"/>
    <x v="1"/>
    <x v="0"/>
    <x v="506"/>
    <x v="124"/>
    <x v="1"/>
    <x v="105"/>
    <x v="0"/>
    <x v="0"/>
  </r>
  <r>
    <x v="622"/>
    <x v="1"/>
    <x v="0"/>
    <x v="322"/>
    <x v="567"/>
    <x v="0"/>
    <x v="0"/>
    <x v="11"/>
    <x v="0"/>
    <x v="0"/>
    <x v="1"/>
    <x v="3"/>
    <x v="1"/>
    <x v="0"/>
    <x v="328"/>
    <x v="165"/>
    <x v="2"/>
    <x v="0"/>
    <x v="1"/>
    <x v="1"/>
  </r>
  <r>
    <x v="623"/>
    <x v="0"/>
    <x v="0"/>
    <x v="494"/>
    <x v="568"/>
    <x v="0"/>
    <x v="0"/>
    <x v="23"/>
    <x v="0"/>
    <x v="1"/>
    <x v="0"/>
    <x v="1"/>
    <x v="0"/>
    <x v="1"/>
    <x v="507"/>
    <x v="13"/>
    <x v="0"/>
    <x v="0"/>
    <x v="0"/>
    <x v="0"/>
  </r>
  <r>
    <x v="624"/>
    <x v="0"/>
    <x v="0"/>
    <x v="495"/>
    <x v="569"/>
    <x v="0"/>
    <x v="0"/>
    <x v="23"/>
    <x v="0"/>
    <x v="1"/>
    <x v="0"/>
    <x v="1"/>
    <x v="0"/>
    <x v="1"/>
    <x v="508"/>
    <x v="95"/>
    <x v="2"/>
    <x v="0"/>
    <x v="0"/>
    <x v="0"/>
  </r>
  <r>
    <x v="625"/>
    <x v="0"/>
    <x v="1"/>
    <x v="496"/>
    <x v="197"/>
    <x v="0"/>
    <x v="0"/>
    <x v="59"/>
    <x v="4"/>
    <x v="1"/>
    <x v="0"/>
    <x v="1"/>
    <x v="0"/>
    <x v="1"/>
    <x v="509"/>
    <x v="217"/>
    <x v="2"/>
    <x v="106"/>
    <x v="0"/>
    <x v="0"/>
  </r>
  <r>
    <x v="626"/>
    <x v="0"/>
    <x v="2"/>
    <x v="497"/>
    <x v="570"/>
    <x v="5"/>
    <x v="0"/>
    <x v="79"/>
    <x v="0"/>
    <x v="1"/>
    <x v="0"/>
    <x v="1"/>
    <x v="0"/>
    <x v="1"/>
    <x v="510"/>
    <x v="142"/>
    <x v="2"/>
    <x v="0"/>
    <x v="2"/>
    <x v="2"/>
  </r>
  <r>
    <x v="627"/>
    <x v="1"/>
    <x v="1"/>
    <x v="498"/>
    <x v="571"/>
    <x v="2"/>
    <x v="1"/>
    <x v="23"/>
    <x v="0"/>
    <x v="1"/>
    <x v="0"/>
    <x v="1"/>
    <x v="1"/>
    <x v="1"/>
    <x v="245"/>
    <x v="133"/>
    <x v="1"/>
    <x v="107"/>
    <x v="0"/>
    <x v="0"/>
  </r>
  <r>
    <x v="628"/>
    <x v="0"/>
    <x v="0"/>
    <x v="499"/>
    <x v="572"/>
    <x v="0"/>
    <x v="0"/>
    <x v="2"/>
    <x v="0"/>
    <x v="1"/>
    <x v="0"/>
    <x v="1"/>
    <x v="0"/>
    <x v="1"/>
    <x v="511"/>
    <x v="25"/>
    <x v="0"/>
    <x v="0"/>
    <x v="0"/>
    <x v="0"/>
  </r>
  <r>
    <x v="629"/>
    <x v="0"/>
    <x v="0"/>
    <x v="500"/>
    <x v="573"/>
    <x v="0"/>
    <x v="0"/>
    <x v="4"/>
    <x v="1"/>
    <x v="1"/>
    <x v="0"/>
    <x v="1"/>
    <x v="0"/>
    <x v="1"/>
    <x v="512"/>
    <x v="93"/>
    <x v="0"/>
    <x v="0"/>
    <x v="2"/>
    <x v="2"/>
  </r>
  <r>
    <x v="630"/>
    <x v="1"/>
    <x v="1"/>
    <x v="501"/>
    <x v="574"/>
    <x v="0"/>
    <x v="0"/>
    <x v="80"/>
    <x v="4"/>
    <x v="1"/>
    <x v="0"/>
    <x v="1"/>
    <x v="1"/>
    <x v="1"/>
    <x v="513"/>
    <x v="209"/>
    <x v="2"/>
    <x v="108"/>
    <x v="0"/>
    <x v="0"/>
  </r>
  <r>
    <x v="631"/>
    <x v="0"/>
    <x v="0"/>
    <x v="502"/>
    <x v="575"/>
    <x v="0"/>
    <x v="0"/>
    <x v="54"/>
    <x v="0"/>
    <x v="1"/>
    <x v="0"/>
    <x v="1"/>
    <x v="0"/>
    <x v="1"/>
    <x v="514"/>
    <x v="218"/>
    <x v="0"/>
    <x v="0"/>
    <x v="0"/>
    <x v="0"/>
  </r>
  <r>
    <x v="632"/>
    <x v="1"/>
    <x v="1"/>
    <x v="503"/>
    <x v="576"/>
    <x v="6"/>
    <x v="0"/>
    <x v="35"/>
    <x v="0"/>
    <x v="1"/>
    <x v="0"/>
    <x v="1"/>
    <x v="1"/>
    <x v="1"/>
    <x v="515"/>
    <x v="140"/>
    <x v="2"/>
    <x v="109"/>
    <x v="1"/>
    <x v="1"/>
  </r>
  <r>
    <x v="633"/>
    <x v="0"/>
    <x v="1"/>
    <x v="504"/>
    <x v="577"/>
    <x v="0"/>
    <x v="0"/>
    <x v="4"/>
    <x v="1"/>
    <x v="1"/>
    <x v="0"/>
    <x v="1"/>
    <x v="0"/>
    <x v="1"/>
    <x v="516"/>
    <x v="104"/>
    <x v="0"/>
    <x v="0"/>
    <x v="0"/>
    <x v="0"/>
  </r>
  <r>
    <x v="634"/>
    <x v="0"/>
    <x v="0"/>
    <x v="61"/>
    <x v="578"/>
    <x v="2"/>
    <x v="1"/>
    <x v="52"/>
    <x v="2"/>
    <x v="2"/>
    <x v="2"/>
    <x v="5"/>
    <x v="0"/>
    <x v="2"/>
    <x v="62"/>
    <x v="48"/>
    <x v="2"/>
    <x v="0"/>
    <x v="0"/>
    <x v="0"/>
  </r>
  <r>
    <x v="635"/>
    <x v="1"/>
    <x v="2"/>
    <x v="505"/>
    <x v="344"/>
    <x v="2"/>
    <x v="1"/>
    <x v="17"/>
    <x v="0"/>
    <x v="1"/>
    <x v="0"/>
    <x v="1"/>
    <x v="1"/>
    <x v="1"/>
    <x v="517"/>
    <x v="16"/>
    <x v="2"/>
    <x v="0"/>
    <x v="0"/>
    <x v="0"/>
  </r>
  <r>
    <x v="636"/>
    <x v="0"/>
    <x v="0"/>
    <x v="506"/>
    <x v="579"/>
    <x v="0"/>
    <x v="0"/>
    <x v="35"/>
    <x v="0"/>
    <x v="1"/>
    <x v="0"/>
    <x v="1"/>
    <x v="0"/>
    <x v="1"/>
    <x v="518"/>
    <x v="2"/>
    <x v="0"/>
    <x v="0"/>
    <x v="0"/>
    <x v="0"/>
  </r>
  <r>
    <x v="637"/>
    <x v="0"/>
    <x v="2"/>
    <x v="208"/>
    <x v="580"/>
    <x v="0"/>
    <x v="0"/>
    <x v="14"/>
    <x v="0"/>
    <x v="0"/>
    <x v="1"/>
    <x v="3"/>
    <x v="0"/>
    <x v="0"/>
    <x v="212"/>
    <x v="121"/>
    <x v="2"/>
    <x v="0"/>
    <x v="0"/>
    <x v="0"/>
  </r>
  <r>
    <x v="638"/>
    <x v="0"/>
    <x v="0"/>
    <x v="48"/>
    <x v="581"/>
    <x v="1"/>
    <x v="1"/>
    <x v="66"/>
    <x v="0"/>
    <x v="1"/>
    <x v="3"/>
    <x v="5"/>
    <x v="0"/>
    <x v="2"/>
    <x v="49"/>
    <x v="40"/>
    <x v="2"/>
    <x v="0"/>
    <x v="0"/>
    <x v="0"/>
  </r>
  <r>
    <x v="639"/>
    <x v="0"/>
    <x v="0"/>
    <x v="358"/>
    <x v="582"/>
    <x v="0"/>
    <x v="0"/>
    <x v="4"/>
    <x v="1"/>
    <x v="0"/>
    <x v="0"/>
    <x v="0"/>
    <x v="0"/>
    <x v="0"/>
    <x v="368"/>
    <x v="95"/>
    <x v="2"/>
    <x v="0"/>
    <x v="0"/>
    <x v="0"/>
  </r>
  <r>
    <x v="640"/>
    <x v="0"/>
    <x v="0"/>
    <x v="507"/>
    <x v="583"/>
    <x v="0"/>
    <x v="0"/>
    <x v="11"/>
    <x v="0"/>
    <x v="1"/>
    <x v="0"/>
    <x v="1"/>
    <x v="0"/>
    <x v="1"/>
    <x v="519"/>
    <x v="13"/>
    <x v="0"/>
    <x v="0"/>
    <x v="0"/>
    <x v="0"/>
  </r>
  <r>
    <x v="641"/>
    <x v="1"/>
    <x v="1"/>
    <x v="508"/>
    <x v="584"/>
    <x v="12"/>
    <x v="2"/>
    <x v="42"/>
    <x v="0"/>
    <x v="1"/>
    <x v="0"/>
    <x v="1"/>
    <x v="1"/>
    <x v="1"/>
    <x v="319"/>
    <x v="160"/>
    <x v="1"/>
    <x v="70"/>
    <x v="1"/>
    <x v="1"/>
  </r>
  <r>
    <x v="642"/>
    <x v="0"/>
    <x v="0"/>
    <x v="61"/>
    <x v="585"/>
    <x v="2"/>
    <x v="1"/>
    <x v="6"/>
    <x v="2"/>
    <x v="2"/>
    <x v="2"/>
    <x v="5"/>
    <x v="0"/>
    <x v="2"/>
    <x v="62"/>
    <x v="48"/>
    <x v="2"/>
    <x v="0"/>
    <x v="0"/>
    <x v="0"/>
  </r>
  <r>
    <x v="643"/>
    <x v="1"/>
    <x v="0"/>
    <x v="509"/>
    <x v="586"/>
    <x v="0"/>
    <x v="0"/>
    <x v="4"/>
    <x v="1"/>
    <x v="1"/>
    <x v="0"/>
    <x v="1"/>
    <x v="1"/>
    <x v="1"/>
    <x v="72"/>
    <x v="54"/>
    <x v="1"/>
    <x v="0"/>
    <x v="0"/>
    <x v="0"/>
  </r>
  <r>
    <x v="644"/>
    <x v="1"/>
    <x v="0"/>
    <x v="369"/>
    <x v="587"/>
    <x v="2"/>
    <x v="1"/>
    <x v="77"/>
    <x v="2"/>
    <x v="4"/>
    <x v="1"/>
    <x v="6"/>
    <x v="1"/>
    <x v="2"/>
    <x v="379"/>
    <x v="178"/>
    <x v="2"/>
    <x v="0"/>
    <x v="1"/>
    <x v="1"/>
  </r>
  <r>
    <x v="645"/>
    <x v="1"/>
    <x v="1"/>
    <x v="50"/>
    <x v="588"/>
    <x v="0"/>
    <x v="0"/>
    <x v="76"/>
    <x v="0"/>
    <x v="0"/>
    <x v="0"/>
    <x v="0"/>
    <x v="1"/>
    <x v="0"/>
    <x v="51"/>
    <x v="42"/>
    <x v="1"/>
    <x v="10"/>
    <x v="1"/>
    <x v="1"/>
  </r>
  <r>
    <x v="646"/>
    <x v="0"/>
    <x v="0"/>
    <x v="510"/>
    <x v="589"/>
    <x v="0"/>
    <x v="0"/>
    <x v="19"/>
    <x v="3"/>
    <x v="1"/>
    <x v="0"/>
    <x v="1"/>
    <x v="0"/>
    <x v="1"/>
    <x v="520"/>
    <x v="25"/>
    <x v="0"/>
    <x v="0"/>
    <x v="0"/>
    <x v="0"/>
  </r>
  <r>
    <x v="647"/>
    <x v="1"/>
    <x v="1"/>
    <x v="511"/>
    <x v="590"/>
    <x v="13"/>
    <x v="0"/>
    <x v="60"/>
    <x v="0"/>
    <x v="1"/>
    <x v="0"/>
    <x v="1"/>
    <x v="1"/>
    <x v="1"/>
    <x v="521"/>
    <x v="21"/>
    <x v="2"/>
    <x v="110"/>
    <x v="1"/>
    <x v="1"/>
  </r>
  <r>
    <x v="648"/>
    <x v="0"/>
    <x v="0"/>
    <x v="512"/>
    <x v="503"/>
    <x v="0"/>
    <x v="0"/>
    <x v="4"/>
    <x v="1"/>
    <x v="1"/>
    <x v="0"/>
    <x v="1"/>
    <x v="0"/>
    <x v="1"/>
    <x v="522"/>
    <x v="120"/>
    <x v="0"/>
    <x v="0"/>
    <x v="0"/>
    <x v="0"/>
  </r>
  <r>
    <x v="649"/>
    <x v="1"/>
    <x v="0"/>
    <x v="405"/>
    <x v="591"/>
    <x v="2"/>
    <x v="1"/>
    <x v="41"/>
    <x v="0"/>
    <x v="1"/>
    <x v="0"/>
    <x v="1"/>
    <x v="1"/>
    <x v="1"/>
    <x v="523"/>
    <x v="120"/>
    <x v="0"/>
    <x v="0"/>
    <x v="0"/>
    <x v="0"/>
  </r>
  <r>
    <x v="650"/>
    <x v="0"/>
    <x v="0"/>
    <x v="513"/>
    <x v="592"/>
    <x v="0"/>
    <x v="0"/>
    <x v="4"/>
    <x v="1"/>
    <x v="1"/>
    <x v="0"/>
    <x v="1"/>
    <x v="0"/>
    <x v="1"/>
    <x v="524"/>
    <x v="25"/>
    <x v="0"/>
    <x v="0"/>
    <x v="0"/>
    <x v="0"/>
  </r>
  <r>
    <x v="651"/>
    <x v="1"/>
    <x v="2"/>
    <x v="93"/>
    <x v="593"/>
    <x v="2"/>
    <x v="1"/>
    <x v="24"/>
    <x v="3"/>
    <x v="1"/>
    <x v="1"/>
    <x v="0"/>
    <x v="1"/>
    <x v="0"/>
    <x v="95"/>
    <x v="68"/>
    <x v="2"/>
    <x v="0"/>
    <x v="0"/>
    <x v="0"/>
  </r>
  <r>
    <x v="652"/>
    <x v="0"/>
    <x v="0"/>
    <x v="514"/>
    <x v="594"/>
    <x v="0"/>
    <x v="0"/>
    <x v="23"/>
    <x v="0"/>
    <x v="1"/>
    <x v="0"/>
    <x v="1"/>
    <x v="0"/>
    <x v="1"/>
    <x v="525"/>
    <x v="219"/>
    <x v="0"/>
    <x v="0"/>
    <x v="0"/>
    <x v="0"/>
  </r>
  <r>
    <x v="653"/>
    <x v="1"/>
    <x v="0"/>
    <x v="515"/>
    <x v="595"/>
    <x v="2"/>
    <x v="1"/>
    <x v="4"/>
    <x v="1"/>
    <x v="1"/>
    <x v="0"/>
    <x v="1"/>
    <x v="1"/>
    <x v="1"/>
    <x v="526"/>
    <x v="204"/>
    <x v="0"/>
    <x v="0"/>
    <x v="2"/>
    <x v="2"/>
  </r>
  <r>
    <x v="654"/>
    <x v="0"/>
    <x v="0"/>
    <x v="516"/>
    <x v="264"/>
    <x v="2"/>
    <x v="1"/>
    <x v="24"/>
    <x v="3"/>
    <x v="1"/>
    <x v="0"/>
    <x v="1"/>
    <x v="0"/>
    <x v="1"/>
    <x v="527"/>
    <x v="85"/>
    <x v="0"/>
    <x v="0"/>
    <x v="2"/>
    <x v="2"/>
  </r>
  <r>
    <x v="655"/>
    <x v="0"/>
    <x v="2"/>
    <x v="112"/>
    <x v="596"/>
    <x v="0"/>
    <x v="0"/>
    <x v="42"/>
    <x v="0"/>
    <x v="4"/>
    <x v="0"/>
    <x v="3"/>
    <x v="0"/>
    <x v="0"/>
    <x v="70"/>
    <x v="52"/>
    <x v="1"/>
    <x v="0"/>
    <x v="0"/>
    <x v="0"/>
  </r>
  <r>
    <x v="656"/>
    <x v="0"/>
    <x v="0"/>
    <x v="517"/>
    <x v="261"/>
    <x v="0"/>
    <x v="0"/>
    <x v="4"/>
    <x v="1"/>
    <x v="1"/>
    <x v="0"/>
    <x v="1"/>
    <x v="0"/>
    <x v="1"/>
    <x v="528"/>
    <x v="25"/>
    <x v="0"/>
    <x v="0"/>
    <x v="0"/>
    <x v="0"/>
  </r>
  <r>
    <x v="657"/>
    <x v="0"/>
    <x v="0"/>
    <x v="167"/>
    <x v="597"/>
    <x v="1"/>
    <x v="1"/>
    <x v="35"/>
    <x v="0"/>
    <x v="0"/>
    <x v="1"/>
    <x v="3"/>
    <x v="0"/>
    <x v="0"/>
    <x v="170"/>
    <x v="37"/>
    <x v="2"/>
    <x v="0"/>
    <x v="2"/>
    <x v="2"/>
  </r>
  <r>
    <x v="658"/>
    <x v="0"/>
    <x v="2"/>
    <x v="518"/>
    <x v="598"/>
    <x v="0"/>
    <x v="0"/>
    <x v="41"/>
    <x v="0"/>
    <x v="1"/>
    <x v="0"/>
    <x v="1"/>
    <x v="0"/>
    <x v="1"/>
    <x v="529"/>
    <x v="16"/>
    <x v="2"/>
    <x v="0"/>
    <x v="0"/>
    <x v="0"/>
  </r>
  <r>
    <x v="659"/>
    <x v="0"/>
    <x v="1"/>
    <x v="190"/>
    <x v="599"/>
    <x v="0"/>
    <x v="0"/>
    <x v="10"/>
    <x v="0"/>
    <x v="1"/>
    <x v="2"/>
    <x v="3"/>
    <x v="0"/>
    <x v="0"/>
    <x v="193"/>
    <x v="114"/>
    <x v="1"/>
    <x v="111"/>
    <x v="1"/>
    <x v="1"/>
  </r>
  <r>
    <x v="660"/>
    <x v="1"/>
    <x v="1"/>
    <x v="286"/>
    <x v="600"/>
    <x v="6"/>
    <x v="0"/>
    <x v="61"/>
    <x v="0"/>
    <x v="4"/>
    <x v="0"/>
    <x v="3"/>
    <x v="1"/>
    <x v="0"/>
    <x v="292"/>
    <x v="155"/>
    <x v="1"/>
    <x v="0"/>
    <x v="0"/>
    <x v="0"/>
  </r>
  <r>
    <x v="661"/>
    <x v="0"/>
    <x v="0"/>
    <x v="519"/>
    <x v="601"/>
    <x v="0"/>
    <x v="0"/>
    <x v="20"/>
    <x v="0"/>
    <x v="1"/>
    <x v="0"/>
    <x v="1"/>
    <x v="0"/>
    <x v="1"/>
    <x v="530"/>
    <x v="18"/>
    <x v="0"/>
    <x v="0"/>
    <x v="1"/>
    <x v="1"/>
  </r>
  <r>
    <x v="662"/>
    <x v="0"/>
    <x v="1"/>
    <x v="520"/>
    <x v="602"/>
    <x v="0"/>
    <x v="0"/>
    <x v="47"/>
    <x v="0"/>
    <x v="1"/>
    <x v="0"/>
    <x v="1"/>
    <x v="0"/>
    <x v="1"/>
    <x v="531"/>
    <x v="220"/>
    <x v="2"/>
    <x v="112"/>
    <x v="0"/>
    <x v="0"/>
  </r>
  <r>
    <x v="663"/>
    <x v="0"/>
    <x v="0"/>
    <x v="420"/>
    <x v="603"/>
    <x v="0"/>
    <x v="0"/>
    <x v="62"/>
    <x v="0"/>
    <x v="1"/>
    <x v="0"/>
    <x v="1"/>
    <x v="0"/>
    <x v="1"/>
    <x v="532"/>
    <x v="196"/>
    <x v="0"/>
    <x v="0"/>
    <x v="0"/>
    <x v="0"/>
  </r>
  <r>
    <x v="664"/>
    <x v="1"/>
    <x v="0"/>
    <x v="521"/>
    <x v="604"/>
    <x v="0"/>
    <x v="0"/>
    <x v="11"/>
    <x v="0"/>
    <x v="0"/>
    <x v="0"/>
    <x v="0"/>
    <x v="1"/>
    <x v="0"/>
    <x v="533"/>
    <x v="2"/>
    <x v="0"/>
    <x v="0"/>
    <x v="0"/>
    <x v="0"/>
  </r>
  <r>
    <x v="665"/>
    <x v="0"/>
    <x v="2"/>
    <x v="112"/>
    <x v="605"/>
    <x v="0"/>
    <x v="0"/>
    <x v="35"/>
    <x v="0"/>
    <x v="4"/>
    <x v="0"/>
    <x v="3"/>
    <x v="0"/>
    <x v="0"/>
    <x v="70"/>
    <x v="52"/>
    <x v="1"/>
    <x v="0"/>
    <x v="0"/>
    <x v="0"/>
  </r>
  <r>
    <x v="666"/>
    <x v="0"/>
    <x v="2"/>
    <x v="522"/>
    <x v="606"/>
    <x v="0"/>
    <x v="0"/>
    <x v="37"/>
    <x v="0"/>
    <x v="1"/>
    <x v="0"/>
    <x v="1"/>
    <x v="0"/>
    <x v="1"/>
    <x v="534"/>
    <x v="16"/>
    <x v="2"/>
    <x v="0"/>
    <x v="0"/>
    <x v="0"/>
  </r>
  <r>
    <x v="667"/>
    <x v="0"/>
    <x v="0"/>
    <x v="523"/>
    <x v="607"/>
    <x v="0"/>
    <x v="0"/>
    <x v="4"/>
    <x v="1"/>
    <x v="1"/>
    <x v="0"/>
    <x v="1"/>
    <x v="0"/>
    <x v="1"/>
    <x v="535"/>
    <x v="71"/>
    <x v="0"/>
    <x v="0"/>
    <x v="0"/>
    <x v="0"/>
  </r>
  <r>
    <x v="668"/>
    <x v="0"/>
    <x v="0"/>
    <x v="524"/>
    <x v="608"/>
    <x v="0"/>
    <x v="0"/>
    <x v="71"/>
    <x v="0"/>
    <x v="1"/>
    <x v="0"/>
    <x v="1"/>
    <x v="0"/>
    <x v="1"/>
    <x v="536"/>
    <x v="4"/>
    <x v="0"/>
    <x v="0"/>
    <x v="0"/>
    <x v="0"/>
  </r>
  <r>
    <x v="669"/>
    <x v="1"/>
    <x v="1"/>
    <x v="525"/>
    <x v="609"/>
    <x v="1"/>
    <x v="1"/>
    <x v="4"/>
    <x v="1"/>
    <x v="0"/>
    <x v="0"/>
    <x v="0"/>
    <x v="1"/>
    <x v="0"/>
    <x v="537"/>
    <x v="31"/>
    <x v="1"/>
    <x v="113"/>
    <x v="0"/>
    <x v="0"/>
  </r>
  <r>
    <x v="670"/>
    <x v="1"/>
    <x v="2"/>
    <x v="172"/>
    <x v="610"/>
    <x v="1"/>
    <x v="1"/>
    <x v="20"/>
    <x v="0"/>
    <x v="0"/>
    <x v="1"/>
    <x v="3"/>
    <x v="1"/>
    <x v="0"/>
    <x v="538"/>
    <x v="106"/>
    <x v="2"/>
    <x v="0"/>
    <x v="0"/>
    <x v="0"/>
  </r>
  <r>
    <x v="671"/>
    <x v="0"/>
    <x v="1"/>
    <x v="526"/>
    <x v="611"/>
    <x v="0"/>
    <x v="0"/>
    <x v="14"/>
    <x v="0"/>
    <x v="0"/>
    <x v="0"/>
    <x v="0"/>
    <x v="0"/>
    <x v="0"/>
    <x v="539"/>
    <x v="31"/>
    <x v="1"/>
    <x v="114"/>
    <x v="0"/>
    <x v="0"/>
  </r>
  <r>
    <x v="672"/>
    <x v="0"/>
    <x v="2"/>
    <x v="527"/>
    <x v="612"/>
    <x v="0"/>
    <x v="0"/>
    <x v="81"/>
    <x v="4"/>
    <x v="1"/>
    <x v="0"/>
    <x v="1"/>
    <x v="0"/>
    <x v="1"/>
    <x v="540"/>
    <x v="29"/>
    <x v="2"/>
    <x v="0"/>
    <x v="0"/>
    <x v="0"/>
  </r>
  <r>
    <x v="673"/>
    <x v="1"/>
    <x v="2"/>
    <x v="528"/>
    <x v="613"/>
    <x v="0"/>
    <x v="0"/>
    <x v="14"/>
    <x v="0"/>
    <x v="1"/>
    <x v="0"/>
    <x v="1"/>
    <x v="1"/>
    <x v="1"/>
    <x v="541"/>
    <x v="16"/>
    <x v="2"/>
    <x v="0"/>
    <x v="0"/>
    <x v="0"/>
  </r>
  <r>
    <x v="674"/>
    <x v="0"/>
    <x v="2"/>
    <x v="529"/>
    <x v="614"/>
    <x v="0"/>
    <x v="0"/>
    <x v="4"/>
    <x v="1"/>
    <x v="1"/>
    <x v="0"/>
    <x v="1"/>
    <x v="0"/>
    <x v="1"/>
    <x v="542"/>
    <x v="104"/>
    <x v="0"/>
    <x v="0"/>
    <x v="0"/>
    <x v="0"/>
  </r>
  <r>
    <x v="675"/>
    <x v="0"/>
    <x v="0"/>
    <x v="530"/>
    <x v="615"/>
    <x v="0"/>
    <x v="0"/>
    <x v="24"/>
    <x v="3"/>
    <x v="1"/>
    <x v="0"/>
    <x v="1"/>
    <x v="0"/>
    <x v="1"/>
    <x v="543"/>
    <x v="71"/>
    <x v="0"/>
    <x v="0"/>
    <x v="0"/>
    <x v="0"/>
  </r>
  <r>
    <x v="676"/>
    <x v="0"/>
    <x v="0"/>
    <x v="531"/>
    <x v="616"/>
    <x v="0"/>
    <x v="0"/>
    <x v="82"/>
    <x v="0"/>
    <x v="1"/>
    <x v="0"/>
    <x v="1"/>
    <x v="0"/>
    <x v="1"/>
    <x v="544"/>
    <x v="4"/>
    <x v="0"/>
    <x v="0"/>
    <x v="0"/>
    <x v="0"/>
  </r>
  <r>
    <x v="677"/>
    <x v="1"/>
    <x v="0"/>
    <x v="532"/>
    <x v="138"/>
    <x v="2"/>
    <x v="1"/>
    <x v="24"/>
    <x v="3"/>
    <x v="1"/>
    <x v="0"/>
    <x v="1"/>
    <x v="1"/>
    <x v="1"/>
    <x v="545"/>
    <x v="221"/>
    <x v="0"/>
    <x v="0"/>
    <x v="0"/>
    <x v="0"/>
  </r>
  <r>
    <x v="678"/>
    <x v="0"/>
    <x v="0"/>
    <x v="57"/>
    <x v="617"/>
    <x v="1"/>
    <x v="1"/>
    <x v="71"/>
    <x v="0"/>
    <x v="0"/>
    <x v="6"/>
    <x v="7"/>
    <x v="0"/>
    <x v="2"/>
    <x v="58"/>
    <x v="45"/>
    <x v="2"/>
    <x v="0"/>
    <x v="0"/>
    <x v="0"/>
  </r>
  <r>
    <x v="679"/>
    <x v="1"/>
    <x v="1"/>
    <x v="533"/>
    <x v="618"/>
    <x v="0"/>
    <x v="0"/>
    <x v="62"/>
    <x v="0"/>
    <x v="1"/>
    <x v="1"/>
    <x v="0"/>
    <x v="1"/>
    <x v="0"/>
    <x v="231"/>
    <x v="127"/>
    <x v="1"/>
    <x v="115"/>
    <x v="1"/>
    <x v="1"/>
  </r>
  <r>
    <x v="680"/>
    <x v="0"/>
    <x v="0"/>
    <x v="534"/>
    <x v="619"/>
    <x v="2"/>
    <x v="1"/>
    <x v="4"/>
    <x v="1"/>
    <x v="1"/>
    <x v="0"/>
    <x v="1"/>
    <x v="0"/>
    <x v="1"/>
    <x v="546"/>
    <x v="222"/>
    <x v="0"/>
    <x v="0"/>
    <x v="2"/>
    <x v="2"/>
  </r>
  <r>
    <x v="681"/>
    <x v="1"/>
    <x v="1"/>
    <x v="535"/>
    <x v="620"/>
    <x v="0"/>
    <x v="0"/>
    <x v="7"/>
    <x v="0"/>
    <x v="1"/>
    <x v="0"/>
    <x v="1"/>
    <x v="1"/>
    <x v="1"/>
    <x v="51"/>
    <x v="42"/>
    <x v="1"/>
    <x v="116"/>
    <x v="1"/>
    <x v="1"/>
  </r>
  <r>
    <x v="682"/>
    <x v="0"/>
    <x v="0"/>
    <x v="536"/>
    <x v="621"/>
    <x v="0"/>
    <x v="0"/>
    <x v="11"/>
    <x v="0"/>
    <x v="1"/>
    <x v="0"/>
    <x v="1"/>
    <x v="0"/>
    <x v="1"/>
    <x v="547"/>
    <x v="157"/>
    <x v="0"/>
    <x v="0"/>
    <x v="0"/>
    <x v="0"/>
  </r>
  <r>
    <x v="683"/>
    <x v="0"/>
    <x v="0"/>
    <x v="57"/>
    <x v="622"/>
    <x v="0"/>
    <x v="0"/>
    <x v="8"/>
    <x v="3"/>
    <x v="5"/>
    <x v="2"/>
    <x v="7"/>
    <x v="0"/>
    <x v="2"/>
    <x v="58"/>
    <x v="45"/>
    <x v="2"/>
    <x v="0"/>
    <x v="0"/>
    <x v="0"/>
  </r>
  <r>
    <x v="684"/>
    <x v="0"/>
    <x v="2"/>
    <x v="172"/>
    <x v="623"/>
    <x v="0"/>
    <x v="0"/>
    <x v="72"/>
    <x v="4"/>
    <x v="0"/>
    <x v="1"/>
    <x v="3"/>
    <x v="0"/>
    <x v="0"/>
    <x v="538"/>
    <x v="106"/>
    <x v="2"/>
    <x v="0"/>
    <x v="0"/>
    <x v="0"/>
  </r>
  <r>
    <x v="685"/>
    <x v="0"/>
    <x v="2"/>
    <x v="41"/>
    <x v="624"/>
    <x v="0"/>
    <x v="0"/>
    <x v="37"/>
    <x v="0"/>
    <x v="0"/>
    <x v="2"/>
    <x v="6"/>
    <x v="0"/>
    <x v="2"/>
    <x v="42"/>
    <x v="36"/>
    <x v="2"/>
    <x v="0"/>
    <x v="1"/>
    <x v="1"/>
  </r>
  <r>
    <x v="686"/>
    <x v="0"/>
    <x v="0"/>
    <x v="48"/>
    <x v="625"/>
    <x v="0"/>
    <x v="0"/>
    <x v="8"/>
    <x v="3"/>
    <x v="3"/>
    <x v="1"/>
    <x v="5"/>
    <x v="0"/>
    <x v="2"/>
    <x v="49"/>
    <x v="40"/>
    <x v="2"/>
    <x v="0"/>
    <x v="0"/>
    <x v="0"/>
  </r>
  <r>
    <x v="687"/>
    <x v="0"/>
    <x v="0"/>
    <x v="537"/>
    <x v="626"/>
    <x v="0"/>
    <x v="0"/>
    <x v="19"/>
    <x v="3"/>
    <x v="1"/>
    <x v="0"/>
    <x v="1"/>
    <x v="0"/>
    <x v="1"/>
    <x v="548"/>
    <x v="223"/>
    <x v="2"/>
    <x v="0"/>
    <x v="0"/>
    <x v="0"/>
  </r>
  <r>
    <x v="688"/>
    <x v="0"/>
    <x v="0"/>
    <x v="538"/>
    <x v="627"/>
    <x v="0"/>
    <x v="0"/>
    <x v="24"/>
    <x v="3"/>
    <x v="1"/>
    <x v="0"/>
    <x v="1"/>
    <x v="0"/>
    <x v="1"/>
    <x v="549"/>
    <x v="88"/>
    <x v="0"/>
    <x v="0"/>
    <x v="0"/>
    <x v="0"/>
  </r>
  <r>
    <x v="689"/>
    <x v="1"/>
    <x v="1"/>
    <x v="539"/>
    <x v="628"/>
    <x v="2"/>
    <x v="1"/>
    <x v="16"/>
    <x v="3"/>
    <x v="1"/>
    <x v="1"/>
    <x v="0"/>
    <x v="1"/>
    <x v="0"/>
    <x v="550"/>
    <x v="224"/>
    <x v="1"/>
    <x v="117"/>
    <x v="0"/>
    <x v="0"/>
  </r>
  <r>
    <x v="690"/>
    <x v="1"/>
    <x v="1"/>
    <x v="540"/>
    <x v="629"/>
    <x v="0"/>
    <x v="0"/>
    <x v="14"/>
    <x v="0"/>
    <x v="0"/>
    <x v="0"/>
    <x v="0"/>
    <x v="1"/>
    <x v="0"/>
    <x v="551"/>
    <x v="225"/>
    <x v="1"/>
    <x v="118"/>
    <x v="0"/>
    <x v="0"/>
  </r>
  <r>
    <x v="691"/>
    <x v="1"/>
    <x v="0"/>
    <x v="541"/>
    <x v="630"/>
    <x v="2"/>
    <x v="1"/>
    <x v="9"/>
    <x v="2"/>
    <x v="1"/>
    <x v="1"/>
    <x v="0"/>
    <x v="1"/>
    <x v="0"/>
    <x v="552"/>
    <x v="226"/>
    <x v="2"/>
    <x v="0"/>
    <x v="1"/>
    <x v="1"/>
  </r>
  <r>
    <x v="692"/>
    <x v="1"/>
    <x v="0"/>
    <x v="542"/>
    <x v="631"/>
    <x v="0"/>
    <x v="0"/>
    <x v="4"/>
    <x v="1"/>
    <x v="1"/>
    <x v="0"/>
    <x v="1"/>
    <x v="1"/>
    <x v="1"/>
    <x v="72"/>
    <x v="54"/>
    <x v="1"/>
    <x v="0"/>
    <x v="0"/>
    <x v="0"/>
  </r>
  <r>
    <x v="693"/>
    <x v="0"/>
    <x v="0"/>
    <x v="543"/>
    <x v="632"/>
    <x v="0"/>
    <x v="0"/>
    <x v="37"/>
    <x v="0"/>
    <x v="1"/>
    <x v="0"/>
    <x v="1"/>
    <x v="0"/>
    <x v="1"/>
    <x v="553"/>
    <x v="18"/>
    <x v="0"/>
    <x v="0"/>
    <x v="1"/>
    <x v="1"/>
  </r>
  <r>
    <x v="694"/>
    <x v="0"/>
    <x v="1"/>
    <x v="544"/>
    <x v="184"/>
    <x v="13"/>
    <x v="0"/>
    <x v="72"/>
    <x v="4"/>
    <x v="1"/>
    <x v="0"/>
    <x v="1"/>
    <x v="0"/>
    <x v="1"/>
    <x v="554"/>
    <x v="11"/>
    <x v="2"/>
    <x v="0"/>
    <x v="0"/>
    <x v="0"/>
  </r>
  <r>
    <x v="695"/>
    <x v="0"/>
    <x v="2"/>
    <x v="477"/>
    <x v="367"/>
    <x v="0"/>
    <x v="0"/>
    <x v="67"/>
    <x v="0"/>
    <x v="1"/>
    <x v="0"/>
    <x v="1"/>
    <x v="0"/>
    <x v="1"/>
    <x v="555"/>
    <x v="119"/>
    <x v="2"/>
    <x v="0"/>
    <x v="0"/>
    <x v="0"/>
  </r>
  <r>
    <x v="696"/>
    <x v="0"/>
    <x v="0"/>
    <x v="262"/>
    <x v="5"/>
    <x v="0"/>
    <x v="0"/>
    <x v="57"/>
    <x v="0"/>
    <x v="1"/>
    <x v="0"/>
    <x v="1"/>
    <x v="0"/>
    <x v="1"/>
    <x v="556"/>
    <x v="4"/>
    <x v="0"/>
    <x v="0"/>
    <x v="0"/>
    <x v="0"/>
  </r>
  <r>
    <x v="697"/>
    <x v="1"/>
    <x v="0"/>
    <x v="545"/>
    <x v="153"/>
    <x v="2"/>
    <x v="1"/>
    <x v="4"/>
    <x v="1"/>
    <x v="1"/>
    <x v="0"/>
    <x v="1"/>
    <x v="1"/>
    <x v="1"/>
    <x v="557"/>
    <x v="93"/>
    <x v="0"/>
    <x v="0"/>
    <x v="2"/>
    <x v="2"/>
  </r>
  <r>
    <x v="698"/>
    <x v="0"/>
    <x v="1"/>
    <x v="445"/>
    <x v="633"/>
    <x v="0"/>
    <x v="0"/>
    <x v="27"/>
    <x v="0"/>
    <x v="0"/>
    <x v="1"/>
    <x v="3"/>
    <x v="0"/>
    <x v="0"/>
    <x v="272"/>
    <x v="143"/>
    <x v="1"/>
    <x v="100"/>
    <x v="1"/>
    <x v="1"/>
  </r>
  <r>
    <x v="699"/>
    <x v="0"/>
    <x v="0"/>
    <x v="546"/>
    <x v="634"/>
    <x v="0"/>
    <x v="0"/>
    <x v="22"/>
    <x v="0"/>
    <x v="1"/>
    <x v="0"/>
    <x v="1"/>
    <x v="0"/>
    <x v="1"/>
    <x v="558"/>
    <x v="55"/>
    <x v="0"/>
    <x v="119"/>
    <x v="0"/>
    <x v="0"/>
  </r>
  <r>
    <x v="700"/>
    <x v="1"/>
    <x v="1"/>
    <x v="547"/>
    <x v="635"/>
    <x v="1"/>
    <x v="1"/>
    <x v="24"/>
    <x v="3"/>
    <x v="0"/>
    <x v="0"/>
    <x v="0"/>
    <x v="1"/>
    <x v="0"/>
    <x v="327"/>
    <x v="164"/>
    <x v="1"/>
    <x v="120"/>
    <x v="1"/>
    <x v="1"/>
  </r>
  <r>
    <x v="701"/>
    <x v="1"/>
    <x v="1"/>
    <x v="548"/>
    <x v="636"/>
    <x v="0"/>
    <x v="0"/>
    <x v="3"/>
    <x v="0"/>
    <x v="1"/>
    <x v="0"/>
    <x v="1"/>
    <x v="1"/>
    <x v="1"/>
    <x v="559"/>
    <x v="194"/>
    <x v="2"/>
    <x v="121"/>
    <x v="0"/>
    <x v="0"/>
  </r>
  <r>
    <x v="702"/>
    <x v="0"/>
    <x v="0"/>
    <x v="307"/>
    <x v="637"/>
    <x v="2"/>
    <x v="1"/>
    <x v="24"/>
    <x v="3"/>
    <x v="1"/>
    <x v="1"/>
    <x v="0"/>
    <x v="0"/>
    <x v="0"/>
    <x v="313"/>
    <x v="53"/>
    <x v="2"/>
    <x v="0"/>
    <x v="1"/>
    <x v="1"/>
  </r>
  <r>
    <x v="703"/>
    <x v="0"/>
    <x v="0"/>
    <x v="549"/>
    <x v="123"/>
    <x v="0"/>
    <x v="0"/>
    <x v="37"/>
    <x v="0"/>
    <x v="1"/>
    <x v="0"/>
    <x v="1"/>
    <x v="0"/>
    <x v="1"/>
    <x v="560"/>
    <x v="227"/>
    <x v="0"/>
    <x v="0"/>
    <x v="2"/>
    <x v="2"/>
  </r>
  <r>
    <x v="704"/>
    <x v="0"/>
    <x v="0"/>
    <x v="494"/>
    <x v="638"/>
    <x v="0"/>
    <x v="0"/>
    <x v="2"/>
    <x v="0"/>
    <x v="0"/>
    <x v="0"/>
    <x v="0"/>
    <x v="0"/>
    <x v="0"/>
    <x v="561"/>
    <x v="13"/>
    <x v="0"/>
    <x v="0"/>
    <x v="0"/>
    <x v="0"/>
  </r>
  <r>
    <x v="705"/>
    <x v="0"/>
    <x v="2"/>
    <x v="381"/>
    <x v="639"/>
    <x v="0"/>
    <x v="0"/>
    <x v="12"/>
    <x v="0"/>
    <x v="1"/>
    <x v="0"/>
    <x v="1"/>
    <x v="0"/>
    <x v="1"/>
    <x v="364"/>
    <x v="19"/>
    <x v="2"/>
    <x v="0"/>
    <x v="0"/>
    <x v="0"/>
  </r>
  <r>
    <x v="706"/>
    <x v="1"/>
    <x v="2"/>
    <x v="262"/>
    <x v="640"/>
    <x v="1"/>
    <x v="1"/>
    <x v="33"/>
    <x v="0"/>
    <x v="1"/>
    <x v="0"/>
    <x v="1"/>
    <x v="1"/>
    <x v="1"/>
    <x v="562"/>
    <x v="119"/>
    <x v="2"/>
    <x v="0"/>
    <x v="0"/>
    <x v="0"/>
  </r>
  <r>
    <x v="707"/>
    <x v="1"/>
    <x v="1"/>
    <x v="550"/>
    <x v="641"/>
    <x v="0"/>
    <x v="0"/>
    <x v="22"/>
    <x v="0"/>
    <x v="1"/>
    <x v="0"/>
    <x v="1"/>
    <x v="1"/>
    <x v="1"/>
    <x v="563"/>
    <x v="194"/>
    <x v="2"/>
    <x v="121"/>
    <x v="0"/>
    <x v="0"/>
  </r>
  <r>
    <x v="708"/>
    <x v="1"/>
    <x v="1"/>
    <x v="551"/>
    <x v="561"/>
    <x v="2"/>
    <x v="1"/>
    <x v="0"/>
    <x v="0"/>
    <x v="1"/>
    <x v="0"/>
    <x v="1"/>
    <x v="1"/>
    <x v="1"/>
    <x v="266"/>
    <x v="139"/>
    <x v="1"/>
    <x v="0"/>
    <x v="0"/>
    <x v="0"/>
  </r>
  <r>
    <x v="709"/>
    <x v="1"/>
    <x v="0"/>
    <x v="63"/>
    <x v="642"/>
    <x v="3"/>
    <x v="0"/>
    <x v="4"/>
    <x v="1"/>
    <x v="0"/>
    <x v="1"/>
    <x v="3"/>
    <x v="1"/>
    <x v="0"/>
    <x v="64"/>
    <x v="49"/>
    <x v="2"/>
    <x v="0"/>
    <x v="1"/>
    <x v="1"/>
  </r>
  <r>
    <x v="710"/>
    <x v="1"/>
    <x v="1"/>
    <x v="552"/>
    <x v="643"/>
    <x v="12"/>
    <x v="2"/>
    <x v="42"/>
    <x v="0"/>
    <x v="1"/>
    <x v="0"/>
    <x v="1"/>
    <x v="1"/>
    <x v="1"/>
    <x v="564"/>
    <x v="189"/>
    <x v="2"/>
    <x v="122"/>
    <x v="1"/>
    <x v="1"/>
  </r>
  <r>
    <x v="711"/>
    <x v="0"/>
    <x v="1"/>
    <x v="553"/>
    <x v="644"/>
    <x v="0"/>
    <x v="0"/>
    <x v="4"/>
    <x v="1"/>
    <x v="1"/>
    <x v="0"/>
    <x v="1"/>
    <x v="0"/>
    <x v="1"/>
    <x v="565"/>
    <x v="11"/>
    <x v="2"/>
    <x v="64"/>
    <x v="0"/>
    <x v="0"/>
  </r>
  <r>
    <x v="712"/>
    <x v="1"/>
    <x v="1"/>
    <x v="525"/>
    <x v="645"/>
    <x v="0"/>
    <x v="0"/>
    <x v="76"/>
    <x v="0"/>
    <x v="0"/>
    <x v="0"/>
    <x v="0"/>
    <x v="1"/>
    <x v="0"/>
    <x v="537"/>
    <x v="31"/>
    <x v="1"/>
    <x v="113"/>
    <x v="0"/>
    <x v="0"/>
  </r>
  <r>
    <x v="713"/>
    <x v="0"/>
    <x v="0"/>
    <x v="203"/>
    <x v="646"/>
    <x v="0"/>
    <x v="0"/>
    <x v="28"/>
    <x v="0"/>
    <x v="1"/>
    <x v="0"/>
    <x v="1"/>
    <x v="0"/>
    <x v="1"/>
    <x v="566"/>
    <x v="228"/>
    <x v="0"/>
    <x v="0"/>
    <x v="0"/>
    <x v="0"/>
  </r>
  <r>
    <x v="714"/>
    <x v="0"/>
    <x v="2"/>
    <x v="554"/>
    <x v="295"/>
    <x v="0"/>
    <x v="0"/>
    <x v="67"/>
    <x v="0"/>
    <x v="1"/>
    <x v="0"/>
    <x v="1"/>
    <x v="0"/>
    <x v="1"/>
    <x v="567"/>
    <x v="16"/>
    <x v="2"/>
    <x v="0"/>
    <x v="0"/>
    <x v="0"/>
  </r>
  <r>
    <x v="715"/>
    <x v="0"/>
    <x v="0"/>
    <x v="555"/>
    <x v="647"/>
    <x v="0"/>
    <x v="0"/>
    <x v="19"/>
    <x v="3"/>
    <x v="1"/>
    <x v="0"/>
    <x v="1"/>
    <x v="0"/>
    <x v="1"/>
    <x v="568"/>
    <x v="55"/>
    <x v="0"/>
    <x v="16"/>
    <x v="0"/>
    <x v="0"/>
  </r>
  <r>
    <x v="716"/>
    <x v="1"/>
    <x v="1"/>
    <x v="556"/>
    <x v="648"/>
    <x v="2"/>
    <x v="1"/>
    <x v="1"/>
    <x v="0"/>
    <x v="1"/>
    <x v="0"/>
    <x v="1"/>
    <x v="1"/>
    <x v="1"/>
    <x v="327"/>
    <x v="164"/>
    <x v="1"/>
    <x v="123"/>
    <x v="1"/>
    <x v="1"/>
  </r>
  <r>
    <x v="717"/>
    <x v="1"/>
    <x v="2"/>
    <x v="557"/>
    <x v="649"/>
    <x v="2"/>
    <x v="1"/>
    <x v="7"/>
    <x v="0"/>
    <x v="1"/>
    <x v="0"/>
    <x v="1"/>
    <x v="1"/>
    <x v="1"/>
    <x v="569"/>
    <x v="29"/>
    <x v="2"/>
    <x v="23"/>
    <x v="0"/>
    <x v="0"/>
  </r>
  <r>
    <x v="718"/>
    <x v="0"/>
    <x v="0"/>
    <x v="558"/>
    <x v="650"/>
    <x v="0"/>
    <x v="0"/>
    <x v="4"/>
    <x v="1"/>
    <x v="1"/>
    <x v="0"/>
    <x v="1"/>
    <x v="0"/>
    <x v="1"/>
    <x v="570"/>
    <x v="37"/>
    <x v="2"/>
    <x v="0"/>
    <x v="2"/>
    <x v="2"/>
  </r>
  <r>
    <x v="719"/>
    <x v="0"/>
    <x v="0"/>
    <x v="8"/>
    <x v="651"/>
    <x v="0"/>
    <x v="0"/>
    <x v="40"/>
    <x v="0"/>
    <x v="1"/>
    <x v="0"/>
    <x v="1"/>
    <x v="0"/>
    <x v="1"/>
    <x v="571"/>
    <x v="71"/>
    <x v="0"/>
    <x v="0"/>
    <x v="0"/>
    <x v="0"/>
  </r>
  <r>
    <x v="720"/>
    <x v="1"/>
    <x v="2"/>
    <x v="50"/>
    <x v="652"/>
    <x v="2"/>
    <x v="1"/>
    <x v="83"/>
    <x v="2"/>
    <x v="1"/>
    <x v="1"/>
    <x v="0"/>
    <x v="1"/>
    <x v="0"/>
    <x v="491"/>
    <x v="213"/>
    <x v="2"/>
    <x v="0"/>
    <x v="0"/>
    <x v="0"/>
  </r>
  <r>
    <x v="721"/>
    <x v="0"/>
    <x v="0"/>
    <x v="507"/>
    <x v="653"/>
    <x v="0"/>
    <x v="0"/>
    <x v="34"/>
    <x v="3"/>
    <x v="0"/>
    <x v="0"/>
    <x v="0"/>
    <x v="0"/>
    <x v="0"/>
    <x v="572"/>
    <x v="218"/>
    <x v="0"/>
    <x v="0"/>
    <x v="0"/>
    <x v="0"/>
  </r>
  <r>
    <x v="722"/>
    <x v="0"/>
    <x v="2"/>
    <x v="559"/>
    <x v="4"/>
    <x v="0"/>
    <x v="0"/>
    <x v="15"/>
    <x v="0"/>
    <x v="1"/>
    <x v="0"/>
    <x v="1"/>
    <x v="0"/>
    <x v="1"/>
    <x v="573"/>
    <x v="16"/>
    <x v="2"/>
    <x v="0"/>
    <x v="0"/>
    <x v="0"/>
  </r>
  <r>
    <x v="723"/>
    <x v="0"/>
    <x v="2"/>
    <x v="560"/>
    <x v="654"/>
    <x v="0"/>
    <x v="0"/>
    <x v="61"/>
    <x v="0"/>
    <x v="1"/>
    <x v="0"/>
    <x v="1"/>
    <x v="0"/>
    <x v="1"/>
    <x v="574"/>
    <x v="16"/>
    <x v="2"/>
    <x v="0"/>
    <x v="0"/>
    <x v="0"/>
  </r>
  <r>
    <x v="724"/>
    <x v="1"/>
    <x v="1"/>
    <x v="561"/>
    <x v="655"/>
    <x v="0"/>
    <x v="0"/>
    <x v="7"/>
    <x v="0"/>
    <x v="0"/>
    <x v="0"/>
    <x v="0"/>
    <x v="1"/>
    <x v="0"/>
    <x v="575"/>
    <x v="3"/>
    <x v="1"/>
    <x v="124"/>
    <x v="0"/>
    <x v="0"/>
  </r>
  <r>
    <x v="725"/>
    <x v="0"/>
    <x v="0"/>
    <x v="335"/>
    <x v="440"/>
    <x v="0"/>
    <x v="0"/>
    <x v="11"/>
    <x v="0"/>
    <x v="1"/>
    <x v="0"/>
    <x v="1"/>
    <x v="0"/>
    <x v="1"/>
    <x v="576"/>
    <x v="51"/>
    <x v="0"/>
    <x v="0"/>
    <x v="0"/>
    <x v="0"/>
  </r>
  <r>
    <x v="726"/>
    <x v="1"/>
    <x v="2"/>
    <x v="394"/>
    <x v="656"/>
    <x v="1"/>
    <x v="1"/>
    <x v="39"/>
    <x v="0"/>
    <x v="2"/>
    <x v="0"/>
    <x v="6"/>
    <x v="1"/>
    <x v="2"/>
    <x v="402"/>
    <x v="35"/>
    <x v="2"/>
    <x v="0"/>
    <x v="0"/>
    <x v="0"/>
  </r>
  <r>
    <x v="727"/>
    <x v="1"/>
    <x v="0"/>
    <x v="562"/>
    <x v="657"/>
    <x v="2"/>
    <x v="1"/>
    <x v="4"/>
    <x v="1"/>
    <x v="1"/>
    <x v="0"/>
    <x v="1"/>
    <x v="1"/>
    <x v="1"/>
    <x v="577"/>
    <x v="229"/>
    <x v="0"/>
    <x v="0"/>
    <x v="2"/>
    <x v="2"/>
  </r>
  <r>
    <x v="728"/>
    <x v="0"/>
    <x v="2"/>
    <x v="563"/>
    <x v="658"/>
    <x v="0"/>
    <x v="0"/>
    <x v="37"/>
    <x v="0"/>
    <x v="0"/>
    <x v="0"/>
    <x v="0"/>
    <x v="0"/>
    <x v="0"/>
    <x v="578"/>
    <x v="19"/>
    <x v="2"/>
    <x v="0"/>
    <x v="0"/>
    <x v="0"/>
  </r>
  <r>
    <x v="729"/>
    <x v="0"/>
    <x v="0"/>
    <x v="564"/>
    <x v="659"/>
    <x v="2"/>
    <x v="1"/>
    <x v="37"/>
    <x v="0"/>
    <x v="0"/>
    <x v="0"/>
    <x v="0"/>
    <x v="0"/>
    <x v="0"/>
    <x v="579"/>
    <x v="2"/>
    <x v="0"/>
    <x v="0"/>
    <x v="0"/>
    <x v="0"/>
  </r>
  <r>
    <x v="730"/>
    <x v="1"/>
    <x v="1"/>
    <x v="4"/>
    <x v="660"/>
    <x v="2"/>
    <x v="1"/>
    <x v="28"/>
    <x v="0"/>
    <x v="1"/>
    <x v="0"/>
    <x v="1"/>
    <x v="1"/>
    <x v="1"/>
    <x v="550"/>
    <x v="224"/>
    <x v="1"/>
    <x v="117"/>
    <x v="0"/>
    <x v="0"/>
  </r>
  <r>
    <x v="731"/>
    <x v="0"/>
    <x v="0"/>
    <x v="565"/>
    <x v="661"/>
    <x v="0"/>
    <x v="0"/>
    <x v="32"/>
    <x v="2"/>
    <x v="1"/>
    <x v="0"/>
    <x v="1"/>
    <x v="0"/>
    <x v="1"/>
    <x v="185"/>
    <x v="112"/>
    <x v="2"/>
    <x v="0"/>
    <x v="1"/>
    <x v="1"/>
  </r>
  <r>
    <x v="732"/>
    <x v="0"/>
    <x v="2"/>
    <x v="566"/>
    <x v="662"/>
    <x v="0"/>
    <x v="0"/>
    <x v="4"/>
    <x v="1"/>
    <x v="1"/>
    <x v="0"/>
    <x v="1"/>
    <x v="0"/>
    <x v="1"/>
    <x v="580"/>
    <x v="104"/>
    <x v="0"/>
    <x v="0"/>
    <x v="0"/>
    <x v="0"/>
  </r>
  <r>
    <x v="733"/>
    <x v="0"/>
    <x v="2"/>
    <x v="567"/>
    <x v="44"/>
    <x v="0"/>
    <x v="0"/>
    <x v="41"/>
    <x v="0"/>
    <x v="1"/>
    <x v="0"/>
    <x v="1"/>
    <x v="0"/>
    <x v="1"/>
    <x v="581"/>
    <x v="16"/>
    <x v="2"/>
    <x v="0"/>
    <x v="0"/>
    <x v="0"/>
  </r>
  <r>
    <x v="734"/>
    <x v="0"/>
    <x v="2"/>
    <x v="568"/>
    <x v="663"/>
    <x v="0"/>
    <x v="0"/>
    <x v="41"/>
    <x v="0"/>
    <x v="1"/>
    <x v="0"/>
    <x v="1"/>
    <x v="0"/>
    <x v="1"/>
    <x v="582"/>
    <x v="16"/>
    <x v="2"/>
    <x v="0"/>
    <x v="0"/>
    <x v="0"/>
  </r>
  <r>
    <x v="735"/>
    <x v="0"/>
    <x v="0"/>
    <x v="17"/>
    <x v="664"/>
    <x v="0"/>
    <x v="0"/>
    <x v="30"/>
    <x v="0"/>
    <x v="1"/>
    <x v="0"/>
    <x v="1"/>
    <x v="0"/>
    <x v="1"/>
    <x v="508"/>
    <x v="95"/>
    <x v="2"/>
    <x v="0"/>
    <x v="0"/>
    <x v="0"/>
  </r>
  <r>
    <x v="736"/>
    <x v="0"/>
    <x v="0"/>
    <x v="82"/>
    <x v="665"/>
    <x v="1"/>
    <x v="1"/>
    <x v="76"/>
    <x v="0"/>
    <x v="0"/>
    <x v="4"/>
    <x v="2"/>
    <x v="0"/>
    <x v="2"/>
    <x v="84"/>
    <x v="63"/>
    <x v="2"/>
    <x v="0"/>
    <x v="0"/>
    <x v="0"/>
  </r>
  <r>
    <x v="737"/>
    <x v="1"/>
    <x v="1"/>
    <x v="569"/>
    <x v="666"/>
    <x v="0"/>
    <x v="0"/>
    <x v="3"/>
    <x v="0"/>
    <x v="1"/>
    <x v="0"/>
    <x v="1"/>
    <x v="1"/>
    <x v="1"/>
    <x v="231"/>
    <x v="127"/>
    <x v="1"/>
    <x v="125"/>
    <x v="1"/>
    <x v="1"/>
  </r>
  <r>
    <x v="738"/>
    <x v="0"/>
    <x v="0"/>
    <x v="570"/>
    <x v="667"/>
    <x v="0"/>
    <x v="0"/>
    <x v="4"/>
    <x v="1"/>
    <x v="1"/>
    <x v="0"/>
    <x v="1"/>
    <x v="0"/>
    <x v="1"/>
    <x v="583"/>
    <x v="25"/>
    <x v="0"/>
    <x v="0"/>
    <x v="0"/>
    <x v="0"/>
  </r>
  <r>
    <x v="739"/>
    <x v="0"/>
    <x v="0"/>
    <x v="571"/>
    <x v="668"/>
    <x v="0"/>
    <x v="0"/>
    <x v="4"/>
    <x v="1"/>
    <x v="1"/>
    <x v="0"/>
    <x v="1"/>
    <x v="0"/>
    <x v="1"/>
    <x v="584"/>
    <x v="25"/>
    <x v="0"/>
    <x v="0"/>
    <x v="0"/>
    <x v="0"/>
  </r>
  <r>
    <x v="740"/>
    <x v="1"/>
    <x v="1"/>
    <x v="572"/>
    <x v="669"/>
    <x v="0"/>
    <x v="0"/>
    <x v="4"/>
    <x v="1"/>
    <x v="1"/>
    <x v="0"/>
    <x v="1"/>
    <x v="1"/>
    <x v="1"/>
    <x v="585"/>
    <x v="209"/>
    <x v="2"/>
    <x v="126"/>
    <x v="0"/>
    <x v="0"/>
  </r>
  <r>
    <x v="741"/>
    <x v="0"/>
    <x v="1"/>
    <x v="573"/>
    <x v="670"/>
    <x v="0"/>
    <x v="0"/>
    <x v="62"/>
    <x v="0"/>
    <x v="0"/>
    <x v="0"/>
    <x v="0"/>
    <x v="0"/>
    <x v="0"/>
    <x v="259"/>
    <x v="135"/>
    <x v="1"/>
    <x v="127"/>
    <x v="0"/>
    <x v="0"/>
  </r>
  <r>
    <x v="742"/>
    <x v="1"/>
    <x v="1"/>
    <x v="270"/>
    <x v="671"/>
    <x v="2"/>
    <x v="1"/>
    <x v="23"/>
    <x v="0"/>
    <x v="4"/>
    <x v="2"/>
    <x v="2"/>
    <x v="1"/>
    <x v="2"/>
    <x v="277"/>
    <x v="148"/>
    <x v="1"/>
    <x v="59"/>
    <x v="1"/>
    <x v="1"/>
  </r>
  <r>
    <x v="743"/>
    <x v="0"/>
    <x v="0"/>
    <x v="574"/>
    <x v="672"/>
    <x v="0"/>
    <x v="0"/>
    <x v="42"/>
    <x v="0"/>
    <x v="0"/>
    <x v="0"/>
    <x v="0"/>
    <x v="0"/>
    <x v="0"/>
    <x v="586"/>
    <x v="95"/>
    <x v="2"/>
    <x v="0"/>
    <x v="0"/>
    <x v="0"/>
  </r>
  <r>
    <x v="744"/>
    <x v="1"/>
    <x v="0"/>
    <x v="575"/>
    <x v="364"/>
    <x v="0"/>
    <x v="0"/>
    <x v="14"/>
    <x v="0"/>
    <x v="1"/>
    <x v="0"/>
    <x v="1"/>
    <x v="1"/>
    <x v="1"/>
    <x v="587"/>
    <x v="2"/>
    <x v="0"/>
    <x v="0"/>
    <x v="0"/>
    <x v="0"/>
  </r>
  <r>
    <x v="745"/>
    <x v="0"/>
    <x v="1"/>
    <x v="440"/>
    <x v="673"/>
    <x v="14"/>
    <x v="2"/>
    <x v="81"/>
    <x v="4"/>
    <x v="0"/>
    <x v="1"/>
    <x v="3"/>
    <x v="0"/>
    <x v="0"/>
    <x v="451"/>
    <x v="202"/>
    <x v="1"/>
    <x v="95"/>
    <x v="0"/>
    <x v="0"/>
  </r>
  <r>
    <x v="746"/>
    <x v="0"/>
    <x v="0"/>
    <x v="243"/>
    <x v="674"/>
    <x v="0"/>
    <x v="0"/>
    <x v="36"/>
    <x v="3"/>
    <x v="0"/>
    <x v="1"/>
    <x v="3"/>
    <x v="0"/>
    <x v="0"/>
    <x v="248"/>
    <x v="134"/>
    <x v="2"/>
    <x v="0"/>
    <x v="0"/>
    <x v="0"/>
  </r>
  <r>
    <x v="747"/>
    <x v="1"/>
    <x v="2"/>
    <x v="576"/>
    <x v="125"/>
    <x v="2"/>
    <x v="1"/>
    <x v="39"/>
    <x v="0"/>
    <x v="1"/>
    <x v="0"/>
    <x v="1"/>
    <x v="1"/>
    <x v="1"/>
    <x v="588"/>
    <x v="16"/>
    <x v="2"/>
    <x v="0"/>
    <x v="0"/>
    <x v="0"/>
  </r>
  <r>
    <x v="748"/>
    <x v="0"/>
    <x v="1"/>
    <x v="577"/>
    <x v="675"/>
    <x v="0"/>
    <x v="0"/>
    <x v="19"/>
    <x v="3"/>
    <x v="0"/>
    <x v="0"/>
    <x v="0"/>
    <x v="0"/>
    <x v="0"/>
    <x v="589"/>
    <x v="3"/>
    <x v="1"/>
    <x v="128"/>
    <x v="0"/>
    <x v="0"/>
  </r>
  <r>
    <x v="749"/>
    <x v="0"/>
    <x v="0"/>
    <x v="578"/>
    <x v="650"/>
    <x v="0"/>
    <x v="0"/>
    <x v="14"/>
    <x v="0"/>
    <x v="1"/>
    <x v="0"/>
    <x v="1"/>
    <x v="0"/>
    <x v="1"/>
    <x v="590"/>
    <x v="28"/>
    <x v="0"/>
    <x v="0"/>
    <x v="2"/>
    <x v="2"/>
  </r>
  <r>
    <x v="750"/>
    <x v="1"/>
    <x v="2"/>
    <x v="579"/>
    <x v="676"/>
    <x v="2"/>
    <x v="1"/>
    <x v="9"/>
    <x v="2"/>
    <x v="0"/>
    <x v="1"/>
    <x v="3"/>
    <x v="1"/>
    <x v="0"/>
    <x v="591"/>
    <x v="68"/>
    <x v="2"/>
    <x v="0"/>
    <x v="0"/>
    <x v="0"/>
  </r>
  <r>
    <x v="751"/>
    <x v="1"/>
    <x v="0"/>
    <x v="580"/>
    <x v="677"/>
    <x v="3"/>
    <x v="0"/>
    <x v="83"/>
    <x v="2"/>
    <x v="1"/>
    <x v="1"/>
    <x v="0"/>
    <x v="1"/>
    <x v="0"/>
    <x v="592"/>
    <x v="57"/>
    <x v="2"/>
    <x v="129"/>
    <x v="0"/>
    <x v="0"/>
  </r>
  <r>
    <x v="752"/>
    <x v="0"/>
    <x v="0"/>
    <x v="581"/>
    <x v="678"/>
    <x v="0"/>
    <x v="0"/>
    <x v="40"/>
    <x v="0"/>
    <x v="1"/>
    <x v="0"/>
    <x v="1"/>
    <x v="0"/>
    <x v="1"/>
    <x v="593"/>
    <x v="59"/>
    <x v="0"/>
    <x v="0"/>
    <x v="0"/>
    <x v="0"/>
  </r>
  <r>
    <x v="753"/>
    <x v="0"/>
    <x v="0"/>
    <x v="582"/>
    <x v="28"/>
    <x v="0"/>
    <x v="0"/>
    <x v="41"/>
    <x v="0"/>
    <x v="1"/>
    <x v="0"/>
    <x v="1"/>
    <x v="0"/>
    <x v="1"/>
    <x v="594"/>
    <x v="25"/>
    <x v="0"/>
    <x v="0"/>
    <x v="0"/>
    <x v="0"/>
  </r>
  <r>
    <x v="754"/>
    <x v="1"/>
    <x v="2"/>
    <x v="490"/>
    <x v="679"/>
    <x v="1"/>
    <x v="1"/>
    <x v="76"/>
    <x v="0"/>
    <x v="0"/>
    <x v="2"/>
    <x v="6"/>
    <x v="1"/>
    <x v="2"/>
    <x v="503"/>
    <x v="216"/>
    <x v="1"/>
    <x v="0"/>
    <x v="0"/>
    <x v="0"/>
  </r>
  <r>
    <x v="755"/>
    <x v="1"/>
    <x v="2"/>
    <x v="216"/>
    <x v="680"/>
    <x v="3"/>
    <x v="0"/>
    <x v="84"/>
    <x v="2"/>
    <x v="0"/>
    <x v="1"/>
    <x v="3"/>
    <x v="1"/>
    <x v="0"/>
    <x v="221"/>
    <x v="80"/>
    <x v="2"/>
    <x v="0"/>
    <x v="0"/>
    <x v="0"/>
  </r>
  <r>
    <x v="756"/>
    <x v="0"/>
    <x v="0"/>
    <x v="583"/>
    <x v="681"/>
    <x v="0"/>
    <x v="0"/>
    <x v="17"/>
    <x v="0"/>
    <x v="1"/>
    <x v="0"/>
    <x v="1"/>
    <x v="0"/>
    <x v="1"/>
    <x v="595"/>
    <x v="88"/>
    <x v="0"/>
    <x v="0"/>
    <x v="0"/>
    <x v="0"/>
  </r>
  <r>
    <x v="757"/>
    <x v="0"/>
    <x v="2"/>
    <x v="584"/>
    <x v="682"/>
    <x v="0"/>
    <x v="0"/>
    <x v="24"/>
    <x v="3"/>
    <x v="1"/>
    <x v="0"/>
    <x v="1"/>
    <x v="0"/>
    <x v="1"/>
    <x v="596"/>
    <x v="86"/>
    <x v="2"/>
    <x v="0"/>
    <x v="0"/>
    <x v="0"/>
  </r>
  <r>
    <x v="758"/>
    <x v="0"/>
    <x v="0"/>
    <x v="585"/>
    <x v="683"/>
    <x v="0"/>
    <x v="0"/>
    <x v="15"/>
    <x v="0"/>
    <x v="1"/>
    <x v="0"/>
    <x v="1"/>
    <x v="0"/>
    <x v="1"/>
    <x v="597"/>
    <x v="4"/>
    <x v="0"/>
    <x v="0"/>
    <x v="0"/>
    <x v="0"/>
  </r>
  <r>
    <x v="759"/>
    <x v="1"/>
    <x v="1"/>
    <x v="586"/>
    <x v="684"/>
    <x v="15"/>
    <x v="2"/>
    <x v="40"/>
    <x v="0"/>
    <x v="1"/>
    <x v="0"/>
    <x v="1"/>
    <x v="1"/>
    <x v="1"/>
    <x v="230"/>
    <x v="126"/>
    <x v="1"/>
    <x v="44"/>
    <x v="0"/>
    <x v="0"/>
  </r>
  <r>
    <x v="760"/>
    <x v="0"/>
    <x v="0"/>
    <x v="587"/>
    <x v="184"/>
    <x v="0"/>
    <x v="0"/>
    <x v="4"/>
    <x v="1"/>
    <x v="1"/>
    <x v="0"/>
    <x v="1"/>
    <x v="0"/>
    <x v="1"/>
    <x v="476"/>
    <x v="80"/>
    <x v="2"/>
    <x v="0"/>
    <x v="0"/>
    <x v="0"/>
  </r>
  <r>
    <x v="761"/>
    <x v="0"/>
    <x v="0"/>
    <x v="588"/>
    <x v="685"/>
    <x v="0"/>
    <x v="0"/>
    <x v="66"/>
    <x v="0"/>
    <x v="1"/>
    <x v="0"/>
    <x v="1"/>
    <x v="0"/>
    <x v="1"/>
    <x v="598"/>
    <x v="123"/>
    <x v="0"/>
    <x v="0"/>
    <x v="0"/>
    <x v="0"/>
  </r>
  <r>
    <x v="762"/>
    <x v="1"/>
    <x v="0"/>
    <x v="589"/>
    <x v="686"/>
    <x v="0"/>
    <x v="0"/>
    <x v="11"/>
    <x v="0"/>
    <x v="1"/>
    <x v="0"/>
    <x v="1"/>
    <x v="1"/>
    <x v="1"/>
    <x v="599"/>
    <x v="32"/>
    <x v="0"/>
    <x v="0"/>
    <x v="1"/>
    <x v="1"/>
  </r>
  <r>
    <x v="763"/>
    <x v="1"/>
    <x v="1"/>
    <x v="218"/>
    <x v="687"/>
    <x v="1"/>
    <x v="1"/>
    <x v="62"/>
    <x v="0"/>
    <x v="0"/>
    <x v="2"/>
    <x v="6"/>
    <x v="1"/>
    <x v="2"/>
    <x v="334"/>
    <x v="168"/>
    <x v="1"/>
    <x v="73"/>
    <x v="0"/>
    <x v="0"/>
  </r>
  <r>
    <x v="764"/>
    <x v="0"/>
    <x v="0"/>
    <x v="590"/>
    <x v="688"/>
    <x v="0"/>
    <x v="0"/>
    <x v="36"/>
    <x v="3"/>
    <x v="1"/>
    <x v="0"/>
    <x v="1"/>
    <x v="0"/>
    <x v="1"/>
    <x v="600"/>
    <x v="71"/>
    <x v="0"/>
    <x v="0"/>
    <x v="0"/>
    <x v="0"/>
  </r>
  <r>
    <x v="765"/>
    <x v="1"/>
    <x v="1"/>
    <x v="591"/>
    <x v="689"/>
    <x v="1"/>
    <x v="1"/>
    <x v="54"/>
    <x v="0"/>
    <x v="0"/>
    <x v="0"/>
    <x v="0"/>
    <x v="1"/>
    <x v="0"/>
    <x v="245"/>
    <x v="133"/>
    <x v="1"/>
    <x v="130"/>
    <x v="0"/>
    <x v="0"/>
  </r>
  <r>
    <x v="766"/>
    <x v="0"/>
    <x v="1"/>
    <x v="592"/>
    <x v="690"/>
    <x v="6"/>
    <x v="0"/>
    <x v="4"/>
    <x v="1"/>
    <x v="1"/>
    <x v="0"/>
    <x v="1"/>
    <x v="0"/>
    <x v="1"/>
    <x v="601"/>
    <x v="205"/>
    <x v="2"/>
    <x v="0"/>
    <x v="1"/>
    <x v="1"/>
  </r>
  <r>
    <x v="767"/>
    <x v="0"/>
    <x v="0"/>
    <x v="593"/>
    <x v="344"/>
    <x v="2"/>
    <x v="1"/>
    <x v="85"/>
    <x v="0"/>
    <x v="1"/>
    <x v="0"/>
    <x v="1"/>
    <x v="0"/>
    <x v="1"/>
    <x v="602"/>
    <x v="28"/>
    <x v="0"/>
    <x v="0"/>
    <x v="2"/>
    <x v="2"/>
  </r>
  <r>
    <x v="768"/>
    <x v="0"/>
    <x v="0"/>
    <x v="5"/>
    <x v="691"/>
    <x v="0"/>
    <x v="0"/>
    <x v="4"/>
    <x v="1"/>
    <x v="0"/>
    <x v="0"/>
    <x v="0"/>
    <x v="0"/>
    <x v="0"/>
    <x v="106"/>
    <x v="72"/>
    <x v="2"/>
    <x v="0"/>
    <x v="2"/>
    <x v="2"/>
  </r>
  <r>
    <x v="769"/>
    <x v="0"/>
    <x v="0"/>
    <x v="594"/>
    <x v="692"/>
    <x v="0"/>
    <x v="0"/>
    <x v="35"/>
    <x v="0"/>
    <x v="1"/>
    <x v="0"/>
    <x v="1"/>
    <x v="0"/>
    <x v="1"/>
    <x v="603"/>
    <x v="230"/>
    <x v="0"/>
    <x v="0"/>
    <x v="0"/>
    <x v="0"/>
  </r>
  <r>
    <x v="770"/>
    <x v="0"/>
    <x v="0"/>
    <x v="595"/>
    <x v="693"/>
    <x v="0"/>
    <x v="0"/>
    <x v="42"/>
    <x v="0"/>
    <x v="1"/>
    <x v="0"/>
    <x v="1"/>
    <x v="0"/>
    <x v="1"/>
    <x v="604"/>
    <x v="59"/>
    <x v="0"/>
    <x v="0"/>
    <x v="0"/>
    <x v="0"/>
  </r>
  <r>
    <x v="771"/>
    <x v="0"/>
    <x v="0"/>
    <x v="507"/>
    <x v="694"/>
    <x v="0"/>
    <x v="0"/>
    <x v="76"/>
    <x v="0"/>
    <x v="1"/>
    <x v="0"/>
    <x v="1"/>
    <x v="0"/>
    <x v="1"/>
    <x v="605"/>
    <x v="13"/>
    <x v="0"/>
    <x v="0"/>
    <x v="0"/>
    <x v="0"/>
  </r>
  <r>
    <x v="772"/>
    <x v="0"/>
    <x v="2"/>
    <x v="596"/>
    <x v="695"/>
    <x v="1"/>
    <x v="1"/>
    <x v="79"/>
    <x v="0"/>
    <x v="1"/>
    <x v="0"/>
    <x v="1"/>
    <x v="0"/>
    <x v="1"/>
    <x v="606"/>
    <x v="29"/>
    <x v="2"/>
    <x v="131"/>
    <x v="0"/>
    <x v="0"/>
  </r>
  <r>
    <x v="773"/>
    <x v="0"/>
    <x v="0"/>
    <x v="299"/>
    <x v="696"/>
    <x v="0"/>
    <x v="0"/>
    <x v="4"/>
    <x v="1"/>
    <x v="1"/>
    <x v="0"/>
    <x v="1"/>
    <x v="0"/>
    <x v="1"/>
    <x v="607"/>
    <x v="18"/>
    <x v="0"/>
    <x v="0"/>
    <x v="1"/>
    <x v="1"/>
  </r>
  <r>
    <x v="774"/>
    <x v="1"/>
    <x v="2"/>
    <x v="434"/>
    <x v="697"/>
    <x v="1"/>
    <x v="1"/>
    <x v="5"/>
    <x v="0"/>
    <x v="0"/>
    <x v="4"/>
    <x v="2"/>
    <x v="1"/>
    <x v="2"/>
    <x v="608"/>
    <x v="68"/>
    <x v="2"/>
    <x v="0"/>
    <x v="0"/>
    <x v="0"/>
  </r>
  <r>
    <x v="775"/>
    <x v="0"/>
    <x v="0"/>
    <x v="597"/>
    <x v="698"/>
    <x v="0"/>
    <x v="0"/>
    <x v="24"/>
    <x v="3"/>
    <x v="1"/>
    <x v="0"/>
    <x v="1"/>
    <x v="0"/>
    <x v="1"/>
    <x v="609"/>
    <x v="28"/>
    <x v="0"/>
    <x v="0"/>
    <x v="0"/>
    <x v="0"/>
  </r>
  <r>
    <x v="776"/>
    <x v="0"/>
    <x v="0"/>
    <x v="598"/>
    <x v="699"/>
    <x v="0"/>
    <x v="0"/>
    <x v="4"/>
    <x v="1"/>
    <x v="1"/>
    <x v="0"/>
    <x v="1"/>
    <x v="0"/>
    <x v="1"/>
    <x v="610"/>
    <x v="28"/>
    <x v="0"/>
    <x v="132"/>
    <x v="2"/>
    <x v="2"/>
  </r>
  <r>
    <x v="777"/>
    <x v="1"/>
    <x v="0"/>
    <x v="599"/>
    <x v="700"/>
    <x v="2"/>
    <x v="1"/>
    <x v="31"/>
    <x v="2"/>
    <x v="1"/>
    <x v="0"/>
    <x v="1"/>
    <x v="1"/>
    <x v="1"/>
    <x v="77"/>
    <x v="57"/>
    <x v="2"/>
    <x v="0"/>
    <x v="0"/>
    <x v="0"/>
  </r>
  <r>
    <x v="778"/>
    <x v="0"/>
    <x v="0"/>
    <x v="600"/>
    <x v="701"/>
    <x v="0"/>
    <x v="0"/>
    <x v="4"/>
    <x v="1"/>
    <x v="1"/>
    <x v="0"/>
    <x v="1"/>
    <x v="0"/>
    <x v="1"/>
    <x v="611"/>
    <x v="229"/>
    <x v="0"/>
    <x v="0"/>
    <x v="2"/>
    <x v="2"/>
  </r>
  <r>
    <x v="779"/>
    <x v="1"/>
    <x v="1"/>
    <x v="601"/>
    <x v="702"/>
    <x v="1"/>
    <x v="1"/>
    <x v="71"/>
    <x v="0"/>
    <x v="1"/>
    <x v="1"/>
    <x v="0"/>
    <x v="1"/>
    <x v="0"/>
    <x v="550"/>
    <x v="224"/>
    <x v="1"/>
    <x v="133"/>
    <x v="0"/>
    <x v="0"/>
  </r>
  <r>
    <x v="780"/>
    <x v="1"/>
    <x v="0"/>
    <x v="602"/>
    <x v="703"/>
    <x v="2"/>
    <x v="1"/>
    <x v="75"/>
    <x v="3"/>
    <x v="1"/>
    <x v="0"/>
    <x v="1"/>
    <x v="1"/>
    <x v="1"/>
    <x v="612"/>
    <x v="32"/>
    <x v="0"/>
    <x v="0"/>
    <x v="1"/>
    <x v="1"/>
  </r>
  <r>
    <x v="781"/>
    <x v="1"/>
    <x v="1"/>
    <x v="540"/>
    <x v="704"/>
    <x v="1"/>
    <x v="1"/>
    <x v="34"/>
    <x v="3"/>
    <x v="0"/>
    <x v="0"/>
    <x v="0"/>
    <x v="1"/>
    <x v="0"/>
    <x v="551"/>
    <x v="225"/>
    <x v="1"/>
    <x v="118"/>
    <x v="0"/>
    <x v="0"/>
  </r>
  <r>
    <x v="782"/>
    <x v="0"/>
    <x v="1"/>
    <x v="603"/>
    <x v="705"/>
    <x v="0"/>
    <x v="0"/>
    <x v="28"/>
    <x v="0"/>
    <x v="1"/>
    <x v="0"/>
    <x v="1"/>
    <x v="0"/>
    <x v="1"/>
    <x v="613"/>
    <x v="209"/>
    <x v="2"/>
    <x v="134"/>
    <x v="0"/>
    <x v="0"/>
  </r>
  <r>
    <x v="783"/>
    <x v="0"/>
    <x v="0"/>
    <x v="604"/>
    <x v="706"/>
    <x v="0"/>
    <x v="0"/>
    <x v="4"/>
    <x v="1"/>
    <x v="0"/>
    <x v="2"/>
    <x v="6"/>
    <x v="0"/>
    <x v="2"/>
    <x v="614"/>
    <x v="231"/>
    <x v="2"/>
    <x v="0"/>
    <x v="0"/>
    <x v="0"/>
  </r>
  <r>
    <x v="784"/>
    <x v="0"/>
    <x v="0"/>
    <x v="185"/>
    <x v="187"/>
    <x v="0"/>
    <x v="0"/>
    <x v="37"/>
    <x v="0"/>
    <x v="1"/>
    <x v="0"/>
    <x v="1"/>
    <x v="0"/>
    <x v="1"/>
    <x v="615"/>
    <x v="79"/>
    <x v="0"/>
    <x v="0"/>
    <x v="0"/>
    <x v="0"/>
  </r>
  <r>
    <x v="785"/>
    <x v="0"/>
    <x v="0"/>
    <x v="605"/>
    <x v="707"/>
    <x v="0"/>
    <x v="0"/>
    <x v="37"/>
    <x v="0"/>
    <x v="1"/>
    <x v="0"/>
    <x v="1"/>
    <x v="0"/>
    <x v="1"/>
    <x v="616"/>
    <x v="0"/>
    <x v="0"/>
    <x v="0"/>
    <x v="0"/>
    <x v="0"/>
  </r>
  <r>
    <x v="786"/>
    <x v="1"/>
    <x v="0"/>
    <x v="606"/>
    <x v="138"/>
    <x v="2"/>
    <x v="1"/>
    <x v="24"/>
    <x v="3"/>
    <x v="1"/>
    <x v="0"/>
    <x v="1"/>
    <x v="1"/>
    <x v="1"/>
    <x v="617"/>
    <x v="196"/>
    <x v="0"/>
    <x v="0"/>
    <x v="0"/>
    <x v="0"/>
  </r>
  <r>
    <x v="787"/>
    <x v="0"/>
    <x v="0"/>
    <x v="16"/>
    <x v="708"/>
    <x v="3"/>
    <x v="0"/>
    <x v="18"/>
    <x v="2"/>
    <x v="3"/>
    <x v="1"/>
    <x v="5"/>
    <x v="0"/>
    <x v="2"/>
    <x v="16"/>
    <x v="15"/>
    <x v="2"/>
    <x v="0"/>
    <x v="2"/>
    <x v="2"/>
  </r>
  <r>
    <x v="788"/>
    <x v="1"/>
    <x v="0"/>
    <x v="88"/>
    <x v="709"/>
    <x v="3"/>
    <x v="0"/>
    <x v="58"/>
    <x v="2"/>
    <x v="0"/>
    <x v="2"/>
    <x v="6"/>
    <x v="1"/>
    <x v="2"/>
    <x v="90"/>
    <x v="65"/>
    <x v="2"/>
    <x v="0"/>
    <x v="0"/>
    <x v="0"/>
  </r>
  <r>
    <x v="789"/>
    <x v="0"/>
    <x v="1"/>
    <x v="607"/>
    <x v="301"/>
    <x v="0"/>
    <x v="0"/>
    <x v="43"/>
    <x v="0"/>
    <x v="1"/>
    <x v="0"/>
    <x v="1"/>
    <x v="0"/>
    <x v="1"/>
    <x v="129"/>
    <x v="84"/>
    <x v="1"/>
    <x v="135"/>
    <x v="1"/>
    <x v="1"/>
  </r>
  <r>
    <x v="790"/>
    <x v="0"/>
    <x v="0"/>
    <x v="264"/>
    <x v="710"/>
    <x v="0"/>
    <x v="0"/>
    <x v="4"/>
    <x v="1"/>
    <x v="1"/>
    <x v="0"/>
    <x v="1"/>
    <x v="0"/>
    <x v="1"/>
    <x v="618"/>
    <x v="28"/>
    <x v="0"/>
    <x v="0"/>
    <x v="2"/>
    <x v="2"/>
  </r>
  <r>
    <x v="791"/>
    <x v="0"/>
    <x v="2"/>
    <x v="608"/>
    <x v="378"/>
    <x v="0"/>
    <x v="0"/>
    <x v="36"/>
    <x v="3"/>
    <x v="1"/>
    <x v="0"/>
    <x v="1"/>
    <x v="0"/>
    <x v="1"/>
    <x v="20"/>
    <x v="19"/>
    <x v="2"/>
    <x v="0"/>
    <x v="0"/>
    <x v="0"/>
  </r>
  <r>
    <x v="792"/>
    <x v="0"/>
    <x v="0"/>
    <x v="144"/>
    <x v="711"/>
    <x v="2"/>
    <x v="1"/>
    <x v="4"/>
    <x v="1"/>
    <x v="6"/>
    <x v="2"/>
    <x v="8"/>
    <x v="0"/>
    <x v="2"/>
    <x v="148"/>
    <x v="94"/>
    <x v="1"/>
    <x v="0"/>
    <x v="0"/>
    <x v="0"/>
  </r>
  <r>
    <x v="793"/>
    <x v="0"/>
    <x v="1"/>
    <x v="198"/>
    <x v="712"/>
    <x v="0"/>
    <x v="0"/>
    <x v="4"/>
    <x v="1"/>
    <x v="1"/>
    <x v="0"/>
    <x v="1"/>
    <x v="0"/>
    <x v="1"/>
    <x v="619"/>
    <x v="101"/>
    <x v="2"/>
    <x v="0"/>
    <x v="1"/>
    <x v="1"/>
  </r>
  <r>
    <x v="794"/>
    <x v="0"/>
    <x v="0"/>
    <x v="609"/>
    <x v="713"/>
    <x v="0"/>
    <x v="0"/>
    <x v="37"/>
    <x v="0"/>
    <x v="1"/>
    <x v="0"/>
    <x v="1"/>
    <x v="0"/>
    <x v="1"/>
    <x v="620"/>
    <x v="25"/>
    <x v="0"/>
    <x v="0"/>
    <x v="0"/>
    <x v="0"/>
  </r>
  <r>
    <x v="795"/>
    <x v="0"/>
    <x v="2"/>
    <x v="610"/>
    <x v="714"/>
    <x v="0"/>
    <x v="0"/>
    <x v="12"/>
    <x v="0"/>
    <x v="1"/>
    <x v="0"/>
    <x v="1"/>
    <x v="0"/>
    <x v="1"/>
    <x v="621"/>
    <x v="16"/>
    <x v="2"/>
    <x v="0"/>
    <x v="0"/>
    <x v="0"/>
  </r>
  <r>
    <x v="796"/>
    <x v="1"/>
    <x v="1"/>
    <x v="611"/>
    <x v="715"/>
    <x v="6"/>
    <x v="0"/>
    <x v="27"/>
    <x v="0"/>
    <x v="1"/>
    <x v="0"/>
    <x v="1"/>
    <x v="1"/>
    <x v="1"/>
    <x v="622"/>
    <x v="232"/>
    <x v="2"/>
    <x v="136"/>
    <x v="0"/>
    <x v="0"/>
  </r>
  <r>
    <x v="797"/>
    <x v="1"/>
    <x v="0"/>
    <x v="612"/>
    <x v="716"/>
    <x v="1"/>
    <x v="1"/>
    <x v="14"/>
    <x v="0"/>
    <x v="1"/>
    <x v="0"/>
    <x v="1"/>
    <x v="1"/>
    <x v="1"/>
    <x v="623"/>
    <x v="233"/>
    <x v="0"/>
    <x v="0"/>
    <x v="0"/>
    <x v="0"/>
  </r>
  <r>
    <x v="798"/>
    <x v="0"/>
    <x v="0"/>
    <x v="613"/>
    <x v="717"/>
    <x v="0"/>
    <x v="0"/>
    <x v="39"/>
    <x v="0"/>
    <x v="1"/>
    <x v="0"/>
    <x v="1"/>
    <x v="0"/>
    <x v="1"/>
    <x v="624"/>
    <x v="32"/>
    <x v="0"/>
    <x v="0"/>
    <x v="1"/>
    <x v="1"/>
  </r>
  <r>
    <x v="799"/>
    <x v="0"/>
    <x v="0"/>
    <x v="347"/>
    <x v="718"/>
    <x v="1"/>
    <x v="1"/>
    <x v="39"/>
    <x v="0"/>
    <x v="0"/>
    <x v="1"/>
    <x v="3"/>
    <x v="0"/>
    <x v="0"/>
    <x v="357"/>
    <x v="72"/>
    <x v="2"/>
    <x v="0"/>
    <x v="0"/>
    <x v="0"/>
  </r>
  <r>
    <x v="800"/>
    <x v="0"/>
    <x v="2"/>
    <x v="614"/>
    <x v="123"/>
    <x v="0"/>
    <x v="0"/>
    <x v="15"/>
    <x v="0"/>
    <x v="1"/>
    <x v="0"/>
    <x v="1"/>
    <x v="0"/>
    <x v="1"/>
    <x v="567"/>
    <x v="16"/>
    <x v="2"/>
    <x v="0"/>
    <x v="0"/>
    <x v="0"/>
  </r>
  <r>
    <x v="801"/>
    <x v="1"/>
    <x v="2"/>
    <x v="208"/>
    <x v="719"/>
    <x v="1"/>
    <x v="1"/>
    <x v="14"/>
    <x v="0"/>
    <x v="0"/>
    <x v="1"/>
    <x v="3"/>
    <x v="1"/>
    <x v="0"/>
    <x v="212"/>
    <x v="121"/>
    <x v="2"/>
    <x v="0"/>
    <x v="0"/>
    <x v="0"/>
  </r>
  <r>
    <x v="802"/>
    <x v="1"/>
    <x v="1"/>
    <x v="218"/>
    <x v="720"/>
    <x v="3"/>
    <x v="0"/>
    <x v="32"/>
    <x v="2"/>
    <x v="0"/>
    <x v="2"/>
    <x v="6"/>
    <x v="1"/>
    <x v="2"/>
    <x v="334"/>
    <x v="168"/>
    <x v="1"/>
    <x v="73"/>
    <x v="0"/>
    <x v="0"/>
  </r>
  <r>
    <x v="803"/>
    <x v="1"/>
    <x v="0"/>
    <x v="615"/>
    <x v="721"/>
    <x v="3"/>
    <x v="0"/>
    <x v="86"/>
    <x v="2"/>
    <x v="1"/>
    <x v="1"/>
    <x v="0"/>
    <x v="1"/>
    <x v="0"/>
    <x v="625"/>
    <x v="234"/>
    <x v="0"/>
    <x v="0"/>
    <x v="1"/>
    <x v="1"/>
  </r>
  <r>
    <x v="804"/>
    <x v="1"/>
    <x v="0"/>
    <x v="616"/>
    <x v="722"/>
    <x v="0"/>
    <x v="0"/>
    <x v="7"/>
    <x v="0"/>
    <x v="1"/>
    <x v="0"/>
    <x v="1"/>
    <x v="1"/>
    <x v="1"/>
    <x v="626"/>
    <x v="78"/>
    <x v="0"/>
    <x v="0"/>
    <x v="0"/>
    <x v="0"/>
  </r>
  <r>
    <x v="805"/>
    <x v="0"/>
    <x v="0"/>
    <x v="98"/>
    <x v="723"/>
    <x v="0"/>
    <x v="0"/>
    <x v="14"/>
    <x v="0"/>
    <x v="1"/>
    <x v="0"/>
    <x v="1"/>
    <x v="0"/>
    <x v="1"/>
    <x v="627"/>
    <x v="71"/>
    <x v="0"/>
    <x v="0"/>
    <x v="0"/>
    <x v="0"/>
  </r>
  <r>
    <x v="806"/>
    <x v="0"/>
    <x v="1"/>
    <x v="240"/>
    <x v="724"/>
    <x v="0"/>
    <x v="0"/>
    <x v="12"/>
    <x v="0"/>
    <x v="1"/>
    <x v="0"/>
    <x v="1"/>
    <x v="0"/>
    <x v="1"/>
    <x v="628"/>
    <x v="104"/>
    <x v="0"/>
    <x v="137"/>
    <x v="0"/>
    <x v="0"/>
  </r>
  <r>
    <x v="807"/>
    <x v="0"/>
    <x v="0"/>
    <x v="617"/>
    <x v="725"/>
    <x v="2"/>
    <x v="1"/>
    <x v="24"/>
    <x v="3"/>
    <x v="1"/>
    <x v="0"/>
    <x v="1"/>
    <x v="0"/>
    <x v="1"/>
    <x v="629"/>
    <x v="71"/>
    <x v="0"/>
    <x v="0"/>
    <x v="0"/>
    <x v="0"/>
  </r>
  <r>
    <x v="808"/>
    <x v="0"/>
    <x v="2"/>
    <x v="33"/>
    <x v="726"/>
    <x v="0"/>
    <x v="0"/>
    <x v="12"/>
    <x v="0"/>
    <x v="1"/>
    <x v="0"/>
    <x v="1"/>
    <x v="0"/>
    <x v="1"/>
    <x v="630"/>
    <x v="16"/>
    <x v="2"/>
    <x v="0"/>
    <x v="0"/>
    <x v="0"/>
  </r>
  <r>
    <x v="809"/>
    <x v="1"/>
    <x v="1"/>
    <x v="561"/>
    <x v="727"/>
    <x v="1"/>
    <x v="1"/>
    <x v="40"/>
    <x v="0"/>
    <x v="0"/>
    <x v="0"/>
    <x v="0"/>
    <x v="1"/>
    <x v="0"/>
    <x v="575"/>
    <x v="3"/>
    <x v="1"/>
    <x v="124"/>
    <x v="0"/>
    <x v="0"/>
  </r>
  <r>
    <x v="810"/>
    <x v="0"/>
    <x v="0"/>
    <x v="618"/>
    <x v="187"/>
    <x v="0"/>
    <x v="0"/>
    <x v="2"/>
    <x v="0"/>
    <x v="1"/>
    <x v="0"/>
    <x v="1"/>
    <x v="0"/>
    <x v="1"/>
    <x v="631"/>
    <x v="235"/>
    <x v="0"/>
    <x v="0"/>
    <x v="0"/>
    <x v="0"/>
  </r>
  <r>
    <x v="811"/>
    <x v="0"/>
    <x v="0"/>
    <x v="619"/>
    <x v="5"/>
    <x v="0"/>
    <x v="0"/>
    <x v="12"/>
    <x v="0"/>
    <x v="1"/>
    <x v="0"/>
    <x v="1"/>
    <x v="0"/>
    <x v="1"/>
    <x v="467"/>
    <x v="72"/>
    <x v="2"/>
    <x v="0"/>
    <x v="0"/>
    <x v="0"/>
  </r>
  <r>
    <x v="812"/>
    <x v="0"/>
    <x v="2"/>
    <x v="620"/>
    <x v="728"/>
    <x v="0"/>
    <x v="0"/>
    <x v="3"/>
    <x v="0"/>
    <x v="1"/>
    <x v="0"/>
    <x v="1"/>
    <x v="0"/>
    <x v="1"/>
    <x v="632"/>
    <x v="29"/>
    <x v="2"/>
    <x v="0"/>
    <x v="0"/>
    <x v="0"/>
  </r>
  <r>
    <x v="813"/>
    <x v="0"/>
    <x v="0"/>
    <x v="13"/>
    <x v="729"/>
    <x v="2"/>
    <x v="1"/>
    <x v="83"/>
    <x v="2"/>
    <x v="3"/>
    <x v="2"/>
    <x v="4"/>
    <x v="0"/>
    <x v="2"/>
    <x v="13"/>
    <x v="12"/>
    <x v="2"/>
    <x v="0"/>
    <x v="0"/>
    <x v="0"/>
  </r>
  <r>
    <x v="814"/>
    <x v="0"/>
    <x v="0"/>
    <x v="621"/>
    <x v="730"/>
    <x v="0"/>
    <x v="0"/>
    <x v="85"/>
    <x v="0"/>
    <x v="1"/>
    <x v="0"/>
    <x v="1"/>
    <x v="0"/>
    <x v="1"/>
    <x v="633"/>
    <x v="4"/>
    <x v="0"/>
    <x v="0"/>
    <x v="0"/>
    <x v="0"/>
  </r>
  <r>
    <x v="815"/>
    <x v="0"/>
    <x v="1"/>
    <x v="622"/>
    <x v="714"/>
    <x v="0"/>
    <x v="0"/>
    <x v="4"/>
    <x v="1"/>
    <x v="1"/>
    <x v="0"/>
    <x v="1"/>
    <x v="0"/>
    <x v="1"/>
    <x v="634"/>
    <x v="104"/>
    <x v="0"/>
    <x v="138"/>
    <x v="0"/>
    <x v="0"/>
  </r>
  <r>
    <x v="816"/>
    <x v="0"/>
    <x v="0"/>
    <x v="623"/>
    <x v="731"/>
    <x v="2"/>
    <x v="1"/>
    <x v="41"/>
    <x v="0"/>
    <x v="1"/>
    <x v="0"/>
    <x v="1"/>
    <x v="0"/>
    <x v="1"/>
    <x v="635"/>
    <x v="2"/>
    <x v="0"/>
    <x v="0"/>
    <x v="0"/>
    <x v="0"/>
  </r>
  <r>
    <x v="817"/>
    <x v="0"/>
    <x v="2"/>
    <x v="624"/>
    <x v="732"/>
    <x v="0"/>
    <x v="0"/>
    <x v="14"/>
    <x v="0"/>
    <x v="0"/>
    <x v="1"/>
    <x v="3"/>
    <x v="0"/>
    <x v="0"/>
    <x v="636"/>
    <x v="236"/>
    <x v="2"/>
    <x v="0"/>
    <x v="1"/>
    <x v="1"/>
  </r>
  <r>
    <x v="818"/>
    <x v="0"/>
    <x v="0"/>
    <x v="625"/>
    <x v="733"/>
    <x v="0"/>
    <x v="0"/>
    <x v="71"/>
    <x v="0"/>
    <x v="1"/>
    <x v="0"/>
    <x v="1"/>
    <x v="0"/>
    <x v="1"/>
    <x v="637"/>
    <x v="237"/>
    <x v="0"/>
    <x v="0"/>
    <x v="0"/>
    <x v="0"/>
  </r>
  <r>
    <x v="819"/>
    <x v="0"/>
    <x v="0"/>
    <x v="61"/>
    <x v="734"/>
    <x v="3"/>
    <x v="0"/>
    <x v="73"/>
    <x v="2"/>
    <x v="2"/>
    <x v="2"/>
    <x v="5"/>
    <x v="0"/>
    <x v="2"/>
    <x v="62"/>
    <x v="48"/>
    <x v="2"/>
    <x v="0"/>
    <x v="0"/>
    <x v="0"/>
  </r>
  <r>
    <x v="820"/>
    <x v="1"/>
    <x v="1"/>
    <x v="269"/>
    <x v="735"/>
    <x v="1"/>
    <x v="1"/>
    <x v="67"/>
    <x v="0"/>
    <x v="0"/>
    <x v="1"/>
    <x v="3"/>
    <x v="1"/>
    <x v="0"/>
    <x v="435"/>
    <x v="198"/>
    <x v="1"/>
    <x v="139"/>
    <x v="0"/>
    <x v="0"/>
  </r>
  <r>
    <x v="821"/>
    <x v="1"/>
    <x v="0"/>
    <x v="626"/>
    <x v="736"/>
    <x v="0"/>
    <x v="0"/>
    <x v="7"/>
    <x v="0"/>
    <x v="1"/>
    <x v="0"/>
    <x v="1"/>
    <x v="1"/>
    <x v="1"/>
    <x v="638"/>
    <x v="51"/>
    <x v="0"/>
    <x v="0"/>
    <x v="0"/>
    <x v="0"/>
  </r>
  <r>
    <x v="822"/>
    <x v="0"/>
    <x v="1"/>
    <x v="627"/>
    <x v="737"/>
    <x v="16"/>
    <x v="2"/>
    <x v="1"/>
    <x v="0"/>
    <x v="1"/>
    <x v="0"/>
    <x v="1"/>
    <x v="0"/>
    <x v="1"/>
    <x v="639"/>
    <x v="104"/>
    <x v="0"/>
    <x v="0"/>
    <x v="0"/>
    <x v="0"/>
  </r>
  <r>
    <x v="823"/>
    <x v="1"/>
    <x v="0"/>
    <x v="580"/>
    <x v="738"/>
    <x v="1"/>
    <x v="1"/>
    <x v="7"/>
    <x v="0"/>
    <x v="1"/>
    <x v="1"/>
    <x v="0"/>
    <x v="1"/>
    <x v="0"/>
    <x v="592"/>
    <x v="57"/>
    <x v="2"/>
    <x v="129"/>
    <x v="0"/>
    <x v="0"/>
  </r>
  <r>
    <x v="824"/>
    <x v="0"/>
    <x v="0"/>
    <x v="48"/>
    <x v="739"/>
    <x v="3"/>
    <x v="0"/>
    <x v="6"/>
    <x v="2"/>
    <x v="3"/>
    <x v="1"/>
    <x v="5"/>
    <x v="0"/>
    <x v="2"/>
    <x v="49"/>
    <x v="40"/>
    <x v="2"/>
    <x v="0"/>
    <x v="0"/>
    <x v="0"/>
  </r>
  <r>
    <x v="825"/>
    <x v="0"/>
    <x v="0"/>
    <x v="355"/>
    <x v="184"/>
    <x v="0"/>
    <x v="0"/>
    <x v="4"/>
    <x v="1"/>
    <x v="1"/>
    <x v="0"/>
    <x v="1"/>
    <x v="0"/>
    <x v="1"/>
    <x v="640"/>
    <x v="238"/>
    <x v="0"/>
    <x v="0"/>
    <x v="2"/>
    <x v="2"/>
  </r>
  <r>
    <x v="826"/>
    <x v="0"/>
    <x v="0"/>
    <x v="542"/>
    <x v="740"/>
    <x v="0"/>
    <x v="0"/>
    <x v="4"/>
    <x v="1"/>
    <x v="1"/>
    <x v="0"/>
    <x v="1"/>
    <x v="0"/>
    <x v="1"/>
    <x v="72"/>
    <x v="54"/>
    <x v="1"/>
    <x v="0"/>
    <x v="0"/>
    <x v="0"/>
  </r>
  <r>
    <x v="827"/>
    <x v="1"/>
    <x v="2"/>
    <x v="624"/>
    <x v="741"/>
    <x v="3"/>
    <x v="0"/>
    <x v="58"/>
    <x v="2"/>
    <x v="1"/>
    <x v="2"/>
    <x v="3"/>
    <x v="1"/>
    <x v="0"/>
    <x v="636"/>
    <x v="236"/>
    <x v="2"/>
    <x v="0"/>
    <x v="1"/>
    <x v="1"/>
  </r>
  <r>
    <x v="828"/>
    <x v="1"/>
    <x v="0"/>
    <x v="628"/>
    <x v="742"/>
    <x v="0"/>
    <x v="0"/>
    <x v="4"/>
    <x v="1"/>
    <x v="1"/>
    <x v="0"/>
    <x v="1"/>
    <x v="1"/>
    <x v="1"/>
    <x v="641"/>
    <x v="28"/>
    <x v="0"/>
    <x v="0"/>
    <x v="2"/>
    <x v="2"/>
  </r>
  <r>
    <x v="829"/>
    <x v="1"/>
    <x v="1"/>
    <x v="629"/>
    <x v="743"/>
    <x v="1"/>
    <x v="1"/>
    <x v="65"/>
    <x v="4"/>
    <x v="1"/>
    <x v="0"/>
    <x v="1"/>
    <x v="1"/>
    <x v="1"/>
    <x v="60"/>
    <x v="46"/>
    <x v="1"/>
    <x v="13"/>
    <x v="3"/>
    <x v="3"/>
  </r>
  <r>
    <x v="830"/>
    <x v="1"/>
    <x v="0"/>
    <x v="492"/>
    <x v="744"/>
    <x v="1"/>
    <x v="1"/>
    <x v="16"/>
    <x v="3"/>
    <x v="0"/>
    <x v="0"/>
    <x v="0"/>
    <x v="1"/>
    <x v="0"/>
    <x v="505"/>
    <x v="53"/>
    <x v="2"/>
    <x v="0"/>
    <x v="1"/>
    <x v="1"/>
  </r>
  <r>
    <x v="831"/>
    <x v="1"/>
    <x v="2"/>
    <x v="338"/>
    <x v="745"/>
    <x v="3"/>
    <x v="0"/>
    <x v="38"/>
    <x v="2"/>
    <x v="0"/>
    <x v="1"/>
    <x v="3"/>
    <x v="1"/>
    <x v="0"/>
    <x v="348"/>
    <x v="170"/>
    <x v="2"/>
    <x v="0"/>
    <x v="0"/>
    <x v="0"/>
  </r>
  <r>
    <x v="832"/>
    <x v="0"/>
    <x v="0"/>
    <x v="543"/>
    <x v="746"/>
    <x v="0"/>
    <x v="0"/>
    <x v="4"/>
    <x v="1"/>
    <x v="1"/>
    <x v="0"/>
    <x v="1"/>
    <x v="0"/>
    <x v="1"/>
    <x v="642"/>
    <x v="32"/>
    <x v="0"/>
    <x v="0"/>
    <x v="1"/>
    <x v="1"/>
  </r>
  <r>
    <x v="833"/>
    <x v="0"/>
    <x v="0"/>
    <x v="630"/>
    <x v="732"/>
    <x v="0"/>
    <x v="0"/>
    <x v="41"/>
    <x v="0"/>
    <x v="1"/>
    <x v="0"/>
    <x v="1"/>
    <x v="0"/>
    <x v="1"/>
    <x v="643"/>
    <x v="13"/>
    <x v="0"/>
    <x v="0"/>
    <x v="0"/>
    <x v="0"/>
  </r>
  <r>
    <x v="834"/>
    <x v="0"/>
    <x v="0"/>
    <x v="631"/>
    <x v="747"/>
    <x v="0"/>
    <x v="0"/>
    <x v="24"/>
    <x v="3"/>
    <x v="1"/>
    <x v="0"/>
    <x v="1"/>
    <x v="0"/>
    <x v="1"/>
    <x v="644"/>
    <x v="239"/>
    <x v="0"/>
    <x v="0"/>
    <x v="0"/>
    <x v="0"/>
  </r>
  <r>
    <x v="835"/>
    <x v="1"/>
    <x v="1"/>
    <x v="632"/>
    <x v="748"/>
    <x v="2"/>
    <x v="1"/>
    <x v="12"/>
    <x v="0"/>
    <x v="0"/>
    <x v="1"/>
    <x v="3"/>
    <x v="1"/>
    <x v="0"/>
    <x v="645"/>
    <x v="147"/>
    <x v="1"/>
    <x v="140"/>
    <x v="1"/>
    <x v="1"/>
  </r>
  <r>
    <x v="836"/>
    <x v="0"/>
    <x v="0"/>
    <x v="633"/>
    <x v="749"/>
    <x v="0"/>
    <x v="0"/>
    <x v="23"/>
    <x v="0"/>
    <x v="1"/>
    <x v="0"/>
    <x v="1"/>
    <x v="0"/>
    <x v="1"/>
    <x v="646"/>
    <x v="51"/>
    <x v="0"/>
    <x v="0"/>
    <x v="0"/>
    <x v="0"/>
  </r>
  <r>
    <x v="837"/>
    <x v="0"/>
    <x v="0"/>
    <x v="634"/>
    <x v="433"/>
    <x v="0"/>
    <x v="0"/>
    <x v="4"/>
    <x v="1"/>
    <x v="1"/>
    <x v="0"/>
    <x v="1"/>
    <x v="0"/>
    <x v="1"/>
    <x v="647"/>
    <x v="4"/>
    <x v="0"/>
    <x v="0"/>
    <x v="0"/>
    <x v="0"/>
  </r>
  <r>
    <x v="838"/>
    <x v="1"/>
    <x v="0"/>
    <x v="635"/>
    <x v="750"/>
    <x v="0"/>
    <x v="0"/>
    <x v="35"/>
    <x v="0"/>
    <x v="1"/>
    <x v="0"/>
    <x v="1"/>
    <x v="1"/>
    <x v="1"/>
    <x v="72"/>
    <x v="54"/>
    <x v="1"/>
    <x v="0"/>
    <x v="0"/>
    <x v="0"/>
  </r>
  <r>
    <x v="839"/>
    <x v="1"/>
    <x v="1"/>
    <x v="636"/>
    <x v="751"/>
    <x v="0"/>
    <x v="0"/>
    <x v="4"/>
    <x v="1"/>
    <x v="1"/>
    <x v="0"/>
    <x v="1"/>
    <x v="1"/>
    <x v="1"/>
    <x v="648"/>
    <x v="132"/>
    <x v="2"/>
    <x v="141"/>
    <x v="1"/>
    <x v="1"/>
  </r>
  <r>
    <x v="840"/>
    <x v="0"/>
    <x v="0"/>
    <x v="637"/>
    <x v="752"/>
    <x v="0"/>
    <x v="0"/>
    <x v="11"/>
    <x v="0"/>
    <x v="1"/>
    <x v="0"/>
    <x v="1"/>
    <x v="0"/>
    <x v="1"/>
    <x v="649"/>
    <x v="2"/>
    <x v="0"/>
    <x v="0"/>
    <x v="0"/>
    <x v="0"/>
  </r>
  <r>
    <x v="841"/>
    <x v="0"/>
    <x v="2"/>
    <x v="638"/>
    <x v="753"/>
    <x v="0"/>
    <x v="0"/>
    <x v="36"/>
    <x v="3"/>
    <x v="1"/>
    <x v="0"/>
    <x v="1"/>
    <x v="0"/>
    <x v="1"/>
    <x v="606"/>
    <x v="29"/>
    <x v="2"/>
    <x v="0"/>
    <x v="0"/>
    <x v="0"/>
  </r>
  <r>
    <x v="842"/>
    <x v="1"/>
    <x v="1"/>
    <x v="639"/>
    <x v="754"/>
    <x v="2"/>
    <x v="1"/>
    <x v="39"/>
    <x v="0"/>
    <x v="1"/>
    <x v="0"/>
    <x v="1"/>
    <x v="1"/>
    <x v="1"/>
    <x v="241"/>
    <x v="113"/>
    <x v="2"/>
    <x v="0"/>
    <x v="1"/>
    <x v="1"/>
  </r>
  <r>
    <x v="843"/>
    <x v="0"/>
    <x v="0"/>
    <x v="640"/>
    <x v="755"/>
    <x v="0"/>
    <x v="0"/>
    <x v="87"/>
    <x v="0"/>
    <x v="1"/>
    <x v="0"/>
    <x v="1"/>
    <x v="0"/>
    <x v="1"/>
    <x v="650"/>
    <x v="240"/>
    <x v="0"/>
    <x v="0"/>
    <x v="1"/>
    <x v="1"/>
  </r>
  <r>
    <x v="844"/>
    <x v="0"/>
    <x v="0"/>
    <x v="641"/>
    <x v="756"/>
    <x v="0"/>
    <x v="0"/>
    <x v="34"/>
    <x v="3"/>
    <x v="1"/>
    <x v="0"/>
    <x v="1"/>
    <x v="0"/>
    <x v="1"/>
    <x v="651"/>
    <x v="51"/>
    <x v="0"/>
    <x v="0"/>
    <x v="0"/>
    <x v="0"/>
  </r>
  <r>
    <x v="845"/>
    <x v="0"/>
    <x v="0"/>
    <x v="642"/>
    <x v="757"/>
    <x v="0"/>
    <x v="0"/>
    <x v="22"/>
    <x v="0"/>
    <x v="1"/>
    <x v="0"/>
    <x v="1"/>
    <x v="0"/>
    <x v="1"/>
    <x v="652"/>
    <x v="120"/>
    <x v="0"/>
    <x v="0"/>
    <x v="0"/>
    <x v="0"/>
  </r>
  <r>
    <x v="846"/>
    <x v="0"/>
    <x v="0"/>
    <x v="144"/>
    <x v="758"/>
    <x v="0"/>
    <x v="0"/>
    <x v="4"/>
    <x v="1"/>
    <x v="6"/>
    <x v="2"/>
    <x v="8"/>
    <x v="0"/>
    <x v="2"/>
    <x v="148"/>
    <x v="94"/>
    <x v="1"/>
    <x v="0"/>
    <x v="0"/>
    <x v="0"/>
  </r>
  <r>
    <x v="847"/>
    <x v="0"/>
    <x v="0"/>
    <x v="643"/>
    <x v="759"/>
    <x v="0"/>
    <x v="0"/>
    <x v="3"/>
    <x v="0"/>
    <x v="1"/>
    <x v="0"/>
    <x v="1"/>
    <x v="0"/>
    <x v="1"/>
    <x v="653"/>
    <x v="25"/>
    <x v="0"/>
    <x v="0"/>
    <x v="1"/>
    <x v="1"/>
  </r>
  <r>
    <x v="848"/>
    <x v="0"/>
    <x v="2"/>
    <x v="50"/>
    <x v="184"/>
    <x v="5"/>
    <x v="0"/>
    <x v="17"/>
    <x v="0"/>
    <x v="1"/>
    <x v="1"/>
    <x v="0"/>
    <x v="0"/>
    <x v="0"/>
    <x v="491"/>
    <x v="213"/>
    <x v="2"/>
    <x v="0"/>
    <x v="0"/>
    <x v="0"/>
  </r>
  <r>
    <x v="849"/>
    <x v="1"/>
    <x v="1"/>
    <x v="373"/>
    <x v="760"/>
    <x v="1"/>
    <x v="1"/>
    <x v="4"/>
    <x v="1"/>
    <x v="0"/>
    <x v="0"/>
    <x v="0"/>
    <x v="1"/>
    <x v="0"/>
    <x v="383"/>
    <x v="180"/>
    <x v="1"/>
    <x v="79"/>
    <x v="1"/>
    <x v="1"/>
  </r>
  <r>
    <x v="850"/>
    <x v="0"/>
    <x v="0"/>
    <x v="13"/>
    <x v="761"/>
    <x v="3"/>
    <x v="0"/>
    <x v="9"/>
    <x v="2"/>
    <x v="3"/>
    <x v="2"/>
    <x v="4"/>
    <x v="0"/>
    <x v="2"/>
    <x v="13"/>
    <x v="12"/>
    <x v="2"/>
    <x v="0"/>
    <x v="0"/>
    <x v="0"/>
  </r>
  <r>
    <x v="851"/>
    <x v="0"/>
    <x v="0"/>
    <x v="409"/>
    <x v="126"/>
    <x v="0"/>
    <x v="0"/>
    <x v="88"/>
    <x v="4"/>
    <x v="1"/>
    <x v="0"/>
    <x v="1"/>
    <x v="0"/>
    <x v="1"/>
    <x v="654"/>
    <x v="71"/>
    <x v="0"/>
    <x v="0"/>
    <x v="0"/>
    <x v="0"/>
  </r>
  <r>
    <x v="852"/>
    <x v="0"/>
    <x v="0"/>
    <x v="128"/>
    <x v="762"/>
    <x v="2"/>
    <x v="1"/>
    <x v="52"/>
    <x v="2"/>
    <x v="0"/>
    <x v="1"/>
    <x v="3"/>
    <x v="0"/>
    <x v="0"/>
    <x v="130"/>
    <x v="49"/>
    <x v="2"/>
    <x v="0"/>
    <x v="1"/>
    <x v="1"/>
  </r>
  <r>
    <x v="853"/>
    <x v="1"/>
    <x v="1"/>
    <x v="644"/>
    <x v="763"/>
    <x v="2"/>
    <x v="1"/>
    <x v="36"/>
    <x v="3"/>
    <x v="1"/>
    <x v="1"/>
    <x v="0"/>
    <x v="1"/>
    <x v="0"/>
    <x v="655"/>
    <x v="241"/>
    <x v="2"/>
    <x v="142"/>
    <x v="0"/>
    <x v="0"/>
  </r>
  <r>
    <x v="854"/>
    <x v="0"/>
    <x v="2"/>
    <x v="218"/>
    <x v="764"/>
    <x v="1"/>
    <x v="1"/>
    <x v="57"/>
    <x v="0"/>
    <x v="0"/>
    <x v="0"/>
    <x v="0"/>
    <x v="0"/>
    <x v="0"/>
    <x v="223"/>
    <x v="19"/>
    <x v="2"/>
    <x v="0"/>
    <x v="0"/>
    <x v="0"/>
  </r>
  <r>
    <x v="855"/>
    <x v="1"/>
    <x v="0"/>
    <x v="645"/>
    <x v="765"/>
    <x v="1"/>
    <x v="1"/>
    <x v="24"/>
    <x v="3"/>
    <x v="1"/>
    <x v="1"/>
    <x v="0"/>
    <x v="1"/>
    <x v="0"/>
    <x v="656"/>
    <x v="118"/>
    <x v="0"/>
    <x v="0"/>
    <x v="0"/>
    <x v="0"/>
  </r>
  <r>
    <x v="856"/>
    <x v="1"/>
    <x v="1"/>
    <x v="276"/>
    <x v="766"/>
    <x v="1"/>
    <x v="1"/>
    <x v="33"/>
    <x v="0"/>
    <x v="0"/>
    <x v="1"/>
    <x v="3"/>
    <x v="1"/>
    <x v="0"/>
    <x v="283"/>
    <x v="150"/>
    <x v="1"/>
    <x v="0"/>
    <x v="0"/>
    <x v="0"/>
  </r>
  <r>
    <x v="857"/>
    <x v="1"/>
    <x v="1"/>
    <x v="417"/>
    <x v="767"/>
    <x v="0"/>
    <x v="0"/>
    <x v="54"/>
    <x v="0"/>
    <x v="1"/>
    <x v="0"/>
    <x v="1"/>
    <x v="1"/>
    <x v="1"/>
    <x v="657"/>
    <x v="11"/>
    <x v="2"/>
    <x v="143"/>
    <x v="0"/>
    <x v="0"/>
  </r>
  <r>
    <x v="858"/>
    <x v="1"/>
    <x v="0"/>
    <x v="369"/>
    <x v="768"/>
    <x v="1"/>
    <x v="1"/>
    <x v="42"/>
    <x v="0"/>
    <x v="1"/>
    <x v="4"/>
    <x v="6"/>
    <x v="1"/>
    <x v="2"/>
    <x v="379"/>
    <x v="178"/>
    <x v="2"/>
    <x v="0"/>
    <x v="1"/>
    <x v="1"/>
  </r>
  <r>
    <x v="859"/>
    <x v="0"/>
    <x v="0"/>
    <x v="646"/>
    <x v="769"/>
    <x v="0"/>
    <x v="0"/>
    <x v="4"/>
    <x v="1"/>
    <x v="1"/>
    <x v="0"/>
    <x v="1"/>
    <x v="0"/>
    <x v="1"/>
    <x v="658"/>
    <x v="32"/>
    <x v="0"/>
    <x v="0"/>
    <x v="1"/>
    <x v="1"/>
  </r>
  <r>
    <x v="860"/>
    <x v="0"/>
    <x v="0"/>
    <x v="494"/>
    <x v="770"/>
    <x v="0"/>
    <x v="0"/>
    <x v="66"/>
    <x v="0"/>
    <x v="4"/>
    <x v="0"/>
    <x v="3"/>
    <x v="0"/>
    <x v="0"/>
    <x v="659"/>
    <x v="242"/>
    <x v="2"/>
    <x v="0"/>
    <x v="0"/>
    <x v="0"/>
  </r>
  <r>
    <x v="861"/>
    <x v="0"/>
    <x v="2"/>
    <x v="647"/>
    <x v="771"/>
    <x v="0"/>
    <x v="0"/>
    <x v="23"/>
    <x v="0"/>
    <x v="0"/>
    <x v="0"/>
    <x v="0"/>
    <x v="0"/>
    <x v="0"/>
    <x v="660"/>
    <x v="86"/>
    <x v="2"/>
    <x v="0"/>
    <x v="0"/>
    <x v="0"/>
  </r>
  <r>
    <x v="862"/>
    <x v="1"/>
    <x v="1"/>
    <x v="648"/>
    <x v="772"/>
    <x v="1"/>
    <x v="1"/>
    <x v="76"/>
    <x v="0"/>
    <x v="1"/>
    <x v="0"/>
    <x v="1"/>
    <x v="1"/>
    <x v="1"/>
    <x v="661"/>
    <x v="232"/>
    <x v="2"/>
    <x v="136"/>
    <x v="0"/>
    <x v="0"/>
  </r>
  <r>
    <x v="863"/>
    <x v="0"/>
    <x v="0"/>
    <x v="144"/>
    <x v="773"/>
    <x v="2"/>
    <x v="1"/>
    <x v="4"/>
    <x v="1"/>
    <x v="6"/>
    <x v="2"/>
    <x v="8"/>
    <x v="0"/>
    <x v="2"/>
    <x v="148"/>
    <x v="94"/>
    <x v="1"/>
    <x v="0"/>
    <x v="0"/>
    <x v="0"/>
  </r>
  <r>
    <x v="864"/>
    <x v="0"/>
    <x v="2"/>
    <x v="649"/>
    <x v="774"/>
    <x v="0"/>
    <x v="0"/>
    <x v="42"/>
    <x v="0"/>
    <x v="1"/>
    <x v="0"/>
    <x v="1"/>
    <x v="0"/>
    <x v="1"/>
    <x v="662"/>
    <x v="16"/>
    <x v="2"/>
    <x v="0"/>
    <x v="0"/>
    <x v="0"/>
  </r>
  <r>
    <x v="865"/>
    <x v="1"/>
    <x v="2"/>
    <x v="650"/>
    <x v="775"/>
    <x v="1"/>
    <x v="1"/>
    <x v="22"/>
    <x v="0"/>
    <x v="1"/>
    <x v="0"/>
    <x v="1"/>
    <x v="1"/>
    <x v="1"/>
    <x v="663"/>
    <x v="16"/>
    <x v="2"/>
    <x v="0"/>
    <x v="0"/>
    <x v="0"/>
  </r>
  <r>
    <x v="866"/>
    <x v="1"/>
    <x v="2"/>
    <x v="651"/>
    <x v="776"/>
    <x v="2"/>
    <x v="1"/>
    <x v="7"/>
    <x v="0"/>
    <x v="0"/>
    <x v="0"/>
    <x v="0"/>
    <x v="1"/>
    <x v="0"/>
    <x v="664"/>
    <x v="243"/>
    <x v="2"/>
    <x v="0"/>
    <x v="1"/>
    <x v="1"/>
  </r>
  <r>
    <x v="867"/>
    <x v="0"/>
    <x v="1"/>
    <x v="652"/>
    <x v="777"/>
    <x v="0"/>
    <x v="0"/>
    <x v="14"/>
    <x v="0"/>
    <x v="1"/>
    <x v="0"/>
    <x v="1"/>
    <x v="0"/>
    <x v="1"/>
    <x v="665"/>
    <x v="244"/>
    <x v="1"/>
    <x v="144"/>
    <x v="0"/>
    <x v="0"/>
  </r>
  <r>
    <x v="868"/>
    <x v="0"/>
    <x v="0"/>
    <x v="653"/>
    <x v="778"/>
    <x v="0"/>
    <x v="0"/>
    <x v="4"/>
    <x v="1"/>
    <x v="1"/>
    <x v="0"/>
    <x v="1"/>
    <x v="0"/>
    <x v="1"/>
    <x v="666"/>
    <x v="59"/>
    <x v="0"/>
    <x v="0"/>
    <x v="0"/>
    <x v="0"/>
  </r>
  <r>
    <x v="869"/>
    <x v="1"/>
    <x v="0"/>
    <x v="8"/>
    <x v="779"/>
    <x v="3"/>
    <x v="0"/>
    <x v="9"/>
    <x v="2"/>
    <x v="0"/>
    <x v="1"/>
    <x v="3"/>
    <x v="1"/>
    <x v="0"/>
    <x v="8"/>
    <x v="8"/>
    <x v="2"/>
    <x v="0"/>
    <x v="0"/>
    <x v="0"/>
  </r>
  <r>
    <x v="870"/>
    <x v="0"/>
    <x v="0"/>
    <x v="654"/>
    <x v="780"/>
    <x v="0"/>
    <x v="0"/>
    <x v="2"/>
    <x v="0"/>
    <x v="1"/>
    <x v="0"/>
    <x v="1"/>
    <x v="0"/>
    <x v="1"/>
    <x v="667"/>
    <x v="25"/>
    <x v="0"/>
    <x v="0"/>
    <x v="0"/>
    <x v="0"/>
  </r>
  <r>
    <x v="871"/>
    <x v="1"/>
    <x v="1"/>
    <x v="217"/>
    <x v="781"/>
    <x v="1"/>
    <x v="1"/>
    <x v="47"/>
    <x v="0"/>
    <x v="0"/>
    <x v="1"/>
    <x v="3"/>
    <x v="1"/>
    <x v="0"/>
    <x v="222"/>
    <x v="124"/>
    <x v="1"/>
    <x v="42"/>
    <x v="0"/>
    <x v="0"/>
  </r>
  <r>
    <x v="872"/>
    <x v="0"/>
    <x v="1"/>
    <x v="583"/>
    <x v="782"/>
    <x v="0"/>
    <x v="0"/>
    <x v="40"/>
    <x v="0"/>
    <x v="1"/>
    <x v="0"/>
    <x v="1"/>
    <x v="0"/>
    <x v="1"/>
    <x v="668"/>
    <x v="245"/>
    <x v="0"/>
    <x v="115"/>
    <x v="0"/>
    <x v="0"/>
  </r>
  <r>
    <x v="873"/>
    <x v="0"/>
    <x v="0"/>
    <x v="655"/>
    <x v="136"/>
    <x v="0"/>
    <x v="0"/>
    <x v="47"/>
    <x v="0"/>
    <x v="1"/>
    <x v="0"/>
    <x v="1"/>
    <x v="0"/>
    <x v="1"/>
    <x v="669"/>
    <x v="58"/>
    <x v="0"/>
    <x v="0"/>
    <x v="0"/>
    <x v="0"/>
  </r>
  <r>
    <x v="874"/>
    <x v="1"/>
    <x v="2"/>
    <x v="267"/>
    <x v="783"/>
    <x v="1"/>
    <x v="1"/>
    <x v="17"/>
    <x v="0"/>
    <x v="0"/>
    <x v="0"/>
    <x v="0"/>
    <x v="1"/>
    <x v="0"/>
    <x v="274"/>
    <x v="145"/>
    <x v="2"/>
    <x v="0"/>
    <x v="1"/>
    <x v="1"/>
  </r>
  <r>
    <x v="875"/>
    <x v="1"/>
    <x v="0"/>
    <x v="656"/>
    <x v="784"/>
    <x v="2"/>
    <x v="1"/>
    <x v="16"/>
    <x v="3"/>
    <x v="1"/>
    <x v="0"/>
    <x v="1"/>
    <x v="1"/>
    <x v="1"/>
    <x v="670"/>
    <x v="18"/>
    <x v="0"/>
    <x v="0"/>
    <x v="1"/>
    <x v="1"/>
  </r>
  <r>
    <x v="876"/>
    <x v="0"/>
    <x v="0"/>
    <x v="99"/>
    <x v="785"/>
    <x v="0"/>
    <x v="0"/>
    <x v="11"/>
    <x v="0"/>
    <x v="1"/>
    <x v="0"/>
    <x v="1"/>
    <x v="0"/>
    <x v="1"/>
    <x v="128"/>
    <x v="246"/>
    <x v="0"/>
    <x v="0"/>
    <x v="0"/>
    <x v="0"/>
  </r>
  <r>
    <x v="877"/>
    <x v="0"/>
    <x v="0"/>
    <x v="96"/>
    <x v="786"/>
    <x v="0"/>
    <x v="0"/>
    <x v="19"/>
    <x v="3"/>
    <x v="1"/>
    <x v="0"/>
    <x v="1"/>
    <x v="0"/>
    <x v="1"/>
    <x v="671"/>
    <x v="25"/>
    <x v="0"/>
    <x v="0"/>
    <x v="0"/>
    <x v="0"/>
  </r>
  <r>
    <x v="878"/>
    <x v="0"/>
    <x v="0"/>
    <x v="657"/>
    <x v="787"/>
    <x v="0"/>
    <x v="0"/>
    <x v="4"/>
    <x v="1"/>
    <x v="1"/>
    <x v="0"/>
    <x v="1"/>
    <x v="0"/>
    <x v="1"/>
    <x v="672"/>
    <x v="25"/>
    <x v="0"/>
    <x v="0"/>
    <x v="0"/>
    <x v="0"/>
  </r>
  <r>
    <x v="879"/>
    <x v="1"/>
    <x v="1"/>
    <x v="658"/>
    <x v="788"/>
    <x v="1"/>
    <x v="1"/>
    <x v="60"/>
    <x v="0"/>
    <x v="1"/>
    <x v="1"/>
    <x v="0"/>
    <x v="1"/>
    <x v="0"/>
    <x v="276"/>
    <x v="147"/>
    <x v="1"/>
    <x v="145"/>
    <x v="1"/>
    <x v="1"/>
  </r>
  <r>
    <x v="880"/>
    <x v="1"/>
    <x v="2"/>
    <x v="659"/>
    <x v="789"/>
    <x v="1"/>
    <x v="1"/>
    <x v="37"/>
    <x v="0"/>
    <x v="1"/>
    <x v="1"/>
    <x v="0"/>
    <x v="1"/>
    <x v="0"/>
    <x v="232"/>
    <x v="19"/>
    <x v="2"/>
    <x v="0"/>
    <x v="0"/>
    <x v="0"/>
  </r>
  <r>
    <x v="881"/>
    <x v="0"/>
    <x v="0"/>
    <x v="660"/>
    <x v="790"/>
    <x v="0"/>
    <x v="0"/>
    <x v="40"/>
    <x v="0"/>
    <x v="1"/>
    <x v="0"/>
    <x v="1"/>
    <x v="0"/>
    <x v="1"/>
    <x v="673"/>
    <x v="25"/>
    <x v="0"/>
    <x v="0"/>
    <x v="0"/>
    <x v="0"/>
  </r>
  <r>
    <x v="882"/>
    <x v="0"/>
    <x v="0"/>
    <x v="661"/>
    <x v="791"/>
    <x v="2"/>
    <x v="1"/>
    <x v="0"/>
    <x v="0"/>
    <x v="1"/>
    <x v="0"/>
    <x v="1"/>
    <x v="0"/>
    <x v="1"/>
    <x v="674"/>
    <x v="247"/>
    <x v="2"/>
    <x v="0"/>
    <x v="0"/>
    <x v="0"/>
  </r>
  <r>
    <x v="883"/>
    <x v="0"/>
    <x v="2"/>
    <x v="662"/>
    <x v="792"/>
    <x v="0"/>
    <x v="0"/>
    <x v="17"/>
    <x v="0"/>
    <x v="1"/>
    <x v="0"/>
    <x v="1"/>
    <x v="0"/>
    <x v="1"/>
    <x v="675"/>
    <x v="29"/>
    <x v="2"/>
    <x v="0"/>
    <x v="0"/>
    <x v="0"/>
  </r>
  <r>
    <x v="884"/>
    <x v="0"/>
    <x v="0"/>
    <x v="663"/>
    <x v="793"/>
    <x v="0"/>
    <x v="0"/>
    <x v="37"/>
    <x v="0"/>
    <x v="1"/>
    <x v="0"/>
    <x v="1"/>
    <x v="0"/>
    <x v="1"/>
    <x v="676"/>
    <x v="79"/>
    <x v="0"/>
    <x v="0"/>
    <x v="0"/>
    <x v="0"/>
  </r>
  <r>
    <x v="885"/>
    <x v="0"/>
    <x v="0"/>
    <x v="16"/>
    <x v="794"/>
    <x v="1"/>
    <x v="1"/>
    <x v="12"/>
    <x v="0"/>
    <x v="1"/>
    <x v="3"/>
    <x v="5"/>
    <x v="0"/>
    <x v="2"/>
    <x v="16"/>
    <x v="15"/>
    <x v="2"/>
    <x v="0"/>
    <x v="2"/>
    <x v="2"/>
  </r>
  <r>
    <x v="886"/>
    <x v="0"/>
    <x v="2"/>
    <x v="664"/>
    <x v="795"/>
    <x v="5"/>
    <x v="0"/>
    <x v="7"/>
    <x v="0"/>
    <x v="1"/>
    <x v="0"/>
    <x v="1"/>
    <x v="0"/>
    <x v="1"/>
    <x v="677"/>
    <x v="16"/>
    <x v="2"/>
    <x v="0"/>
    <x v="0"/>
    <x v="0"/>
  </r>
  <r>
    <x v="887"/>
    <x v="1"/>
    <x v="1"/>
    <x v="233"/>
    <x v="796"/>
    <x v="2"/>
    <x v="1"/>
    <x v="19"/>
    <x v="3"/>
    <x v="1"/>
    <x v="0"/>
    <x v="1"/>
    <x v="1"/>
    <x v="1"/>
    <x v="678"/>
    <x v="209"/>
    <x v="2"/>
    <x v="146"/>
    <x v="0"/>
    <x v="0"/>
  </r>
  <r>
    <x v="888"/>
    <x v="0"/>
    <x v="0"/>
    <x v="604"/>
    <x v="797"/>
    <x v="2"/>
    <x v="1"/>
    <x v="4"/>
    <x v="1"/>
    <x v="0"/>
    <x v="2"/>
    <x v="6"/>
    <x v="0"/>
    <x v="2"/>
    <x v="614"/>
    <x v="231"/>
    <x v="2"/>
    <x v="0"/>
    <x v="0"/>
    <x v="0"/>
  </r>
  <r>
    <x v="889"/>
    <x v="1"/>
    <x v="1"/>
    <x v="665"/>
    <x v="798"/>
    <x v="0"/>
    <x v="0"/>
    <x v="2"/>
    <x v="0"/>
    <x v="1"/>
    <x v="0"/>
    <x v="1"/>
    <x v="1"/>
    <x v="1"/>
    <x v="679"/>
    <x v="209"/>
    <x v="2"/>
    <x v="147"/>
    <x v="1"/>
    <x v="1"/>
  </r>
  <r>
    <x v="890"/>
    <x v="0"/>
    <x v="0"/>
    <x v="666"/>
    <x v="113"/>
    <x v="0"/>
    <x v="0"/>
    <x v="35"/>
    <x v="0"/>
    <x v="1"/>
    <x v="0"/>
    <x v="1"/>
    <x v="0"/>
    <x v="1"/>
    <x v="680"/>
    <x v="28"/>
    <x v="0"/>
    <x v="0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:B8" firstHeaderRow="1" firstDataRow="1" firstDataCol="1"/>
  <pivotFields count="18">
    <pivotField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4">
        <item h="1" x="1"/>
        <item h="1" x="2"/>
        <item x="0"/>
        <item t="default"/>
      </items>
    </pivotField>
    <pivotField compact="0" showAll="0">
      <items count="668">
        <item x="642"/>
        <item x="243"/>
        <item x="267"/>
        <item x="309"/>
        <item x="334"/>
        <item x="38"/>
        <item x="645"/>
        <item x="182"/>
        <item x="618"/>
        <item x="637"/>
        <item x="185"/>
        <item x="4"/>
        <item x="260"/>
        <item x="631"/>
        <item x="171"/>
        <item x="380"/>
        <item x="13"/>
        <item x="86"/>
        <item x="132"/>
        <item x="240"/>
        <item x="424"/>
        <item x="461"/>
        <item x="47"/>
        <item x="404"/>
        <item x="308"/>
        <item x="24"/>
        <item x="547"/>
        <item x="108"/>
        <item x="313"/>
        <item x="630"/>
        <item x="602"/>
        <item x="81"/>
        <item x="369"/>
        <item x="519"/>
        <item x="584"/>
        <item x="654"/>
        <item x="283"/>
        <item x="662"/>
        <item x="589"/>
        <item x="307"/>
        <item x="253"/>
        <item x="501"/>
        <item x="106"/>
        <item x="136"/>
        <item x="151"/>
        <item x="111"/>
        <item x="193"/>
        <item x="441"/>
        <item x="316"/>
        <item x="162"/>
        <item x="217"/>
        <item x="21"/>
        <item x="665"/>
        <item x="147"/>
        <item x="199"/>
        <item x="567"/>
        <item x="320"/>
        <item x="321"/>
        <item x="70"/>
        <item x="339"/>
        <item x="254"/>
        <item x="234"/>
        <item x="357"/>
        <item x="290"/>
        <item x="184"/>
        <item x="11"/>
        <item x="499"/>
        <item x="128"/>
        <item x="167"/>
        <item x="495"/>
        <item x="302"/>
        <item x="195"/>
        <item x="415"/>
        <item x="0"/>
        <item x="592"/>
        <item x="489"/>
        <item x="172"/>
        <item x="563"/>
        <item x="131"/>
        <item x="288"/>
        <item x="326"/>
        <item x="522"/>
        <item x="436"/>
        <item x="135"/>
        <item x="650"/>
        <item x="390"/>
        <item x="235"/>
        <item x="550"/>
        <item x="74"/>
        <item x="148"/>
        <item x="186"/>
        <item x="386"/>
        <item x="410"/>
        <item x="36"/>
        <item x="465"/>
        <item x="170"/>
        <item x="533"/>
        <item x="583"/>
        <item x="183"/>
        <item x="79"/>
        <item x="218"/>
        <item x="573"/>
        <item x="84"/>
        <item x="87"/>
        <item x="561"/>
        <item x="477"/>
        <item x="349"/>
        <item x="225"/>
        <item x="150"/>
        <item x="635"/>
        <item x="85"/>
        <item x="466"/>
        <item x="69"/>
        <item x="353"/>
        <item x="551"/>
        <item x="393"/>
        <item x="120"/>
        <item x="180"/>
        <item x="420"/>
        <item x="212"/>
        <item x="291"/>
        <item x="520"/>
        <item x="208"/>
        <item x="632"/>
        <item x="578"/>
        <item x="252"/>
        <item x="110"/>
        <item x="524"/>
        <item x="510"/>
        <item x="142"/>
        <item x="295"/>
        <item x="89"/>
        <item x="65"/>
        <item x="145"/>
        <item x="440"/>
        <item x="641"/>
        <item x="1"/>
        <item x="341"/>
        <item x="289"/>
        <item x="661"/>
        <item x="537"/>
        <item x="417"/>
        <item x="351"/>
        <item x="485"/>
        <item x="279"/>
        <item x="609"/>
        <item x="526"/>
        <item x="325"/>
        <item x="505"/>
        <item x="294"/>
        <item x="452"/>
        <item x="249"/>
        <item x="246"/>
        <item x="88"/>
        <item x="306"/>
        <item x="287"/>
        <item x="278"/>
        <item x="42"/>
        <item x="540"/>
        <item x="296"/>
        <item x="367"/>
        <item x="459"/>
        <item x="93"/>
        <item x="666"/>
        <item x="247"/>
        <item x="442"/>
        <item x="75"/>
        <item x="467"/>
        <item x="119"/>
        <item x="344"/>
        <item x="244"/>
        <item x="450"/>
        <item x="651"/>
        <item x="530"/>
        <item x="518"/>
        <item x="590"/>
        <item x="118"/>
        <item x="299"/>
        <item x="476"/>
        <item x="599"/>
        <item x="25"/>
        <item x="556"/>
        <item x="407"/>
        <item x="202"/>
        <item x="430"/>
        <item x="432"/>
        <item x="51"/>
        <item x="538"/>
        <item x="265"/>
        <item x="355"/>
        <item x="509"/>
        <item x="82"/>
        <item x="372"/>
        <item x="26"/>
        <item x="293"/>
        <item x="268"/>
        <item x="286"/>
        <item x="439"/>
        <item x="471"/>
        <item x="397"/>
        <item x="622"/>
        <item x="303"/>
        <item x="3"/>
        <item x="20"/>
        <item x="336"/>
        <item x="549"/>
        <item x="587"/>
        <item x="464"/>
        <item x="608"/>
        <item x="491"/>
        <item x="382"/>
        <item x="348"/>
        <item x="127"/>
        <item x="647"/>
        <item x="472"/>
        <item x="649"/>
        <item x="559"/>
        <item x="141"/>
        <item x="188"/>
        <item x="31"/>
        <item x="373"/>
        <item x="91"/>
        <item x="149"/>
        <item x="385"/>
        <item x="57"/>
        <item x="233"/>
        <item x="196"/>
        <item x="554"/>
        <item x="92"/>
        <item x="594"/>
        <item x="607"/>
        <item x="99"/>
        <item x="256"/>
        <item x="371"/>
        <item x="130"/>
        <item x="159"/>
        <item x="216"/>
        <item x="363"/>
        <item x="259"/>
        <item x="494"/>
        <item x="314"/>
        <item x="206"/>
        <item x="605"/>
        <item x="50"/>
        <item x="480"/>
        <item x="60"/>
        <item x="229"/>
        <item x="273"/>
        <item x="535"/>
        <item x="565"/>
        <item x="572"/>
        <item x="269"/>
        <item x="239"/>
        <item x="616"/>
        <item x="516"/>
        <item x="2"/>
        <item x="623"/>
        <item x="272"/>
        <item x="230"/>
        <item x="490"/>
        <item x="15"/>
        <item x="112"/>
        <item x="284"/>
        <item x="396"/>
        <item x="434"/>
        <item x="560"/>
        <item x="591"/>
        <item x="207"/>
        <item x="625"/>
        <item x="34"/>
        <item x="482"/>
        <item x="191"/>
        <item x="68"/>
        <item x="488"/>
        <item x="251"/>
        <item x="198"/>
        <item x="546"/>
        <item x="210"/>
        <item x="613"/>
        <item x="59"/>
        <item x="80"/>
        <item x="564"/>
        <item x="158"/>
        <item x="570"/>
        <item x="192"/>
        <item x="375"/>
        <item x="329"/>
        <item x="487"/>
        <item x="470"/>
        <item x="67"/>
        <item x="507"/>
        <item x="312"/>
        <item x="391"/>
        <item x="366"/>
        <item x="178"/>
        <item x="98"/>
        <item x="8"/>
        <item x="604"/>
        <item x="582"/>
        <item x="460"/>
        <item x="107"/>
        <item x="360"/>
        <item x="514"/>
        <item x="94"/>
        <item x="484"/>
        <item x="395"/>
        <item x="541"/>
        <item x="429"/>
        <item x="264"/>
        <item x="389"/>
        <item x="262"/>
        <item x="400"/>
        <item x="377"/>
        <item x="189"/>
        <item x="600"/>
        <item x="493"/>
        <item x="66"/>
        <item x="163"/>
        <item x="497"/>
        <item x="553"/>
        <item x="156"/>
        <item x="566"/>
        <item x="40"/>
        <item x="362"/>
        <item x="428"/>
        <item x="271"/>
        <item x="412"/>
        <item x="657"/>
        <item x="542"/>
        <item x="318"/>
        <item x="416"/>
        <item x="41"/>
        <item x="203"/>
        <item x="611"/>
        <item x="447"/>
        <item x="157"/>
        <item x="328"/>
        <item x="506"/>
        <item x="478"/>
        <item x="640"/>
        <item x="422"/>
        <item x="44"/>
        <item x="160"/>
        <item x="437"/>
        <item x="619"/>
        <item x="569"/>
        <item x="255"/>
        <item x="258"/>
        <item x="205"/>
        <item x="595"/>
        <item x="215"/>
        <item x="241"/>
        <item x="483"/>
        <item x="521"/>
        <item x="644"/>
        <item x="152"/>
        <item x="221"/>
        <item x="603"/>
        <item x="498"/>
        <item x="359"/>
        <item x="201"/>
        <item x="626"/>
        <item x="502"/>
        <item x="173"/>
        <item x="596"/>
        <item x="175"/>
        <item x="539"/>
        <item x="116"/>
        <item x="213"/>
        <item x="413"/>
        <item x="384"/>
        <item x="624"/>
        <item x="35"/>
        <item x="593"/>
        <item x="562"/>
        <item x="636"/>
        <item x="643"/>
        <item x="660"/>
        <item x="577"/>
        <item x="19"/>
        <item x="346"/>
        <item x="552"/>
        <item x="6"/>
        <item x="628"/>
        <item x="263"/>
        <item x="78"/>
        <item x="558"/>
        <item x="418"/>
        <item x="304"/>
        <item x="22"/>
        <item x="330"/>
        <item x="115"/>
        <item x="574"/>
        <item x="457"/>
        <item x="343"/>
        <item x="237"/>
        <item x="200"/>
        <item x="138"/>
        <item x="174"/>
        <item x="33"/>
        <item x="376"/>
        <item x="383"/>
        <item x="214"/>
        <item x="257"/>
        <item x="100"/>
        <item x="527"/>
        <item x="513"/>
        <item x="305"/>
        <item x="71"/>
        <item x="403"/>
        <item x="664"/>
        <item x="580"/>
        <item x="113"/>
        <item x="5"/>
        <item x="275"/>
        <item x="381"/>
        <item x="453"/>
        <item x="102"/>
        <item x="63"/>
        <item x="311"/>
        <item x="73"/>
        <item x="638"/>
        <item x="545"/>
        <item x="473"/>
        <item x="211"/>
        <item x="597"/>
        <item x="250"/>
        <item x="656"/>
        <item x="322"/>
        <item x="571"/>
        <item x="9"/>
        <item x="238"/>
        <item x="134"/>
        <item x="197"/>
        <item x="190"/>
        <item x="125"/>
        <item x="133"/>
        <item x="443"/>
        <item x="37"/>
        <item x="274"/>
        <item x="588"/>
        <item x="333"/>
        <item x="455"/>
        <item x="49"/>
        <item x="55"/>
        <item x="64"/>
        <item x="129"/>
        <item x="282"/>
        <item x="165"/>
        <item x="500"/>
        <item x="379"/>
        <item x="297"/>
        <item x="45"/>
        <item x="27"/>
        <item x="448"/>
        <item x="515"/>
        <item x="140"/>
        <item x="245"/>
        <item x="536"/>
        <item x="335"/>
        <item x="126"/>
        <item x="612"/>
        <item x="52"/>
        <item x="411"/>
        <item x="610"/>
        <item x="444"/>
        <item x="331"/>
        <item x="7"/>
        <item x="48"/>
        <item x="242"/>
        <item x="504"/>
        <item x="227"/>
        <item x="285"/>
        <item x="633"/>
        <item x="463"/>
        <item x="469"/>
        <item x="425"/>
        <item x="137"/>
        <item x="374"/>
        <item x="109"/>
        <item x="266"/>
        <item x="209"/>
        <item x="187"/>
        <item x="161"/>
        <item x="426"/>
        <item x="232"/>
        <item x="117"/>
        <item x="534"/>
        <item x="95"/>
        <item x="96"/>
        <item x="364"/>
        <item x="617"/>
        <item x="370"/>
        <item x="354"/>
        <item x="356"/>
        <item x="169"/>
        <item x="324"/>
        <item x="614"/>
        <item x="104"/>
        <item x="658"/>
        <item x="414"/>
        <item x="517"/>
        <item x="646"/>
        <item x="219"/>
        <item x="231"/>
        <item x="103"/>
        <item x="394"/>
        <item x="627"/>
        <item x="365"/>
        <item x="16"/>
        <item x="124"/>
        <item x="338"/>
        <item x="431"/>
        <item x="317"/>
        <item x="474"/>
        <item x="438"/>
        <item x="451"/>
        <item x="601"/>
        <item x="121"/>
        <item x="652"/>
        <item x="43"/>
        <item x="166"/>
        <item x="523"/>
        <item x="164"/>
        <item x="222"/>
        <item x="468"/>
        <item x="586"/>
        <item x="419"/>
        <item x="398"/>
        <item x="54"/>
        <item x="462"/>
        <item x="423"/>
        <item x="270"/>
        <item x="543"/>
        <item x="261"/>
        <item x="327"/>
        <item x="144"/>
        <item x="508"/>
        <item x="101"/>
        <item x="433"/>
        <item x="46"/>
        <item x="10"/>
        <item x="12"/>
        <item x="531"/>
        <item x="388"/>
        <item x="340"/>
        <item x="292"/>
        <item x="639"/>
        <item x="368"/>
        <item x="446"/>
        <item x="77"/>
        <item x="408"/>
        <item x="659"/>
        <item x="90"/>
        <item x="486"/>
        <item x="345"/>
        <item x="548"/>
        <item x="361"/>
        <item x="456"/>
        <item x="511"/>
        <item x="576"/>
        <item x="58"/>
        <item x="634"/>
        <item x="454"/>
        <item x="154"/>
        <item x="606"/>
        <item x="204"/>
        <item x="61"/>
        <item x="479"/>
        <item x="280"/>
        <item x="620"/>
        <item x="83"/>
        <item x="23"/>
        <item x="387"/>
        <item x="143"/>
        <item x="155"/>
        <item x="123"/>
        <item x="555"/>
        <item x="401"/>
        <item x="277"/>
        <item x="30"/>
        <item x="503"/>
        <item x="72"/>
        <item x="248"/>
        <item x="405"/>
        <item x="220"/>
        <item x="475"/>
        <item x="62"/>
        <item x="629"/>
        <item x="458"/>
        <item x="392"/>
        <item x="575"/>
        <item x="181"/>
        <item x="194"/>
        <item x="342"/>
        <item x="663"/>
        <item x="496"/>
        <item x="409"/>
        <item x="648"/>
        <item x="228"/>
        <item x="525"/>
        <item x="445"/>
        <item x="585"/>
        <item x="615"/>
        <item x="224"/>
        <item x="358"/>
        <item x="323"/>
        <item x="598"/>
        <item x="28"/>
        <item x="621"/>
        <item x="378"/>
        <item x="481"/>
        <item x="236"/>
        <item x="435"/>
        <item x="223"/>
        <item x="568"/>
        <item x="332"/>
        <item x="557"/>
        <item x="168"/>
        <item x="532"/>
        <item x="399"/>
        <item x="39"/>
        <item x="29"/>
        <item x="139"/>
        <item x="153"/>
        <item x="347"/>
        <item x="653"/>
        <item x="581"/>
        <item x="177"/>
        <item x="301"/>
        <item x="655"/>
        <item x="18"/>
        <item x="14"/>
        <item x="427"/>
        <item x="76"/>
        <item x="421"/>
        <item x="226"/>
        <item x="310"/>
        <item x="529"/>
        <item x="146"/>
        <item x="114"/>
        <item x="544"/>
        <item x="122"/>
        <item x="579"/>
        <item x="56"/>
        <item x="32"/>
        <item x="97"/>
        <item x="276"/>
        <item x="337"/>
        <item x="319"/>
        <item x="315"/>
        <item x="528"/>
        <item x="512"/>
        <item x="17"/>
        <item x="298"/>
        <item x="402"/>
        <item x="352"/>
        <item x="53"/>
        <item x="449"/>
        <item x="492"/>
        <item x="281"/>
        <item x="179"/>
        <item x="300"/>
        <item x="406"/>
        <item x="176"/>
        <item x="105"/>
        <item x="350"/>
        <item t="default"/>
      </items>
    </pivotField>
    <pivotField compact="0" showAll="0">
      <items count="800">
        <item x="313"/>
        <item x="481"/>
        <item x="738"/>
        <item x="348"/>
        <item x="163"/>
        <item x="262"/>
        <item x="65"/>
        <item x="452"/>
        <item x="775"/>
        <item x="516"/>
        <item x="252"/>
        <item x="352"/>
        <item x="522"/>
        <item x="14"/>
        <item x="695"/>
        <item x="186"/>
        <item x="707"/>
        <item x="78"/>
        <item x="784"/>
        <item x="349"/>
        <item x="634"/>
        <item x="285"/>
        <item x="240"/>
        <item x="316"/>
        <item x="206"/>
        <item x="732"/>
        <item x="63"/>
        <item x="629"/>
        <item x="704"/>
        <item x="309"/>
        <item x="105"/>
        <item x="214"/>
        <item x="77"/>
        <item x="261"/>
        <item x="129"/>
        <item x="34"/>
        <item x="365"/>
        <item x="272"/>
        <item x="149"/>
        <item x="378"/>
        <item x="391"/>
        <item x="529"/>
        <item x="523"/>
        <item x="785"/>
        <item x="574"/>
        <item x="631"/>
        <item x="561"/>
        <item x="715"/>
        <item x="327"/>
        <item x="230"/>
        <item x="281"/>
        <item x="71"/>
        <item x="260"/>
        <item x="331"/>
        <item x="60"/>
        <item x="746"/>
        <item x="442"/>
        <item x="591"/>
        <item x="12"/>
        <item x="557"/>
        <item x="102"/>
        <item x="741"/>
        <item x="710"/>
        <item x="706"/>
        <item x="173"/>
        <item x="125"/>
        <item x="21"/>
        <item x="287"/>
        <item x="104"/>
        <item x="138"/>
        <item x="484"/>
        <item x="353"/>
        <item x="343"/>
        <item x="652"/>
        <item x="757"/>
        <item x="450"/>
        <item x="565"/>
        <item x="744"/>
        <item x="579"/>
        <item x="169"/>
        <item x="72"/>
        <item x="497"/>
        <item x="223"/>
        <item x="167"/>
        <item x="505"/>
        <item x="424"/>
        <item x="434"/>
        <item x="690"/>
        <item x="599"/>
        <item x="721"/>
        <item x="776"/>
        <item x="726"/>
        <item x="143"/>
        <item x="681"/>
        <item x="646"/>
        <item x="754"/>
        <item x="266"/>
        <item x="37"/>
        <item x="359"/>
        <item x="317"/>
        <item x="150"/>
        <item x="703"/>
        <item x="226"/>
        <item x="301"/>
        <item x="415"/>
        <item x="427"/>
        <item x="404"/>
        <item x="288"/>
        <item x="419"/>
        <item x="82"/>
        <item x="643"/>
        <item x="91"/>
        <item x="709"/>
        <item x="626"/>
        <item x="46"/>
        <item x="468"/>
        <item x="80"/>
        <item x="526"/>
        <item x="371"/>
        <item x="24"/>
        <item x="385"/>
        <item x="188"/>
        <item x="648"/>
        <item x="396"/>
        <item x="495"/>
        <item x="797"/>
        <item x="780"/>
        <item x="750"/>
        <item x="613"/>
        <item x="26"/>
        <item x="407"/>
        <item x="152"/>
        <item x="622"/>
        <item x="16"/>
        <item x="329"/>
        <item x="263"/>
        <item x="183"/>
        <item x="367"/>
        <item x="93"/>
        <item x="570"/>
        <item x="735"/>
        <item x="402"/>
        <item x="586"/>
        <item x="219"/>
        <item x="178"/>
        <item x="770"/>
        <item x="207"/>
        <item x="176"/>
        <item x="57"/>
        <item x="547"/>
        <item x="390"/>
        <item x="92"/>
        <item x="692"/>
        <item x="691"/>
        <item x="675"/>
        <item x="249"/>
        <item x="256"/>
        <item x="109"/>
        <item x="569"/>
        <item x="255"/>
        <item x="45"/>
        <item x="696"/>
        <item x="453"/>
        <item x="279"/>
        <item x="128"/>
        <item x="411"/>
        <item x="773"/>
        <item x="758"/>
        <item x="729"/>
        <item x="627"/>
        <item x="458"/>
        <item x="33"/>
        <item x="358"/>
        <item x="141"/>
        <item x="326"/>
        <item x="112"/>
        <item x="552"/>
        <item x="254"/>
        <item x="503"/>
        <item x="506"/>
        <item x="665"/>
        <item x="273"/>
        <item x="456"/>
        <item x="527"/>
        <item x="673"/>
        <item x="32"/>
        <item x="641"/>
        <item x="602"/>
        <item x="463"/>
        <item x="702"/>
        <item x="566"/>
        <item x="649"/>
        <item x="425"/>
        <item x="441"/>
        <item x="460"/>
        <item x="161"/>
        <item x="604"/>
        <item x="533"/>
        <item x="168"/>
        <item x="122"/>
        <item x="542"/>
        <item x="212"/>
        <item x="376"/>
        <item x="660"/>
        <item x="191"/>
        <item x="11"/>
        <item x="697"/>
        <item x="323"/>
        <item x="464"/>
        <item x="556"/>
        <item x="432"/>
        <item x="27"/>
        <item x="725"/>
        <item x="116"/>
        <item x="645"/>
        <item x="609"/>
        <item x="593"/>
        <item x="342"/>
        <item x="88"/>
        <item x="517"/>
        <item x="132"/>
        <item x="55"/>
        <item x="298"/>
        <item x="584"/>
        <item x="418"/>
        <item x="53"/>
        <item x="614"/>
        <item x="268"/>
        <item x="375"/>
        <item x="328"/>
        <item x="67"/>
        <item x="304"/>
        <item x="36"/>
        <item x="243"/>
        <item x="764"/>
        <item x="66"/>
        <item x="730"/>
        <item x="257"/>
        <item x="227"/>
        <item x="562"/>
        <item x="399"/>
        <item x="258"/>
        <item x="550"/>
        <item x="282"/>
        <item x="530"/>
        <item x="15"/>
        <item x="476"/>
        <item x="587"/>
        <item x="496"/>
        <item x="513"/>
        <item x="475"/>
        <item x="488"/>
        <item x="25"/>
        <item x="18"/>
        <item x="337"/>
        <item x="640"/>
        <item x="87"/>
        <item x="267"/>
        <item x="430"/>
        <item x="457"/>
        <item x="81"/>
        <item x="270"/>
        <item x="508"/>
        <item x="314"/>
        <item x="162"/>
        <item x="351"/>
        <item x="782"/>
        <item x="422"/>
        <item x="306"/>
        <item x="197"/>
        <item x="617"/>
        <item x="616"/>
        <item x="472"/>
        <item x="771"/>
        <item x="792"/>
        <item x="772"/>
        <item x="220"/>
        <item x="455"/>
        <item x="431"/>
        <item x="233"/>
        <item x="124"/>
        <item x="515"/>
        <item x="473"/>
        <item x="355"/>
        <item x="94"/>
        <item x="766"/>
        <item x="318"/>
        <item x="598"/>
        <item x="218"/>
        <item x="708"/>
        <item x="310"/>
        <item x="743"/>
        <item x="444"/>
        <item x="745"/>
        <item x="628"/>
        <item x="791"/>
        <item x="64"/>
        <item x="199"/>
        <item x="250"/>
        <item x="251"/>
        <item x="7"/>
        <item x="571"/>
        <item x="572"/>
        <item x="518"/>
        <item x="200"/>
        <item x="615"/>
        <item x="101"/>
        <item x="666"/>
        <item x="642"/>
        <item x="620"/>
        <item x="35"/>
        <item x="686"/>
        <item x="264"/>
        <item x="595"/>
        <item x="209"/>
        <item x="688"/>
        <item x="387"/>
        <item x="583"/>
        <item x="62"/>
        <item x="779"/>
        <item x="449"/>
        <item x="500"/>
        <item x="154"/>
        <item x="551"/>
        <item x="360"/>
        <item x="461"/>
        <item x="580"/>
        <item x="719"/>
        <item x="499"/>
        <item x="204"/>
        <item x="284"/>
        <item x="345"/>
        <item x="133"/>
        <item x="439"/>
        <item x="302"/>
        <item x="195"/>
        <item x="638"/>
        <item x="205"/>
        <item x="61"/>
        <item x="225"/>
        <item x="568"/>
        <item x="172"/>
        <item x="793"/>
        <item x="474"/>
        <item x="612"/>
        <item x="654"/>
        <item x="639"/>
        <item x="588"/>
        <item x="51"/>
        <item x="600"/>
        <item x="320"/>
        <item x="90"/>
        <item x="644"/>
        <item x="308"/>
        <item x="448"/>
        <item x="108"/>
        <item x="374"/>
        <item x="661"/>
        <item x="291"/>
        <item x="465"/>
        <item x="292"/>
        <item x="54"/>
        <item x="181"/>
        <item x="13"/>
        <item x="520"/>
        <item x="388"/>
        <item x="443"/>
        <item x="300"/>
        <item x="685"/>
        <item x="524"/>
        <item x="752"/>
        <item x="501"/>
        <item x="426"/>
        <item x="75"/>
        <item x="625"/>
        <item x="608"/>
        <item x="435"/>
        <item x="134"/>
        <item x="3"/>
        <item x="749"/>
        <item x="198"/>
        <item x="5"/>
        <item x="158"/>
        <item x="286"/>
        <item x="170"/>
        <item x="244"/>
        <item x="217"/>
        <item x="190"/>
        <item x="477"/>
        <item x="394"/>
        <item x="38"/>
        <item x="79"/>
        <item x="485"/>
        <item x="545"/>
        <item x="718"/>
        <item x="315"/>
        <item x="454"/>
        <item x="140"/>
        <item x="756"/>
        <item x="546"/>
        <item x="676"/>
        <item x="126"/>
        <item x="39"/>
        <item x="372"/>
        <item x="417"/>
        <item x="312"/>
        <item x="414"/>
        <item x="392"/>
        <item x="575"/>
        <item x="490"/>
        <item x="790"/>
        <item x="594"/>
        <item x="678"/>
        <item x="184"/>
        <item x="597"/>
        <item x="633"/>
        <item x="535"/>
        <item x="510"/>
        <item x="1"/>
        <item x="689"/>
        <item x="165"/>
        <item x="540"/>
        <item x="733"/>
        <item x="737"/>
        <item x="222"/>
        <item x="157"/>
        <item x="208"/>
        <item x="537"/>
        <item x="528"/>
        <item x="635"/>
        <item x="438"/>
        <item x="509"/>
        <item x="96"/>
        <item x="159"/>
        <item x="774"/>
        <item x="558"/>
        <item x="339"/>
        <item x="48"/>
        <item x="429"/>
        <item x="555"/>
        <item x="532"/>
        <item x="137"/>
        <item x="142"/>
        <item x="19"/>
        <item x="494"/>
        <item x="624"/>
        <item x="335"/>
        <item x="160"/>
        <item x="127"/>
        <item x="380"/>
        <item x="581"/>
        <item x="49"/>
        <item x="364"/>
        <item x="507"/>
        <item x="534"/>
        <item x="17"/>
        <item x="795"/>
        <item x="667"/>
        <item x="202"/>
        <item x="83"/>
        <item x="324"/>
        <item x="361"/>
        <item x="798"/>
        <item x="221"/>
        <item x="723"/>
        <item x="193"/>
        <item x="734"/>
        <item x="278"/>
        <item x="403"/>
        <item x="235"/>
        <item x="153"/>
        <item x="619"/>
        <item x="110"/>
        <item x="632"/>
        <item x="171"/>
        <item x="607"/>
        <item x="459"/>
        <item x="265"/>
        <item x="469"/>
        <item x="787"/>
        <item x="658"/>
        <item x="2"/>
        <item x="28"/>
        <item x="296"/>
        <item x="20"/>
        <item x="73"/>
        <item x="740"/>
        <item x="398"/>
        <item x="319"/>
        <item x="341"/>
        <item x="416"/>
        <item x="118"/>
        <item x="596"/>
        <item x="354"/>
        <item x="130"/>
        <item x="664"/>
        <item x="605"/>
        <item x="446"/>
        <item x="70"/>
        <item x="228"/>
        <item x="175"/>
        <item x="589"/>
        <item x="52"/>
        <item x="487"/>
        <item x="410"/>
        <item x="489"/>
        <item x="180"/>
        <item x="440"/>
        <item x="395"/>
        <item x="578"/>
        <item x="86"/>
        <item x="211"/>
        <item x="421"/>
        <item x="111"/>
        <item x="651"/>
        <item x="630"/>
        <item x="56"/>
        <item x="283"/>
        <item x="29"/>
        <item x="437"/>
        <item x="716"/>
        <item x="293"/>
        <item x="194"/>
        <item x="297"/>
        <item x="43"/>
        <item x="796"/>
        <item x="559"/>
        <item x="657"/>
        <item x="585"/>
        <item x="10"/>
        <item x="381"/>
        <item x="363"/>
        <item x="423"/>
        <item x="311"/>
        <item x="383"/>
        <item x="759"/>
        <item x="332"/>
        <item x="564"/>
        <item x="373"/>
        <item x="232"/>
        <item x="413"/>
        <item x="123"/>
        <item x="478"/>
        <item x="344"/>
        <item x="31"/>
        <item x="763"/>
        <item x="305"/>
        <item x="277"/>
        <item x="224"/>
        <item x="98"/>
        <item x="369"/>
        <item x="543"/>
        <item x="237"/>
        <item x="433"/>
        <item x="405"/>
        <item x="350"/>
        <item x="576"/>
        <item x="541"/>
        <item x="677"/>
        <item x="650"/>
        <item x="145"/>
        <item x="189"/>
        <item x="553"/>
        <item x="155"/>
        <item x="705"/>
        <item x="668"/>
        <item x="592"/>
        <item x="321"/>
        <item x="601"/>
        <item x="663"/>
        <item x="493"/>
        <item x="203"/>
        <item x="672"/>
        <item x="786"/>
        <item x="196"/>
        <item x="119"/>
        <item x="9"/>
        <item x="694"/>
        <item x="736"/>
        <item x="408"/>
        <item x="525"/>
        <item x="447"/>
        <item x="271"/>
        <item x="336"/>
        <item x="290"/>
        <item x="655"/>
        <item x="727"/>
        <item x="762"/>
        <item x="590"/>
        <item x="684"/>
        <item x="135"/>
        <item x="151"/>
        <item x="466"/>
        <item x="59"/>
        <item x="8"/>
        <item x="722"/>
        <item x="747"/>
        <item x="0"/>
        <item x="99"/>
        <item x="113"/>
        <item x="573"/>
        <item x="89"/>
        <item x="698"/>
        <item x="603"/>
        <item x="382"/>
        <item x="139"/>
        <item x="276"/>
        <item x="582"/>
        <item x="406"/>
        <item x="511"/>
        <item x="121"/>
        <item x="682"/>
        <item x="467"/>
        <item x="549"/>
        <item x="647"/>
        <item x="377"/>
        <item x="767"/>
        <item x="445"/>
        <item x="656"/>
        <item x="755"/>
        <item x="778"/>
        <item x="210"/>
        <item x="401"/>
        <item x="492"/>
        <item x="751"/>
        <item x="659"/>
        <item x="115"/>
        <item x="76"/>
        <item x="769"/>
        <item x="462"/>
        <item x="174"/>
        <item x="236"/>
        <item x="606"/>
        <item x="177"/>
        <item x="693"/>
        <item x="280"/>
        <item x="714"/>
        <item x="50"/>
        <item x="179"/>
        <item x="100"/>
        <item x="491"/>
        <item x="451"/>
        <item x="728"/>
        <item x="242"/>
        <item x="781"/>
        <item x="274"/>
        <item x="713"/>
        <item x="192"/>
        <item x="521"/>
        <item x="662"/>
        <item x="147"/>
        <item x="229"/>
        <item x="554"/>
        <item x="470"/>
        <item x="144"/>
        <item x="699"/>
        <item x="362"/>
        <item x="674"/>
        <item x="539"/>
        <item x="567"/>
        <item x="637"/>
        <item x="765"/>
        <item x="295"/>
        <item x="783"/>
        <item x="679"/>
        <item x="498"/>
        <item x="131"/>
        <item x="428"/>
        <item x="760"/>
        <item x="356"/>
        <item x="748"/>
        <item x="486"/>
        <item x="479"/>
        <item x="347"/>
        <item x="85"/>
        <item x="384"/>
        <item x="412"/>
        <item x="368"/>
        <item x="213"/>
        <item x="548"/>
        <item x="502"/>
        <item x="74"/>
        <item x="761"/>
        <item x="436"/>
        <item x="42"/>
        <item x="97"/>
        <item x="303"/>
        <item x="238"/>
        <item x="768"/>
        <item x="636"/>
        <item x="397"/>
        <item x="117"/>
        <item x="330"/>
        <item x="269"/>
        <item x="483"/>
        <item x="711"/>
        <item x="231"/>
        <item x="69"/>
        <item x="325"/>
        <item x="357"/>
        <item x="185"/>
        <item x="103"/>
        <item x="120"/>
        <item x="671"/>
        <item x="653"/>
        <item x="338"/>
        <item x="201"/>
        <item x="234"/>
        <item x="41"/>
        <item x="275"/>
        <item x="253"/>
        <item x="393"/>
        <item x="148"/>
        <item x="182"/>
        <item x="753"/>
        <item x="322"/>
        <item x="618"/>
        <item x="156"/>
        <item x="333"/>
        <item x="701"/>
        <item x="742"/>
        <item x="724"/>
        <item x="788"/>
        <item x="683"/>
        <item x="146"/>
        <item x="519"/>
        <item x="623"/>
        <item x="610"/>
        <item x="621"/>
        <item x="611"/>
        <item x="106"/>
        <item x="512"/>
        <item x="6"/>
        <item x="389"/>
        <item x="23"/>
        <item x="670"/>
        <item x="739"/>
        <item x="538"/>
        <item x="366"/>
        <item x="514"/>
        <item x="136"/>
        <item x="471"/>
        <item x="294"/>
        <item x="216"/>
        <item x="248"/>
        <item x="400"/>
        <item x="680"/>
        <item x="68"/>
        <item x="700"/>
        <item x="215"/>
        <item x="544"/>
        <item x="107"/>
        <item x="504"/>
        <item x="669"/>
        <item x="420"/>
        <item x="777"/>
        <item x="340"/>
        <item x="731"/>
        <item x="346"/>
        <item x="245"/>
        <item x="187"/>
        <item x="164"/>
        <item x="299"/>
        <item x="241"/>
        <item x="789"/>
        <item x="794"/>
        <item x="482"/>
        <item x="560"/>
        <item x="480"/>
        <item x="247"/>
        <item x="563"/>
        <item x="30"/>
        <item x="409"/>
        <item x="531"/>
        <item x="95"/>
        <item x="289"/>
        <item x="239"/>
        <item x="370"/>
        <item x="687"/>
        <item x="712"/>
        <item x="58"/>
        <item x="379"/>
        <item x="4"/>
        <item x="577"/>
        <item x="536"/>
        <item x="44"/>
        <item x="114"/>
        <item x="40"/>
        <item x="334"/>
        <item x="84"/>
        <item x="386"/>
        <item x="246"/>
        <item x="22"/>
        <item x="259"/>
        <item x="720"/>
        <item x="166"/>
        <item x="307"/>
        <item x="47"/>
        <item x="717"/>
        <item t="default"/>
      </items>
    </pivotField>
    <pivotField compact="0" showAll="0">
      <items count="18">
        <item x="14"/>
        <item x="13"/>
        <item x="4"/>
        <item x="6"/>
        <item x="16"/>
        <item x="10"/>
        <item x="9"/>
        <item x="3"/>
        <item x="2"/>
        <item x="12"/>
        <item x="7"/>
        <item x="0"/>
        <item x="1"/>
        <item x="8"/>
        <item x="5"/>
        <item x="11"/>
        <item x="15"/>
        <item t="default"/>
      </items>
    </pivotField>
    <pivotField axis="axisRow" compact="0" multipleItemSelectionAllowed="1" showAll="0">
      <items count="4">
        <item x="1"/>
        <item x="0"/>
        <item x="2"/>
        <item t="default"/>
      </items>
    </pivotField>
    <pivotField compact="0" showAll="0">
      <items count="90">
        <item h="1" x="86"/>
        <item h="1" x="84"/>
        <item h="1" x="77"/>
        <item h="1" x="38"/>
        <item h="1" x="70"/>
        <item h="1" x="58"/>
        <item x="6"/>
        <item h="1" x="25"/>
        <item h="1" x="9"/>
        <item h="1" x="31"/>
        <item h="1" x="83"/>
        <item h="1" x="26"/>
        <item h="1" x="18"/>
        <item h="1" x="52"/>
        <item h="1" x="73"/>
        <item h="1" x="32"/>
        <item h="1" x="51"/>
        <item h="1" x="75"/>
        <item h="1" x="8"/>
        <item h="1" x="48"/>
        <item h="1" x="16"/>
        <item h="1" x="36"/>
        <item h="1" x="34"/>
        <item h="1" x="24"/>
        <item h="1" x="19"/>
        <item h="1" x="11"/>
        <item h="1" x="64"/>
        <item h="1" x="23"/>
        <item h="1" x="0"/>
        <item h="1" x="41"/>
        <item h="1" x="69"/>
        <item h="1" x="42"/>
        <item h="1" x="82"/>
        <item h="1" x="37"/>
        <item h="1" x="2"/>
        <item h="1" x="7"/>
        <item h="1" x="17"/>
        <item h="1" x="30"/>
        <item h="1" x="28"/>
        <item h="1" x="39"/>
        <item h="1" x="85"/>
        <item h="1" x="14"/>
        <item h="1" x="35"/>
        <item h="1" x="50"/>
        <item h="1" x="40"/>
        <item h="1" x="15"/>
        <item h="1" x="87"/>
        <item h="1" x="3"/>
        <item h="1" x="62"/>
        <item h="1" x="53"/>
        <item h="1" x="46"/>
        <item h="1" x="1"/>
        <item h="1" x="12"/>
        <item h="1" x="20"/>
        <item h="1" x="56"/>
        <item h="1" x="66"/>
        <item h="1" x="22"/>
        <item h="1" x="71"/>
        <item h="1" x="57"/>
        <item h="1" x="33"/>
        <item h="1" x="63"/>
        <item h="1" x="43"/>
        <item h="1" x="47"/>
        <item h="1" x="76"/>
        <item h="1" x="27"/>
        <item h="1" x="61"/>
        <item h="1" x="54"/>
        <item h="1" x="67"/>
        <item h="1" x="78"/>
        <item h="1" x="5"/>
        <item h="1" x="13"/>
        <item h="1" x="55"/>
        <item h="1" x="60"/>
        <item h="1" x="79"/>
        <item h="1" x="10"/>
        <item h="1" x="44"/>
        <item h="1" x="72"/>
        <item h="1" x="59"/>
        <item h="1" x="65"/>
        <item h="1" x="68"/>
        <item h="1" x="74"/>
        <item h="1" x="29"/>
        <item h="1" x="21"/>
        <item h="1" x="81"/>
        <item h="1" x="49"/>
        <item h="1" x="45"/>
        <item h="1" x="88"/>
        <item h="1" x="80"/>
        <item h="1" x="4"/>
        <item t="default"/>
      </items>
    </pivotField>
    <pivotField compact="0" showAll="0">
      <items count="8">
        <item x="1"/>
        <item x="0"/>
        <item x="4"/>
        <item x="2"/>
        <item x="3"/>
        <item x="5"/>
        <item x="6"/>
        <item t="default"/>
      </items>
    </pivotField>
    <pivotField compact="0" showAll="0">
      <items count="8">
        <item x="0"/>
        <item x="1"/>
        <item x="2"/>
        <item x="4"/>
        <item x="5"/>
        <item x="3"/>
        <item x="6"/>
        <item t="default"/>
      </items>
    </pivotField>
    <pivotField compact="0" showAll="0">
      <items count="10">
        <item h="1" x="1"/>
        <item h="1" x="0"/>
        <item x="3"/>
        <item h="1" x="6"/>
        <item h="1" x="2"/>
        <item h="1" x="5"/>
        <item h="1" x="4"/>
        <item h="1" x="7"/>
        <item h="1" x="8"/>
        <item t="default"/>
      </items>
    </pivotField>
    <pivotField compact="0" showAll="0">
      <items count="3">
        <item h="1"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682">
        <item x="453"/>
        <item x="668"/>
        <item x="72"/>
        <item x="363"/>
        <item x="644"/>
        <item x="457"/>
        <item x="530"/>
        <item x="437"/>
        <item x="625"/>
        <item x="317"/>
        <item x="111"/>
        <item x="182"/>
        <item x="658"/>
        <item x="25"/>
        <item x="444"/>
        <item x="307"/>
        <item x="325"/>
        <item x="19"/>
        <item x="228"/>
        <item x="38"/>
        <item x="328"/>
        <item x="505"/>
        <item x="64"/>
        <item x="47"/>
        <item x="599"/>
        <item x="492"/>
        <item x="108"/>
        <item x="379"/>
        <item x="670"/>
        <item x="119"/>
        <item x="59"/>
        <item x="642"/>
        <item x="553"/>
        <item x="607"/>
        <item x="35"/>
        <item x="130"/>
        <item x="71"/>
        <item x="650"/>
        <item x="624"/>
        <item x="469"/>
        <item x="612"/>
        <item x="478"/>
        <item x="445"/>
        <item x="313"/>
        <item x="265"/>
        <item x="218"/>
        <item x="306"/>
        <item x="56"/>
        <item x="185"/>
        <item x="438"/>
        <item x="452"/>
        <item x="52"/>
        <item x="482"/>
        <item x="403"/>
        <item x="631"/>
        <item x="160"/>
        <item x="408"/>
        <item x="422"/>
        <item x="110"/>
        <item x="344"/>
        <item x="545"/>
        <item x="177"/>
        <item x="531"/>
        <item x="547"/>
        <item x="304"/>
        <item x="128"/>
        <item x="100"/>
        <item x="566"/>
        <item x="39"/>
        <item x="674"/>
        <item x="401"/>
        <item x="294"/>
        <item x="603"/>
        <item x="525"/>
        <item x="268"/>
        <item x="40"/>
        <item x="222"/>
        <item x="127"/>
        <item x="506"/>
        <item x="460"/>
        <item x="320"/>
        <item x="276"/>
        <item x="472"/>
        <item x="409"/>
        <item x="648"/>
        <item x="196"/>
        <item x="260"/>
        <item x="573"/>
        <item x="618"/>
        <item x="435"/>
        <item x="481"/>
        <item x="521"/>
        <item x="515"/>
        <item x="245"/>
        <item x="371"/>
        <item x="386"/>
        <item x="484"/>
        <item x="450"/>
        <item x="46"/>
        <item x="474"/>
        <item x="318"/>
        <item x="485"/>
        <item x="284"/>
        <item x="585"/>
        <item x="272"/>
        <item x="383"/>
        <item x="6"/>
        <item x="387"/>
        <item x="622"/>
        <item x="661"/>
        <item x="551"/>
        <item x="158"/>
        <item x="259"/>
        <item x="219"/>
        <item x="202"/>
        <item x="54"/>
        <item x="26"/>
        <item x="390"/>
        <item x="639"/>
        <item x="267"/>
        <item x="537"/>
        <item x="200"/>
        <item x="550"/>
        <item x="423"/>
        <item x="211"/>
        <item x="513"/>
        <item x="116"/>
        <item x="331"/>
        <item x="660"/>
        <item x="632"/>
        <item x="621"/>
        <item x="354"/>
        <item x="356"/>
        <item x="339"/>
        <item x="173"/>
        <item x="581"/>
        <item x="289"/>
        <item x="346"/>
        <item x="213"/>
        <item x="282"/>
        <item x="591"/>
        <item x="443"/>
        <item x="608"/>
        <item x="348"/>
        <item x="596"/>
        <item x="538"/>
        <item x="529"/>
        <item x="402"/>
        <item x="504"/>
        <item x="300"/>
        <item x="377"/>
        <item x="569"/>
        <item x="193"/>
        <item x="99"/>
        <item x="145"/>
        <item x="557"/>
        <item x="397"/>
        <item x="570"/>
        <item x="560"/>
        <item x="611"/>
        <item x="577"/>
        <item x="283"/>
        <item x="416"/>
        <item x="509"/>
        <item x="431"/>
        <item x="61"/>
        <item x="508"/>
        <item x="381"/>
        <item x="411"/>
        <item x="376"/>
        <item x="230"/>
        <item x="234"/>
        <item x="107"/>
        <item x="367"/>
        <item x="316"/>
        <item x="156"/>
        <item x="392"/>
        <item x="290"/>
        <item x="679"/>
        <item x="496"/>
        <item x="424"/>
        <item x="169"/>
        <item x="628"/>
        <item x="516"/>
        <item x="678"/>
        <item x="634"/>
        <item x="235"/>
        <item x="187"/>
        <item x="601"/>
        <item x="565"/>
        <item x="291"/>
        <item x="447"/>
        <item x="382"/>
        <item x="657"/>
        <item x="253"/>
        <item x="81"/>
        <item x="613"/>
        <item x="324"/>
        <item x="154"/>
        <item x="53"/>
        <item x="305"/>
        <item x="225"/>
        <item x="60"/>
        <item x="334"/>
        <item x="167"/>
        <item x="589"/>
        <item x="140"/>
        <item x="266"/>
        <item x="11"/>
        <item x="295"/>
        <item x="380"/>
        <item x="413"/>
        <item x="23"/>
        <item x="34"/>
        <item x="396"/>
        <item x="378"/>
        <item x="494"/>
        <item x="241"/>
        <item x="554"/>
        <item x="3"/>
        <item x="499"/>
        <item x="575"/>
        <item x="459"/>
        <item x="677"/>
        <item x="464"/>
        <item x="510"/>
        <item x="199"/>
        <item x="503"/>
        <item x="562"/>
        <item x="270"/>
        <item x="433"/>
        <item x="124"/>
        <item x="298"/>
        <item x="137"/>
        <item x="165"/>
        <item x="232"/>
        <item x="375"/>
        <item x="95"/>
        <item x="134"/>
        <item x="582"/>
        <item x="662"/>
        <item x="393"/>
        <item x="172"/>
        <item x="534"/>
        <item x="287"/>
        <item x="206"/>
        <item x="663"/>
        <item x="578"/>
        <item x="208"/>
        <item x="483"/>
        <item x="517"/>
        <item x="309"/>
        <item x="9"/>
        <item x="480"/>
        <item x="257"/>
        <item x="247"/>
        <item x="406"/>
        <item x="580"/>
        <item x="542"/>
        <item x="20"/>
        <item x="341"/>
        <item x="195"/>
        <item x="477"/>
        <item x="223"/>
        <item x="541"/>
        <item x="340"/>
        <item x="138"/>
        <item x="455"/>
        <item x="297"/>
        <item x="96"/>
        <item x="17"/>
        <item x="21"/>
        <item x="15"/>
        <item x="630"/>
        <item x="491"/>
        <item x="555"/>
        <item x="299"/>
        <item x="76"/>
        <item x="296"/>
        <item x="179"/>
        <item x="574"/>
        <item x="242"/>
        <item x="191"/>
        <item x="567"/>
        <item x="588"/>
        <item x="221"/>
        <item x="278"/>
        <item x="355"/>
        <item x="162"/>
        <item x="364"/>
        <item x="104"/>
        <item x="349"/>
        <item x="535"/>
        <item x="147"/>
        <item x="360"/>
        <item x="446"/>
        <item x="419"/>
        <item x="303"/>
        <item x="399"/>
        <item x="651"/>
        <item x="152"/>
        <item x="576"/>
        <item x="345"/>
        <item x="646"/>
        <item x="638"/>
        <item x="68"/>
        <item x="166"/>
        <item x="398"/>
        <item x="322"/>
        <item x="109"/>
        <item x="5"/>
        <item x="421"/>
        <item x="526"/>
        <item x="22"/>
        <item x="310"/>
        <item x="80"/>
        <item x="546"/>
        <item x="43"/>
        <item x="27"/>
        <item x="456"/>
        <item x="311"/>
        <item x="512"/>
        <item x="590"/>
        <item x="31"/>
        <item x="249"/>
        <item x="343"/>
        <item x="544"/>
        <item x="353"/>
        <item x="103"/>
        <item x="86"/>
        <item x="87"/>
        <item x="288"/>
        <item x="461"/>
        <item x="18"/>
        <item x="37"/>
        <item x="669"/>
        <item x="78"/>
        <item x="373"/>
        <item x="180"/>
        <item x="357"/>
        <item x="255"/>
        <item x="666"/>
        <item x="251"/>
        <item x="79"/>
        <item x="593"/>
        <item x="604"/>
        <item x="308"/>
        <item x="184"/>
        <item x="654"/>
        <item x="120"/>
        <item x="571"/>
        <item x="627"/>
        <item x="347"/>
        <item x="207"/>
        <item x="151"/>
        <item x="326"/>
        <item x="220"/>
        <item x="246"/>
        <item x="600"/>
        <item x="374"/>
        <item x="24"/>
        <item x="609"/>
        <item x="361"/>
        <item x="131"/>
        <item x="13"/>
        <item x="238"/>
        <item x="458"/>
        <item x="629"/>
        <item x="62"/>
        <item x="626"/>
        <item x="250"/>
        <item x="88"/>
        <item x="643"/>
        <item x="281"/>
        <item x="8"/>
        <item x="514"/>
        <item x="558"/>
        <item x="73"/>
        <item x="568"/>
        <item x="583"/>
        <item x="620"/>
        <item x="594"/>
        <item x="468"/>
        <item x="256"/>
        <item x="102"/>
        <item x="74"/>
        <item x="430"/>
        <item x="532"/>
        <item x="671"/>
        <item x="653"/>
        <item x="493"/>
        <item x="98"/>
        <item x="28"/>
        <item x="672"/>
        <item x="584"/>
        <item x="286"/>
        <item x="524"/>
        <item x="350"/>
        <item x="528"/>
        <item x="511"/>
        <item x="293"/>
        <item x="330"/>
        <item x="548"/>
        <item x="520"/>
        <item x="263"/>
        <item x="201"/>
        <item x="262"/>
        <item x="48"/>
        <item x="254"/>
        <item x="385"/>
        <item x="121"/>
        <item x="434"/>
        <item x="279"/>
        <item x="623"/>
        <item x="97"/>
        <item x="498"/>
        <item x="171"/>
        <item x="667"/>
        <item x="105"/>
        <item x="463"/>
        <item x="436"/>
        <item x="41"/>
        <item x="358"/>
        <item x="552"/>
        <item x="673"/>
        <item x="7"/>
        <item x="497"/>
        <item x="543"/>
        <item x="561"/>
        <item x="659"/>
        <item x="507"/>
        <item x="335"/>
        <item x="418"/>
        <item x="549"/>
        <item x="595"/>
        <item x="136"/>
        <item x="174"/>
        <item x="605"/>
        <item x="572"/>
        <item x="519"/>
        <item x="337"/>
        <item x="404"/>
        <item x="159"/>
        <item x="14"/>
        <item x="338"/>
        <item x="470"/>
        <item x="476"/>
        <item x="224"/>
        <item x="153"/>
        <item x="597"/>
        <item x="556"/>
        <item x="449"/>
        <item x="633"/>
        <item x="91"/>
        <item x="391"/>
        <item x="495"/>
        <item x="502"/>
        <item x="77"/>
        <item x="420"/>
        <item x="489"/>
        <item x="170"/>
        <item x="602"/>
        <item x="365"/>
        <item x="133"/>
        <item x="527"/>
        <item x="269"/>
        <item x="641"/>
        <item x="192"/>
        <item x="215"/>
        <item x="186"/>
        <item x="439"/>
        <item x="332"/>
        <item x="640"/>
        <item x="176"/>
        <item x="227"/>
        <item x="168"/>
        <item x="113"/>
        <item x="178"/>
        <item x="45"/>
        <item x="117"/>
        <item x="258"/>
        <item x="244"/>
        <item x="680"/>
        <item x="501"/>
        <item x="389"/>
        <item x="106"/>
        <item x="149"/>
        <item x="462"/>
        <item x="4"/>
        <item x="75"/>
        <item x="616"/>
        <item x="92"/>
        <item x="368"/>
        <item x="586"/>
        <item x="236"/>
        <item x="426"/>
        <item x="16"/>
        <item x="610"/>
        <item x="233"/>
        <item x="301"/>
        <item x="656"/>
        <item x="647"/>
        <item x="592"/>
        <item x="351"/>
        <item x="181"/>
        <item x="617"/>
        <item x="321"/>
        <item x="101"/>
        <item x="336"/>
        <item x="83"/>
        <item x="67"/>
        <item x="49"/>
        <item x="442"/>
        <item x="405"/>
        <item x="36"/>
        <item x="486"/>
        <item x="141"/>
        <item x="410"/>
        <item x="415"/>
        <item x="467"/>
        <item x="475"/>
        <item x="362"/>
        <item x="50"/>
        <item x="0"/>
        <item x="285"/>
        <item x="205"/>
        <item x="190"/>
        <item x="271"/>
        <item x="384"/>
        <item x="536"/>
        <item x="183"/>
        <item x="407"/>
        <item x="488"/>
        <item x="252"/>
        <item x="359"/>
        <item x="12"/>
        <item x="226"/>
        <item x="123"/>
        <item x="142"/>
        <item x="394"/>
        <item x="115"/>
        <item x="118"/>
        <item x="425"/>
        <item x="637"/>
        <item x="315"/>
        <item x="323"/>
        <item x="237"/>
        <item x="372"/>
        <item x="90"/>
        <item x="32"/>
        <item x="540"/>
        <item x="248"/>
        <item x="125"/>
        <item x="65"/>
        <item x="209"/>
        <item x="55"/>
        <item x="212"/>
        <item x="69"/>
        <item x="135"/>
        <item x="150"/>
        <item x="432"/>
        <item x="57"/>
        <item x="302"/>
        <item x="652"/>
        <item x="417"/>
        <item x="675"/>
        <item x="58"/>
        <item x="523"/>
        <item x="148"/>
        <item x="539"/>
        <item x="189"/>
        <item x="280"/>
        <item x="388"/>
        <item x="143"/>
        <item x="163"/>
        <item x="274"/>
        <item x="155"/>
        <item x="428"/>
        <item x="473"/>
        <item x="559"/>
        <item x="563"/>
        <item x="319"/>
        <item x="564"/>
        <item x="441"/>
        <item x="275"/>
        <item x="114"/>
        <item x="30"/>
        <item x="51"/>
        <item x="239"/>
        <item x="229"/>
        <item x="665"/>
        <item x="655"/>
        <item x="129"/>
        <item x="161"/>
        <item x="243"/>
        <item x="144"/>
        <item x="1"/>
        <item x="619"/>
        <item x="29"/>
        <item x="429"/>
        <item x="33"/>
        <item x="63"/>
        <item x="277"/>
        <item x="414"/>
        <item x="175"/>
        <item x="292"/>
        <item x="264"/>
        <item x="93"/>
        <item x="231"/>
        <item x="645"/>
        <item x="327"/>
        <item x="273"/>
        <item x="94"/>
        <item x="240"/>
        <item x="448"/>
        <item x="203"/>
        <item x="10"/>
        <item x="44"/>
        <item x="636"/>
        <item x="606"/>
        <item x="522"/>
        <item x="70"/>
        <item x="139"/>
        <item x="66"/>
        <item x="471"/>
        <item x="333"/>
        <item x="490"/>
        <item x="369"/>
        <item x="400"/>
        <item x="42"/>
        <item x="164"/>
        <item x="126"/>
        <item x="454"/>
        <item x="664"/>
        <item x="261"/>
        <item x="312"/>
        <item x="214"/>
        <item x="82"/>
        <item x="500"/>
        <item x="395"/>
        <item x="122"/>
        <item x="314"/>
        <item x="188"/>
        <item x="615"/>
        <item x="366"/>
        <item x="466"/>
        <item x="598"/>
        <item x="649"/>
        <item x="427"/>
        <item x="412"/>
        <item x="676"/>
        <item x="465"/>
        <item x="85"/>
        <item x="198"/>
        <item x="146"/>
        <item x="352"/>
        <item x="487"/>
        <item x="370"/>
        <item x="217"/>
        <item x="157"/>
        <item x="533"/>
        <item x="479"/>
        <item x="587"/>
        <item x="342"/>
        <item x="518"/>
        <item x="329"/>
        <item x="112"/>
        <item x="579"/>
        <item x="132"/>
        <item x="2"/>
        <item x="194"/>
        <item x="635"/>
        <item x="204"/>
        <item x="440"/>
        <item x="216"/>
        <item x="614"/>
        <item x="84"/>
        <item x="210"/>
        <item x="89"/>
        <item x="197"/>
        <item x="451"/>
        <item t="default"/>
      </items>
    </pivotField>
    <pivotField compact="0" showAll="0">
      <items count="249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t="default"/>
      </items>
    </pivotField>
    <pivotField compact="0" showAll="0">
      <items count="4">
        <item h="1" x="1"/>
        <item x="0"/>
        <item h="1" x="2"/>
        <item t="default"/>
      </items>
    </pivotField>
    <pivotField compact="0" showAll="0">
      <items count="149">
        <item x="101"/>
        <item x="84"/>
        <item x="98"/>
        <item x="51"/>
        <item x="104"/>
        <item x="108"/>
        <item x="144"/>
        <item x="110"/>
        <item x="37"/>
        <item x="34"/>
        <item x="76"/>
        <item x="137"/>
        <item x="18"/>
        <item x="7"/>
        <item x="31"/>
        <item x="125"/>
        <item x="138"/>
        <item x="63"/>
        <item x="30"/>
        <item x="118"/>
        <item x="95"/>
        <item x="13"/>
        <item x="133"/>
        <item x="11"/>
        <item x="70"/>
        <item x="85"/>
        <item x="93"/>
        <item x="94"/>
        <item x="35"/>
        <item x="103"/>
        <item x="146"/>
        <item x="52"/>
        <item x="117"/>
        <item x="109"/>
        <item x="115"/>
        <item x="59"/>
        <item x="22"/>
        <item x="139"/>
        <item x="114"/>
        <item x="91"/>
        <item x="44"/>
        <item x="9"/>
        <item x="88"/>
        <item x="36"/>
        <item x="135"/>
        <item x="26"/>
        <item x="46"/>
        <item x="73"/>
        <item x="99"/>
        <item x="5"/>
        <item x="77"/>
        <item x="55"/>
        <item x="21"/>
        <item x="78"/>
        <item x="49"/>
        <item x="2"/>
        <item x="64"/>
        <item x="47"/>
        <item x="113"/>
        <item x="68"/>
        <item x="147"/>
        <item x="28"/>
        <item x="54"/>
        <item x="8"/>
        <item x="86"/>
        <item x="62"/>
        <item x="123"/>
        <item x="127"/>
        <item x="141"/>
        <item x="32"/>
        <item x="145"/>
        <item x="12"/>
        <item x="58"/>
        <item x="120"/>
        <item x="56"/>
        <item x="100"/>
        <item x="60"/>
        <item x="97"/>
        <item x="41"/>
        <item x="72"/>
        <item x="14"/>
        <item x="1"/>
        <item x="96"/>
        <item x="43"/>
        <item x="122"/>
        <item x="65"/>
        <item x="79"/>
        <item x="40"/>
        <item x="92"/>
        <item x="48"/>
        <item x="53"/>
        <item x="19"/>
        <item x="130"/>
        <item x="39"/>
        <item x="136"/>
        <item x="105"/>
        <item x="87"/>
        <item x="81"/>
        <item x="20"/>
        <item x="142"/>
        <item x="128"/>
        <item x="10"/>
        <item x="42"/>
        <item x="38"/>
        <item x="69"/>
        <item x="126"/>
        <item x="90"/>
        <item x="25"/>
        <item x="111"/>
        <item x="116"/>
        <item x="106"/>
        <item x="6"/>
        <item x="134"/>
        <item x="50"/>
        <item x="107"/>
        <item x="74"/>
        <item x="23"/>
        <item x="82"/>
        <item x="129"/>
        <item x="143"/>
        <item x="121"/>
        <item x="89"/>
        <item x="17"/>
        <item x="29"/>
        <item x="61"/>
        <item x="57"/>
        <item x="80"/>
        <item x="66"/>
        <item x="75"/>
        <item x="3"/>
        <item x="140"/>
        <item x="71"/>
        <item x="112"/>
        <item x="83"/>
        <item x="45"/>
        <item x="102"/>
        <item x="131"/>
        <item x="124"/>
        <item x="24"/>
        <item x="119"/>
        <item x="16"/>
        <item x="27"/>
        <item x="15"/>
        <item x="132"/>
        <item x="33"/>
        <item x="4"/>
        <item x="67"/>
        <item x="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urvived" fld="1" subtotal="average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9:E24" firstHeaderRow="1" firstDataRow="2" firstDataCol="1"/>
  <pivotFields count="18">
    <pivotField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dataField="1" compact="0" showAll="0">
      <items count="3">
        <item x="0"/>
        <item x="1"/>
        <item t="default"/>
      </items>
    </pivotField>
    <pivotField axis="axisRow" compact="0" multipleItemSelectionAllowed="1" showAll="0">
      <items count="4">
        <item x="1"/>
        <item x="2"/>
        <item x="0"/>
        <item t="default"/>
      </items>
    </pivotField>
    <pivotField compact="0" showAll="0">
      <items count="668">
        <item x="642"/>
        <item x="243"/>
        <item x="267"/>
        <item x="309"/>
        <item x="334"/>
        <item x="38"/>
        <item x="645"/>
        <item x="182"/>
        <item x="618"/>
        <item x="637"/>
        <item x="185"/>
        <item x="4"/>
        <item x="260"/>
        <item x="631"/>
        <item x="171"/>
        <item x="380"/>
        <item x="13"/>
        <item x="86"/>
        <item x="132"/>
        <item x="240"/>
        <item x="424"/>
        <item x="461"/>
        <item x="47"/>
        <item x="404"/>
        <item x="308"/>
        <item x="24"/>
        <item x="547"/>
        <item x="108"/>
        <item x="313"/>
        <item x="630"/>
        <item x="602"/>
        <item x="81"/>
        <item x="369"/>
        <item x="519"/>
        <item x="584"/>
        <item x="654"/>
        <item x="283"/>
        <item x="662"/>
        <item x="589"/>
        <item x="307"/>
        <item x="253"/>
        <item x="501"/>
        <item x="106"/>
        <item x="136"/>
        <item x="151"/>
        <item x="111"/>
        <item x="193"/>
        <item x="441"/>
        <item x="316"/>
        <item x="162"/>
        <item x="217"/>
        <item x="21"/>
        <item x="665"/>
        <item x="147"/>
        <item x="199"/>
        <item x="567"/>
        <item x="320"/>
        <item x="321"/>
        <item x="70"/>
        <item x="339"/>
        <item x="254"/>
        <item x="234"/>
        <item x="357"/>
        <item x="290"/>
        <item x="184"/>
        <item x="11"/>
        <item x="499"/>
        <item x="128"/>
        <item x="167"/>
        <item x="495"/>
        <item x="302"/>
        <item x="195"/>
        <item x="415"/>
        <item x="0"/>
        <item x="592"/>
        <item x="489"/>
        <item x="172"/>
        <item x="563"/>
        <item x="131"/>
        <item x="288"/>
        <item x="326"/>
        <item x="522"/>
        <item x="436"/>
        <item x="135"/>
        <item x="650"/>
        <item x="390"/>
        <item x="235"/>
        <item x="550"/>
        <item x="74"/>
        <item x="148"/>
        <item x="186"/>
        <item x="386"/>
        <item x="410"/>
        <item x="36"/>
        <item x="465"/>
        <item x="170"/>
        <item x="533"/>
        <item x="583"/>
        <item x="183"/>
        <item x="79"/>
        <item x="218"/>
        <item x="573"/>
        <item x="84"/>
        <item x="87"/>
        <item x="561"/>
        <item x="477"/>
        <item x="349"/>
        <item x="225"/>
        <item x="150"/>
        <item x="635"/>
        <item x="85"/>
        <item x="466"/>
        <item x="69"/>
        <item x="353"/>
        <item x="551"/>
        <item x="393"/>
        <item x="120"/>
        <item x="180"/>
        <item x="420"/>
        <item x="212"/>
        <item x="291"/>
        <item x="520"/>
        <item x="208"/>
        <item x="632"/>
        <item x="578"/>
        <item x="252"/>
        <item x="110"/>
        <item x="524"/>
        <item x="510"/>
        <item x="142"/>
        <item x="295"/>
        <item x="89"/>
        <item x="65"/>
        <item x="145"/>
        <item x="440"/>
        <item x="641"/>
        <item x="1"/>
        <item x="341"/>
        <item x="289"/>
        <item x="661"/>
        <item x="537"/>
        <item x="417"/>
        <item x="351"/>
        <item x="485"/>
        <item x="279"/>
        <item x="609"/>
        <item x="526"/>
        <item x="325"/>
        <item x="505"/>
        <item x="294"/>
        <item x="452"/>
        <item x="249"/>
        <item x="246"/>
        <item x="88"/>
        <item x="306"/>
        <item x="287"/>
        <item x="278"/>
        <item x="42"/>
        <item x="540"/>
        <item x="296"/>
        <item x="367"/>
        <item x="459"/>
        <item x="93"/>
        <item x="666"/>
        <item x="247"/>
        <item x="442"/>
        <item x="75"/>
        <item x="467"/>
        <item x="119"/>
        <item x="344"/>
        <item x="244"/>
        <item x="450"/>
        <item x="651"/>
        <item x="530"/>
        <item x="518"/>
        <item x="590"/>
        <item x="118"/>
        <item x="299"/>
        <item x="476"/>
        <item x="599"/>
        <item x="25"/>
        <item x="556"/>
        <item x="407"/>
        <item x="202"/>
        <item x="430"/>
        <item x="432"/>
        <item x="51"/>
        <item x="538"/>
        <item x="265"/>
        <item x="355"/>
        <item x="509"/>
        <item x="82"/>
        <item x="372"/>
        <item x="26"/>
        <item x="293"/>
        <item x="268"/>
        <item x="286"/>
        <item x="439"/>
        <item x="471"/>
        <item x="397"/>
        <item x="622"/>
        <item x="303"/>
        <item x="3"/>
        <item x="20"/>
        <item x="336"/>
        <item x="549"/>
        <item x="587"/>
        <item x="464"/>
        <item x="608"/>
        <item x="491"/>
        <item x="382"/>
        <item x="348"/>
        <item x="127"/>
        <item x="647"/>
        <item x="472"/>
        <item x="649"/>
        <item x="559"/>
        <item x="141"/>
        <item x="188"/>
        <item x="31"/>
        <item x="373"/>
        <item x="91"/>
        <item x="149"/>
        <item x="385"/>
        <item x="57"/>
        <item x="233"/>
        <item x="196"/>
        <item x="554"/>
        <item x="92"/>
        <item x="594"/>
        <item x="607"/>
        <item x="99"/>
        <item x="256"/>
        <item x="371"/>
        <item x="130"/>
        <item x="159"/>
        <item x="216"/>
        <item x="363"/>
        <item x="259"/>
        <item x="494"/>
        <item x="314"/>
        <item x="206"/>
        <item x="605"/>
        <item x="50"/>
        <item x="480"/>
        <item x="60"/>
        <item x="229"/>
        <item x="273"/>
        <item x="535"/>
        <item x="565"/>
        <item x="572"/>
        <item x="269"/>
        <item x="239"/>
        <item x="616"/>
        <item x="516"/>
        <item x="2"/>
        <item x="623"/>
        <item x="272"/>
        <item x="230"/>
        <item x="490"/>
        <item x="15"/>
        <item x="112"/>
        <item x="284"/>
        <item x="396"/>
        <item x="434"/>
        <item x="560"/>
        <item x="591"/>
        <item x="207"/>
        <item x="625"/>
        <item x="34"/>
        <item x="482"/>
        <item x="191"/>
        <item x="68"/>
        <item x="488"/>
        <item x="251"/>
        <item x="198"/>
        <item x="546"/>
        <item x="210"/>
        <item x="613"/>
        <item x="59"/>
        <item x="80"/>
        <item x="564"/>
        <item x="158"/>
        <item x="570"/>
        <item x="192"/>
        <item x="375"/>
        <item x="329"/>
        <item x="487"/>
        <item x="470"/>
        <item x="67"/>
        <item x="507"/>
        <item x="312"/>
        <item x="391"/>
        <item x="366"/>
        <item x="178"/>
        <item x="98"/>
        <item x="8"/>
        <item x="604"/>
        <item x="582"/>
        <item x="460"/>
        <item x="107"/>
        <item x="360"/>
        <item x="514"/>
        <item x="94"/>
        <item x="484"/>
        <item x="395"/>
        <item x="541"/>
        <item x="429"/>
        <item x="264"/>
        <item x="389"/>
        <item x="262"/>
        <item x="400"/>
        <item x="377"/>
        <item x="189"/>
        <item x="600"/>
        <item x="493"/>
        <item x="66"/>
        <item x="163"/>
        <item x="497"/>
        <item x="553"/>
        <item x="156"/>
        <item x="566"/>
        <item x="40"/>
        <item x="362"/>
        <item x="428"/>
        <item x="271"/>
        <item x="412"/>
        <item x="657"/>
        <item x="542"/>
        <item x="318"/>
        <item x="416"/>
        <item x="41"/>
        <item x="203"/>
        <item x="611"/>
        <item x="447"/>
        <item x="157"/>
        <item x="328"/>
        <item x="506"/>
        <item x="478"/>
        <item x="640"/>
        <item x="422"/>
        <item x="44"/>
        <item x="160"/>
        <item x="437"/>
        <item x="619"/>
        <item x="569"/>
        <item x="255"/>
        <item x="258"/>
        <item x="205"/>
        <item x="595"/>
        <item x="215"/>
        <item x="241"/>
        <item x="483"/>
        <item x="521"/>
        <item x="644"/>
        <item x="152"/>
        <item x="221"/>
        <item x="603"/>
        <item x="498"/>
        <item x="359"/>
        <item x="201"/>
        <item x="626"/>
        <item x="502"/>
        <item x="173"/>
        <item x="596"/>
        <item x="175"/>
        <item x="539"/>
        <item x="116"/>
        <item x="213"/>
        <item x="413"/>
        <item x="384"/>
        <item x="624"/>
        <item x="35"/>
        <item x="593"/>
        <item x="562"/>
        <item x="636"/>
        <item x="643"/>
        <item x="660"/>
        <item x="577"/>
        <item x="19"/>
        <item x="346"/>
        <item x="552"/>
        <item x="6"/>
        <item x="628"/>
        <item x="263"/>
        <item x="78"/>
        <item x="558"/>
        <item x="418"/>
        <item x="304"/>
        <item x="22"/>
        <item x="330"/>
        <item x="115"/>
        <item x="574"/>
        <item x="457"/>
        <item x="343"/>
        <item x="237"/>
        <item x="200"/>
        <item x="138"/>
        <item x="174"/>
        <item x="33"/>
        <item x="376"/>
        <item x="383"/>
        <item x="214"/>
        <item x="257"/>
        <item x="100"/>
        <item x="527"/>
        <item x="513"/>
        <item x="305"/>
        <item x="71"/>
        <item x="403"/>
        <item x="664"/>
        <item x="580"/>
        <item x="113"/>
        <item x="5"/>
        <item x="275"/>
        <item x="381"/>
        <item x="453"/>
        <item x="102"/>
        <item x="63"/>
        <item x="311"/>
        <item x="73"/>
        <item x="638"/>
        <item x="545"/>
        <item x="473"/>
        <item x="211"/>
        <item x="597"/>
        <item x="250"/>
        <item x="656"/>
        <item x="322"/>
        <item x="571"/>
        <item x="9"/>
        <item x="238"/>
        <item x="134"/>
        <item x="197"/>
        <item x="190"/>
        <item x="125"/>
        <item x="133"/>
        <item x="443"/>
        <item x="37"/>
        <item x="274"/>
        <item x="588"/>
        <item x="333"/>
        <item x="455"/>
        <item x="49"/>
        <item x="55"/>
        <item x="64"/>
        <item x="129"/>
        <item x="282"/>
        <item x="165"/>
        <item x="500"/>
        <item x="379"/>
        <item x="297"/>
        <item x="45"/>
        <item x="27"/>
        <item x="448"/>
        <item x="515"/>
        <item x="140"/>
        <item x="245"/>
        <item x="536"/>
        <item x="335"/>
        <item x="126"/>
        <item x="612"/>
        <item x="52"/>
        <item x="411"/>
        <item x="610"/>
        <item x="444"/>
        <item x="331"/>
        <item x="7"/>
        <item x="48"/>
        <item x="242"/>
        <item x="504"/>
        <item x="227"/>
        <item x="285"/>
        <item x="633"/>
        <item x="463"/>
        <item x="469"/>
        <item x="425"/>
        <item x="137"/>
        <item x="374"/>
        <item x="109"/>
        <item x="266"/>
        <item x="209"/>
        <item x="187"/>
        <item x="161"/>
        <item x="426"/>
        <item x="232"/>
        <item x="117"/>
        <item x="534"/>
        <item x="95"/>
        <item x="96"/>
        <item x="364"/>
        <item x="617"/>
        <item x="370"/>
        <item x="354"/>
        <item x="356"/>
        <item x="169"/>
        <item x="324"/>
        <item x="614"/>
        <item x="104"/>
        <item x="658"/>
        <item x="414"/>
        <item x="517"/>
        <item x="646"/>
        <item x="219"/>
        <item x="231"/>
        <item x="103"/>
        <item x="394"/>
        <item x="627"/>
        <item x="365"/>
        <item x="16"/>
        <item x="124"/>
        <item x="338"/>
        <item x="431"/>
        <item x="317"/>
        <item x="474"/>
        <item x="438"/>
        <item x="451"/>
        <item x="601"/>
        <item x="121"/>
        <item x="652"/>
        <item x="43"/>
        <item x="166"/>
        <item x="523"/>
        <item x="164"/>
        <item x="222"/>
        <item x="468"/>
        <item x="586"/>
        <item x="419"/>
        <item x="398"/>
        <item x="54"/>
        <item x="462"/>
        <item x="423"/>
        <item x="270"/>
        <item x="543"/>
        <item x="261"/>
        <item x="327"/>
        <item x="144"/>
        <item x="508"/>
        <item x="101"/>
        <item x="433"/>
        <item x="46"/>
        <item x="10"/>
        <item x="12"/>
        <item x="531"/>
        <item x="388"/>
        <item x="340"/>
        <item x="292"/>
        <item x="639"/>
        <item x="368"/>
        <item x="446"/>
        <item x="77"/>
        <item x="408"/>
        <item x="659"/>
        <item x="90"/>
        <item x="486"/>
        <item x="345"/>
        <item x="548"/>
        <item x="361"/>
        <item x="456"/>
        <item x="511"/>
        <item x="576"/>
        <item x="58"/>
        <item x="634"/>
        <item x="454"/>
        <item x="154"/>
        <item x="606"/>
        <item x="204"/>
        <item x="61"/>
        <item x="479"/>
        <item x="280"/>
        <item x="620"/>
        <item x="83"/>
        <item x="23"/>
        <item x="387"/>
        <item x="143"/>
        <item x="155"/>
        <item x="123"/>
        <item x="555"/>
        <item x="401"/>
        <item x="277"/>
        <item x="30"/>
        <item x="503"/>
        <item x="72"/>
        <item x="248"/>
        <item x="405"/>
        <item x="220"/>
        <item x="475"/>
        <item x="62"/>
        <item x="629"/>
        <item x="458"/>
        <item x="392"/>
        <item x="575"/>
        <item x="181"/>
        <item x="194"/>
        <item x="342"/>
        <item x="663"/>
        <item x="496"/>
        <item x="409"/>
        <item x="648"/>
        <item x="228"/>
        <item x="525"/>
        <item x="445"/>
        <item x="585"/>
        <item x="615"/>
        <item x="224"/>
        <item x="358"/>
        <item x="323"/>
        <item x="598"/>
        <item x="28"/>
        <item x="621"/>
        <item x="378"/>
        <item x="481"/>
        <item x="236"/>
        <item x="435"/>
        <item x="223"/>
        <item x="568"/>
        <item x="332"/>
        <item x="557"/>
        <item x="168"/>
        <item x="532"/>
        <item x="399"/>
        <item x="39"/>
        <item x="29"/>
        <item x="139"/>
        <item x="153"/>
        <item x="347"/>
        <item x="653"/>
        <item x="581"/>
        <item x="177"/>
        <item x="301"/>
        <item x="655"/>
        <item x="18"/>
        <item x="14"/>
        <item x="427"/>
        <item x="76"/>
        <item x="421"/>
        <item x="226"/>
        <item x="310"/>
        <item x="529"/>
        <item x="146"/>
        <item x="114"/>
        <item x="544"/>
        <item x="122"/>
        <item x="579"/>
        <item x="56"/>
        <item x="32"/>
        <item x="97"/>
        <item x="276"/>
        <item x="337"/>
        <item x="319"/>
        <item x="315"/>
        <item x="528"/>
        <item x="512"/>
        <item x="17"/>
        <item x="298"/>
        <item x="402"/>
        <item x="352"/>
        <item x="53"/>
        <item x="449"/>
        <item x="492"/>
        <item x="281"/>
        <item x="179"/>
        <item x="300"/>
        <item x="406"/>
        <item x="176"/>
        <item x="105"/>
        <item x="350"/>
        <item t="default"/>
      </items>
    </pivotField>
    <pivotField compact="0" showAll="0">
      <items count="800">
        <item x="313"/>
        <item x="481"/>
        <item x="738"/>
        <item x="348"/>
        <item x="163"/>
        <item x="262"/>
        <item x="65"/>
        <item x="452"/>
        <item x="775"/>
        <item x="516"/>
        <item x="252"/>
        <item x="352"/>
        <item x="522"/>
        <item x="14"/>
        <item x="695"/>
        <item x="186"/>
        <item x="707"/>
        <item x="78"/>
        <item x="784"/>
        <item x="349"/>
        <item x="634"/>
        <item x="285"/>
        <item x="240"/>
        <item x="316"/>
        <item x="206"/>
        <item x="732"/>
        <item x="63"/>
        <item x="629"/>
        <item x="704"/>
        <item x="309"/>
        <item x="105"/>
        <item x="214"/>
        <item x="77"/>
        <item x="261"/>
        <item x="129"/>
        <item x="34"/>
        <item x="365"/>
        <item x="272"/>
        <item x="149"/>
        <item x="378"/>
        <item x="391"/>
        <item x="529"/>
        <item x="523"/>
        <item x="785"/>
        <item x="574"/>
        <item x="631"/>
        <item x="561"/>
        <item x="715"/>
        <item x="327"/>
        <item x="230"/>
        <item x="281"/>
        <item x="71"/>
        <item x="260"/>
        <item x="331"/>
        <item x="60"/>
        <item x="746"/>
        <item x="442"/>
        <item x="591"/>
        <item x="12"/>
        <item x="557"/>
        <item x="102"/>
        <item x="741"/>
        <item x="710"/>
        <item x="706"/>
        <item x="173"/>
        <item x="125"/>
        <item x="21"/>
        <item x="287"/>
        <item x="104"/>
        <item x="138"/>
        <item x="484"/>
        <item x="353"/>
        <item x="343"/>
        <item x="652"/>
        <item x="757"/>
        <item x="450"/>
        <item x="565"/>
        <item x="744"/>
        <item x="579"/>
        <item x="169"/>
        <item x="72"/>
        <item x="497"/>
        <item x="223"/>
        <item x="167"/>
        <item x="505"/>
        <item x="424"/>
        <item x="434"/>
        <item x="690"/>
        <item x="599"/>
        <item x="721"/>
        <item x="776"/>
        <item x="726"/>
        <item x="143"/>
        <item x="681"/>
        <item x="646"/>
        <item x="754"/>
        <item x="266"/>
        <item x="37"/>
        <item x="359"/>
        <item x="317"/>
        <item x="150"/>
        <item x="703"/>
        <item x="226"/>
        <item x="301"/>
        <item x="415"/>
        <item x="427"/>
        <item x="404"/>
        <item x="288"/>
        <item x="419"/>
        <item x="82"/>
        <item x="643"/>
        <item x="91"/>
        <item x="709"/>
        <item x="626"/>
        <item x="46"/>
        <item x="468"/>
        <item x="80"/>
        <item x="526"/>
        <item x="371"/>
        <item x="24"/>
        <item x="385"/>
        <item x="188"/>
        <item x="648"/>
        <item x="396"/>
        <item x="495"/>
        <item x="797"/>
        <item x="780"/>
        <item x="750"/>
        <item x="613"/>
        <item x="26"/>
        <item x="407"/>
        <item x="152"/>
        <item x="622"/>
        <item x="16"/>
        <item x="329"/>
        <item x="263"/>
        <item x="183"/>
        <item x="367"/>
        <item x="93"/>
        <item x="570"/>
        <item x="735"/>
        <item x="402"/>
        <item x="586"/>
        <item x="219"/>
        <item x="178"/>
        <item x="770"/>
        <item x="207"/>
        <item x="176"/>
        <item x="57"/>
        <item x="547"/>
        <item x="390"/>
        <item x="92"/>
        <item x="692"/>
        <item x="691"/>
        <item x="675"/>
        <item x="249"/>
        <item x="256"/>
        <item x="109"/>
        <item x="569"/>
        <item x="255"/>
        <item x="45"/>
        <item x="696"/>
        <item x="453"/>
        <item x="279"/>
        <item x="128"/>
        <item x="411"/>
        <item x="773"/>
        <item x="758"/>
        <item x="729"/>
        <item x="627"/>
        <item x="458"/>
        <item x="33"/>
        <item x="358"/>
        <item x="141"/>
        <item x="326"/>
        <item x="112"/>
        <item x="552"/>
        <item x="254"/>
        <item x="503"/>
        <item x="506"/>
        <item x="665"/>
        <item x="273"/>
        <item x="456"/>
        <item x="527"/>
        <item x="673"/>
        <item x="32"/>
        <item x="641"/>
        <item x="602"/>
        <item x="463"/>
        <item x="702"/>
        <item x="566"/>
        <item x="649"/>
        <item x="425"/>
        <item x="441"/>
        <item x="460"/>
        <item x="161"/>
        <item x="604"/>
        <item x="533"/>
        <item x="168"/>
        <item x="122"/>
        <item x="542"/>
        <item x="212"/>
        <item x="376"/>
        <item x="660"/>
        <item x="191"/>
        <item x="11"/>
        <item x="697"/>
        <item x="323"/>
        <item x="464"/>
        <item x="556"/>
        <item x="432"/>
        <item x="27"/>
        <item x="725"/>
        <item x="116"/>
        <item x="645"/>
        <item x="609"/>
        <item x="593"/>
        <item x="342"/>
        <item x="88"/>
        <item x="517"/>
        <item x="132"/>
        <item x="55"/>
        <item x="298"/>
        <item x="584"/>
        <item x="418"/>
        <item x="53"/>
        <item x="614"/>
        <item x="268"/>
        <item x="375"/>
        <item x="328"/>
        <item x="67"/>
        <item x="304"/>
        <item x="36"/>
        <item x="243"/>
        <item x="764"/>
        <item x="66"/>
        <item x="730"/>
        <item x="257"/>
        <item x="227"/>
        <item x="562"/>
        <item x="399"/>
        <item x="258"/>
        <item x="550"/>
        <item x="282"/>
        <item x="530"/>
        <item x="15"/>
        <item x="476"/>
        <item x="587"/>
        <item x="496"/>
        <item x="513"/>
        <item x="475"/>
        <item x="488"/>
        <item x="25"/>
        <item x="18"/>
        <item x="337"/>
        <item x="640"/>
        <item x="87"/>
        <item x="267"/>
        <item x="430"/>
        <item x="457"/>
        <item x="81"/>
        <item x="270"/>
        <item x="508"/>
        <item x="314"/>
        <item x="162"/>
        <item x="351"/>
        <item x="782"/>
        <item x="422"/>
        <item x="306"/>
        <item x="197"/>
        <item x="617"/>
        <item x="616"/>
        <item x="472"/>
        <item x="771"/>
        <item x="792"/>
        <item x="772"/>
        <item x="220"/>
        <item x="455"/>
        <item x="431"/>
        <item x="233"/>
        <item x="124"/>
        <item x="515"/>
        <item x="473"/>
        <item x="355"/>
        <item x="94"/>
        <item x="766"/>
        <item x="318"/>
        <item x="598"/>
        <item x="218"/>
        <item x="708"/>
        <item x="310"/>
        <item x="743"/>
        <item x="444"/>
        <item x="745"/>
        <item x="628"/>
        <item x="791"/>
        <item x="64"/>
        <item x="199"/>
        <item x="250"/>
        <item x="251"/>
        <item x="7"/>
        <item x="571"/>
        <item x="572"/>
        <item x="518"/>
        <item x="200"/>
        <item x="615"/>
        <item x="101"/>
        <item x="666"/>
        <item x="642"/>
        <item x="620"/>
        <item x="35"/>
        <item x="686"/>
        <item x="264"/>
        <item x="595"/>
        <item x="209"/>
        <item x="688"/>
        <item x="387"/>
        <item x="583"/>
        <item x="62"/>
        <item x="779"/>
        <item x="449"/>
        <item x="500"/>
        <item x="154"/>
        <item x="551"/>
        <item x="360"/>
        <item x="461"/>
        <item x="580"/>
        <item x="719"/>
        <item x="499"/>
        <item x="204"/>
        <item x="284"/>
        <item x="345"/>
        <item x="133"/>
        <item x="439"/>
        <item x="302"/>
        <item x="195"/>
        <item x="638"/>
        <item x="205"/>
        <item x="61"/>
        <item x="225"/>
        <item x="568"/>
        <item x="172"/>
        <item x="793"/>
        <item x="474"/>
        <item x="612"/>
        <item x="654"/>
        <item x="639"/>
        <item x="588"/>
        <item x="51"/>
        <item x="600"/>
        <item x="320"/>
        <item x="90"/>
        <item x="644"/>
        <item x="308"/>
        <item x="448"/>
        <item x="108"/>
        <item x="374"/>
        <item x="661"/>
        <item x="291"/>
        <item x="465"/>
        <item x="292"/>
        <item x="54"/>
        <item x="181"/>
        <item x="13"/>
        <item x="520"/>
        <item x="388"/>
        <item x="443"/>
        <item x="300"/>
        <item x="685"/>
        <item x="524"/>
        <item x="752"/>
        <item x="501"/>
        <item x="426"/>
        <item x="75"/>
        <item x="625"/>
        <item x="608"/>
        <item x="435"/>
        <item x="134"/>
        <item x="3"/>
        <item x="749"/>
        <item x="198"/>
        <item x="5"/>
        <item x="158"/>
        <item x="286"/>
        <item x="170"/>
        <item x="244"/>
        <item x="217"/>
        <item x="190"/>
        <item x="477"/>
        <item x="394"/>
        <item x="38"/>
        <item x="79"/>
        <item x="485"/>
        <item x="545"/>
        <item x="718"/>
        <item x="315"/>
        <item x="454"/>
        <item x="140"/>
        <item x="756"/>
        <item x="546"/>
        <item x="676"/>
        <item x="126"/>
        <item x="39"/>
        <item x="372"/>
        <item x="417"/>
        <item x="312"/>
        <item x="414"/>
        <item x="392"/>
        <item x="575"/>
        <item x="490"/>
        <item x="790"/>
        <item x="594"/>
        <item x="678"/>
        <item x="184"/>
        <item x="597"/>
        <item x="633"/>
        <item x="535"/>
        <item x="510"/>
        <item x="1"/>
        <item x="689"/>
        <item x="165"/>
        <item x="540"/>
        <item x="733"/>
        <item x="737"/>
        <item x="222"/>
        <item x="157"/>
        <item x="208"/>
        <item x="537"/>
        <item x="528"/>
        <item x="635"/>
        <item x="438"/>
        <item x="509"/>
        <item x="96"/>
        <item x="159"/>
        <item x="774"/>
        <item x="558"/>
        <item x="339"/>
        <item x="48"/>
        <item x="429"/>
        <item x="555"/>
        <item x="532"/>
        <item x="137"/>
        <item x="142"/>
        <item x="19"/>
        <item x="494"/>
        <item x="624"/>
        <item x="335"/>
        <item x="160"/>
        <item x="127"/>
        <item x="380"/>
        <item x="581"/>
        <item x="49"/>
        <item x="364"/>
        <item x="507"/>
        <item x="534"/>
        <item x="17"/>
        <item x="795"/>
        <item x="667"/>
        <item x="202"/>
        <item x="83"/>
        <item x="324"/>
        <item x="361"/>
        <item x="798"/>
        <item x="221"/>
        <item x="723"/>
        <item x="193"/>
        <item x="734"/>
        <item x="278"/>
        <item x="403"/>
        <item x="235"/>
        <item x="153"/>
        <item x="619"/>
        <item x="110"/>
        <item x="632"/>
        <item x="171"/>
        <item x="607"/>
        <item x="459"/>
        <item x="265"/>
        <item x="469"/>
        <item x="787"/>
        <item x="658"/>
        <item x="2"/>
        <item x="28"/>
        <item x="296"/>
        <item x="20"/>
        <item x="73"/>
        <item x="740"/>
        <item x="398"/>
        <item x="319"/>
        <item x="341"/>
        <item x="416"/>
        <item x="118"/>
        <item x="596"/>
        <item x="354"/>
        <item x="130"/>
        <item x="664"/>
        <item x="605"/>
        <item x="446"/>
        <item x="70"/>
        <item x="228"/>
        <item x="175"/>
        <item x="589"/>
        <item x="52"/>
        <item x="487"/>
        <item x="410"/>
        <item x="489"/>
        <item x="180"/>
        <item x="440"/>
        <item x="395"/>
        <item x="578"/>
        <item x="86"/>
        <item x="211"/>
        <item x="421"/>
        <item x="111"/>
        <item x="651"/>
        <item x="630"/>
        <item x="56"/>
        <item x="283"/>
        <item x="29"/>
        <item x="437"/>
        <item x="716"/>
        <item x="293"/>
        <item x="194"/>
        <item x="297"/>
        <item x="43"/>
        <item x="796"/>
        <item x="559"/>
        <item x="657"/>
        <item x="585"/>
        <item x="10"/>
        <item x="381"/>
        <item x="363"/>
        <item x="423"/>
        <item x="311"/>
        <item x="383"/>
        <item x="759"/>
        <item x="332"/>
        <item x="564"/>
        <item x="373"/>
        <item x="232"/>
        <item x="413"/>
        <item x="123"/>
        <item x="478"/>
        <item x="344"/>
        <item x="31"/>
        <item x="763"/>
        <item x="305"/>
        <item x="277"/>
        <item x="224"/>
        <item x="98"/>
        <item x="369"/>
        <item x="543"/>
        <item x="237"/>
        <item x="433"/>
        <item x="405"/>
        <item x="350"/>
        <item x="576"/>
        <item x="541"/>
        <item x="677"/>
        <item x="650"/>
        <item x="145"/>
        <item x="189"/>
        <item x="553"/>
        <item x="155"/>
        <item x="705"/>
        <item x="668"/>
        <item x="592"/>
        <item x="321"/>
        <item x="601"/>
        <item x="663"/>
        <item x="493"/>
        <item x="203"/>
        <item x="672"/>
        <item x="786"/>
        <item x="196"/>
        <item x="119"/>
        <item x="9"/>
        <item x="694"/>
        <item x="736"/>
        <item x="408"/>
        <item x="525"/>
        <item x="447"/>
        <item x="271"/>
        <item x="336"/>
        <item x="290"/>
        <item x="655"/>
        <item x="727"/>
        <item x="762"/>
        <item x="590"/>
        <item x="684"/>
        <item x="135"/>
        <item x="151"/>
        <item x="466"/>
        <item x="59"/>
        <item x="8"/>
        <item x="722"/>
        <item x="747"/>
        <item x="0"/>
        <item x="99"/>
        <item x="113"/>
        <item x="573"/>
        <item x="89"/>
        <item x="698"/>
        <item x="603"/>
        <item x="382"/>
        <item x="139"/>
        <item x="276"/>
        <item x="582"/>
        <item x="406"/>
        <item x="511"/>
        <item x="121"/>
        <item x="682"/>
        <item x="467"/>
        <item x="549"/>
        <item x="647"/>
        <item x="377"/>
        <item x="767"/>
        <item x="445"/>
        <item x="656"/>
        <item x="755"/>
        <item x="778"/>
        <item x="210"/>
        <item x="401"/>
        <item x="492"/>
        <item x="751"/>
        <item x="659"/>
        <item x="115"/>
        <item x="76"/>
        <item x="769"/>
        <item x="462"/>
        <item x="174"/>
        <item x="236"/>
        <item x="606"/>
        <item x="177"/>
        <item x="693"/>
        <item x="280"/>
        <item x="714"/>
        <item x="50"/>
        <item x="179"/>
        <item x="100"/>
        <item x="491"/>
        <item x="451"/>
        <item x="728"/>
        <item x="242"/>
        <item x="781"/>
        <item x="274"/>
        <item x="713"/>
        <item x="192"/>
        <item x="521"/>
        <item x="662"/>
        <item x="147"/>
        <item x="229"/>
        <item x="554"/>
        <item x="470"/>
        <item x="144"/>
        <item x="699"/>
        <item x="362"/>
        <item x="674"/>
        <item x="539"/>
        <item x="567"/>
        <item x="637"/>
        <item x="765"/>
        <item x="295"/>
        <item x="783"/>
        <item x="679"/>
        <item x="498"/>
        <item x="131"/>
        <item x="428"/>
        <item x="760"/>
        <item x="356"/>
        <item x="748"/>
        <item x="486"/>
        <item x="479"/>
        <item x="347"/>
        <item x="85"/>
        <item x="384"/>
        <item x="412"/>
        <item x="368"/>
        <item x="213"/>
        <item x="548"/>
        <item x="502"/>
        <item x="74"/>
        <item x="761"/>
        <item x="436"/>
        <item x="42"/>
        <item x="97"/>
        <item x="303"/>
        <item x="238"/>
        <item x="768"/>
        <item x="636"/>
        <item x="397"/>
        <item x="117"/>
        <item x="330"/>
        <item x="269"/>
        <item x="483"/>
        <item x="711"/>
        <item x="231"/>
        <item x="69"/>
        <item x="325"/>
        <item x="357"/>
        <item x="185"/>
        <item x="103"/>
        <item x="120"/>
        <item x="671"/>
        <item x="653"/>
        <item x="338"/>
        <item x="201"/>
        <item x="234"/>
        <item x="41"/>
        <item x="275"/>
        <item x="253"/>
        <item x="393"/>
        <item x="148"/>
        <item x="182"/>
        <item x="753"/>
        <item x="322"/>
        <item x="618"/>
        <item x="156"/>
        <item x="333"/>
        <item x="701"/>
        <item x="742"/>
        <item x="724"/>
        <item x="788"/>
        <item x="683"/>
        <item x="146"/>
        <item x="519"/>
        <item x="623"/>
        <item x="610"/>
        <item x="621"/>
        <item x="611"/>
        <item x="106"/>
        <item x="512"/>
        <item x="6"/>
        <item x="389"/>
        <item x="23"/>
        <item x="670"/>
        <item x="739"/>
        <item x="538"/>
        <item x="366"/>
        <item x="514"/>
        <item x="136"/>
        <item x="471"/>
        <item x="294"/>
        <item x="216"/>
        <item x="248"/>
        <item x="400"/>
        <item x="680"/>
        <item x="68"/>
        <item x="700"/>
        <item x="215"/>
        <item x="544"/>
        <item x="107"/>
        <item x="504"/>
        <item x="669"/>
        <item x="420"/>
        <item x="777"/>
        <item x="340"/>
        <item x="731"/>
        <item x="346"/>
        <item x="245"/>
        <item x="187"/>
        <item x="164"/>
        <item x="299"/>
        <item x="241"/>
        <item x="789"/>
        <item x="794"/>
        <item x="482"/>
        <item x="560"/>
        <item x="480"/>
        <item x="247"/>
        <item x="563"/>
        <item x="30"/>
        <item x="409"/>
        <item x="531"/>
        <item x="95"/>
        <item x="289"/>
        <item x="239"/>
        <item x="370"/>
        <item x="687"/>
        <item x="712"/>
        <item x="58"/>
        <item x="379"/>
        <item x="4"/>
        <item x="577"/>
        <item x="536"/>
        <item x="44"/>
        <item x="114"/>
        <item x="40"/>
        <item x="334"/>
        <item x="84"/>
        <item x="386"/>
        <item x="246"/>
        <item x="22"/>
        <item x="259"/>
        <item x="720"/>
        <item x="166"/>
        <item x="307"/>
        <item x="47"/>
        <item x="717"/>
        <item t="default"/>
      </items>
    </pivotField>
    <pivotField compact="0" showAll="0">
      <items count="18">
        <item x="14"/>
        <item x="13"/>
        <item x="4"/>
        <item x="6"/>
        <item x="16"/>
        <item x="10"/>
        <item x="9"/>
        <item x="3"/>
        <item x="2"/>
        <item x="12"/>
        <item x="7"/>
        <item x="0"/>
        <item x="1"/>
        <item x="8"/>
        <item x="5"/>
        <item x="11"/>
        <item x="15"/>
        <item t="default"/>
      </items>
    </pivotField>
    <pivotField axis="axisCol" compact="0" multipleItemSelectionAllowed="1" showAll="0">
      <items count="4">
        <item x="1"/>
        <item x="0"/>
        <item x="2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x="4"/>
        <item t="default"/>
      </items>
    </pivotField>
    <pivotField compact="0" showAll="0">
      <items count="8">
        <item x="1"/>
        <item x="0"/>
        <item x="4"/>
        <item x="2"/>
        <item x="3"/>
        <item x="5"/>
        <item x="6"/>
        <item t="default"/>
      </items>
    </pivotField>
    <pivotField compact="0" showAll="0">
      <items count="8">
        <item x="0"/>
        <item x="1"/>
        <item x="2"/>
        <item x="4"/>
        <item x="5"/>
        <item x="3"/>
        <item x="6"/>
        <item t="default"/>
      </items>
    </pivotField>
    <pivotField compact="0" showAll="0">
      <items count="10">
        <item x="1"/>
        <item x="0"/>
        <item x="3"/>
        <item x="6"/>
        <item x="2"/>
        <item x="5"/>
        <item x="4"/>
        <item x="7"/>
        <item x="8"/>
        <item t="default"/>
      </items>
    </pivotField>
    <pivotField compact="0" showAll="0">
      <items count="3">
        <item h="1"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682">
        <item x="453"/>
        <item x="668"/>
        <item x="72"/>
        <item x="363"/>
        <item x="644"/>
        <item x="457"/>
        <item x="530"/>
        <item x="437"/>
        <item x="625"/>
        <item x="317"/>
        <item x="111"/>
        <item x="182"/>
        <item x="658"/>
        <item x="25"/>
        <item x="444"/>
        <item x="307"/>
        <item x="325"/>
        <item x="19"/>
        <item x="228"/>
        <item x="38"/>
        <item x="328"/>
        <item x="505"/>
        <item x="64"/>
        <item x="47"/>
        <item x="599"/>
        <item x="492"/>
        <item x="108"/>
        <item x="379"/>
        <item x="670"/>
        <item x="119"/>
        <item x="59"/>
        <item x="642"/>
        <item x="553"/>
        <item x="607"/>
        <item x="35"/>
        <item x="130"/>
        <item x="71"/>
        <item x="650"/>
        <item x="624"/>
        <item x="469"/>
        <item x="612"/>
        <item x="478"/>
        <item x="445"/>
        <item x="313"/>
        <item x="265"/>
        <item x="218"/>
        <item x="306"/>
        <item x="56"/>
        <item x="185"/>
        <item x="438"/>
        <item x="452"/>
        <item x="52"/>
        <item x="482"/>
        <item x="403"/>
        <item x="631"/>
        <item x="160"/>
        <item x="408"/>
        <item x="422"/>
        <item x="110"/>
        <item x="344"/>
        <item x="545"/>
        <item x="177"/>
        <item x="531"/>
        <item x="547"/>
        <item x="304"/>
        <item x="128"/>
        <item x="100"/>
        <item x="566"/>
        <item x="39"/>
        <item x="674"/>
        <item x="401"/>
        <item x="294"/>
        <item x="603"/>
        <item x="525"/>
        <item x="268"/>
        <item x="40"/>
        <item x="222"/>
        <item x="127"/>
        <item x="506"/>
        <item x="460"/>
        <item x="320"/>
        <item x="276"/>
        <item x="472"/>
        <item x="409"/>
        <item x="648"/>
        <item x="196"/>
        <item x="260"/>
        <item x="573"/>
        <item x="618"/>
        <item x="435"/>
        <item x="481"/>
        <item x="521"/>
        <item x="515"/>
        <item x="245"/>
        <item x="371"/>
        <item x="386"/>
        <item x="484"/>
        <item x="450"/>
        <item x="46"/>
        <item x="474"/>
        <item x="318"/>
        <item x="485"/>
        <item x="284"/>
        <item x="585"/>
        <item x="272"/>
        <item x="383"/>
        <item x="6"/>
        <item x="387"/>
        <item x="622"/>
        <item x="661"/>
        <item x="551"/>
        <item x="158"/>
        <item x="259"/>
        <item x="219"/>
        <item x="202"/>
        <item x="54"/>
        <item x="26"/>
        <item x="390"/>
        <item x="639"/>
        <item x="267"/>
        <item x="537"/>
        <item x="200"/>
        <item x="550"/>
        <item x="423"/>
        <item x="211"/>
        <item x="513"/>
        <item x="116"/>
        <item x="331"/>
        <item x="660"/>
        <item x="632"/>
        <item x="621"/>
        <item x="354"/>
        <item x="356"/>
        <item x="339"/>
        <item x="173"/>
        <item x="581"/>
        <item x="289"/>
        <item x="346"/>
        <item x="213"/>
        <item x="282"/>
        <item x="591"/>
        <item x="443"/>
        <item x="608"/>
        <item x="348"/>
        <item x="596"/>
        <item x="538"/>
        <item x="529"/>
        <item x="402"/>
        <item x="504"/>
        <item x="300"/>
        <item x="377"/>
        <item x="569"/>
        <item x="193"/>
        <item x="99"/>
        <item x="145"/>
        <item x="557"/>
        <item x="397"/>
        <item x="570"/>
        <item x="560"/>
        <item x="611"/>
        <item x="577"/>
        <item x="283"/>
        <item x="416"/>
        <item x="509"/>
        <item x="431"/>
        <item x="61"/>
        <item x="508"/>
        <item x="381"/>
        <item x="411"/>
        <item x="376"/>
        <item x="230"/>
        <item x="234"/>
        <item x="107"/>
        <item x="367"/>
        <item x="316"/>
        <item x="156"/>
        <item x="392"/>
        <item x="290"/>
        <item x="679"/>
        <item x="496"/>
        <item x="424"/>
        <item x="169"/>
        <item x="628"/>
        <item x="516"/>
        <item x="678"/>
        <item x="634"/>
        <item x="235"/>
        <item x="187"/>
        <item x="601"/>
        <item x="565"/>
        <item x="291"/>
        <item x="447"/>
        <item x="382"/>
        <item x="657"/>
        <item x="253"/>
        <item x="81"/>
        <item x="613"/>
        <item x="324"/>
        <item x="154"/>
        <item x="53"/>
        <item x="305"/>
        <item x="225"/>
        <item x="60"/>
        <item x="334"/>
        <item x="167"/>
        <item x="589"/>
        <item x="140"/>
        <item x="266"/>
        <item x="11"/>
        <item x="295"/>
        <item x="380"/>
        <item x="413"/>
        <item x="23"/>
        <item x="34"/>
        <item x="396"/>
        <item x="378"/>
        <item x="494"/>
        <item x="241"/>
        <item x="554"/>
        <item x="3"/>
        <item x="499"/>
        <item x="575"/>
        <item x="459"/>
        <item x="677"/>
        <item x="464"/>
        <item x="510"/>
        <item x="199"/>
        <item x="503"/>
        <item x="562"/>
        <item x="270"/>
        <item x="433"/>
        <item x="124"/>
        <item x="298"/>
        <item x="137"/>
        <item x="165"/>
        <item x="232"/>
        <item x="375"/>
        <item x="95"/>
        <item x="134"/>
        <item x="582"/>
        <item x="662"/>
        <item x="393"/>
        <item x="172"/>
        <item x="534"/>
        <item x="287"/>
        <item x="206"/>
        <item x="663"/>
        <item x="578"/>
        <item x="208"/>
        <item x="483"/>
        <item x="517"/>
        <item x="309"/>
        <item x="9"/>
        <item x="480"/>
        <item x="257"/>
        <item x="247"/>
        <item x="406"/>
        <item x="580"/>
        <item x="542"/>
        <item x="20"/>
        <item x="341"/>
        <item x="195"/>
        <item x="477"/>
        <item x="223"/>
        <item x="541"/>
        <item x="340"/>
        <item x="138"/>
        <item x="455"/>
        <item x="297"/>
        <item x="96"/>
        <item x="17"/>
        <item x="21"/>
        <item x="15"/>
        <item x="630"/>
        <item x="491"/>
        <item x="555"/>
        <item x="299"/>
        <item x="76"/>
        <item x="296"/>
        <item x="179"/>
        <item x="574"/>
        <item x="242"/>
        <item x="191"/>
        <item x="567"/>
        <item x="588"/>
        <item x="221"/>
        <item x="278"/>
        <item x="355"/>
        <item x="162"/>
        <item x="364"/>
        <item x="104"/>
        <item x="349"/>
        <item x="535"/>
        <item x="147"/>
        <item x="360"/>
        <item x="446"/>
        <item x="419"/>
        <item x="303"/>
        <item x="399"/>
        <item x="651"/>
        <item x="152"/>
        <item x="576"/>
        <item x="345"/>
        <item x="646"/>
        <item x="638"/>
        <item x="68"/>
        <item x="166"/>
        <item x="398"/>
        <item x="322"/>
        <item x="109"/>
        <item x="5"/>
        <item x="421"/>
        <item x="526"/>
        <item x="22"/>
        <item x="310"/>
        <item x="80"/>
        <item x="546"/>
        <item x="43"/>
        <item x="27"/>
        <item x="456"/>
        <item x="311"/>
        <item x="512"/>
        <item x="590"/>
        <item x="31"/>
        <item x="249"/>
        <item x="343"/>
        <item x="544"/>
        <item x="353"/>
        <item x="103"/>
        <item x="86"/>
        <item x="87"/>
        <item x="288"/>
        <item x="461"/>
        <item x="18"/>
        <item x="37"/>
        <item x="669"/>
        <item x="78"/>
        <item x="373"/>
        <item x="180"/>
        <item x="357"/>
        <item x="255"/>
        <item x="666"/>
        <item x="251"/>
        <item x="79"/>
        <item x="593"/>
        <item x="604"/>
        <item x="308"/>
        <item x="184"/>
        <item x="654"/>
        <item x="120"/>
        <item x="571"/>
        <item x="627"/>
        <item x="347"/>
        <item x="207"/>
        <item x="151"/>
        <item x="326"/>
        <item x="220"/>
        <item x="246"/>
        <item x="600"/>
        <item x="374"/>
        <item x="24"/>
        <item x="609"/>
        <item x="361"/>
        <item x="131"/>
        <item x="13"/>
        <item x="238"/>
        <item x="458"/>
        <item x="629"/>
        <item x="62"/>
        <item x="626"/>
        <item x="250"/>
        <item x="88"/>
        <item x="643"/>
        <item x="281"/>
        <item x="8"/>
        <item x="514"/>
        <item x="558"/>
        <item x="73"/>
        <item x="568"/>
        <item x="583"/>
        <item x="620"/>
        <item x="594"/>
        <item x="468"/>
        <item x="256"/>
        <item x="102"/>
        <item x="74"/>
        <item x="430"/>
        <item x="532"/>
        <item x="671"/>
        <item x="653"/>
        <item x="493"/>
        <item x="98"/>
        <item x="28"/>
        <item x="672"/>
        <item x="584"/>
        <item x="286"/>
        <item x="524"/>
        <item x="350"/>
        <item x="528"/>
        <item x="511"/>
        <item x="293"/>
        <item x="330"/>
        <item x="548"/>
        <item x="520"/>
        <item x="263"/>
        <item x="201"/>
        <item x="262"/>
        <item x="48"/>
        <item x="254"/>
        <item x="385"/>
        <item x="121"/>
        <item x="434"/>
        <item x="279"/>
        <item x="623"/>
        <item x="97"/>
        <item x="498"/>
        <item x="171"/>
        <item x="667"/>
        <item x="105"/>
        <item x="463"/>
        <item x="436"/>
        <item x="41"/>
        <item x="358"/>
        <item x="552"/>
        <item x="673"/>
        <item x="7"/>
        <item x="497"/>
        <item x="543"/>
        <item x="561"/>
        <item x="659"/>
        <item x="507"/>
        <item x="335"/>
        <item x="418"/>
        <item x="549"/>
        <item x="595"/>
        <item x="136"/>
        <item x="174"/>
        <item x="605"/>
        <item x="572"/>
        <item x="519"/>
        <item x="337"/>
        <item x="404"/>
        <item x="159"/>
        <item x="14"/>
        <item x="338"/>
        <item x="470"/>
        <item x="476"/>
        <item x="224"/>
        <item x="153"/>
        <item x="597"/>
        <item x="556"/>
        <item x="449"/>
        <item x="633"/>
        <item x="91"/>
        <item x="391"/>
        <item x="495"/>
        <item x="502"/>
        <item x="77"/>
        <item x="420"/>
        <item x="489"/>
        <item x="170"/>
        <item x="602"/>
        <item x="365"/>
        <item x="133"/>
        <item x="527"/>
        <item x="269"/>
        <item x="641"/>
        <item x="192"/>
        <item x="215"/>
        <item x="186"/>
        <item x="439"/>
        <item x="332"/>
        <item x="640"/>
        <item x="176"/>
        <item x="227"/>
        <item x="168"/>
        <item x="113"/>
        <item x="178"/>
        <item x="45"/>
        <item x="117"/>
        <item x="258"/>
        <item x="244"/>
        <item x="680"/>
        <item x="501"/>
        <item x="389"/>
        <item x="106"/>
        <item x="149"/>
        <item x="462"/>
        <item x="4"/>
        <item x="75"/>
        <item x="616"/>
        <item x="92"/>
        <item x="368"/>
        <item x="586"/>
        <item x="236"/>
        <item x="426"/>
        <item x="16"/>
        <item x="610"/>
        <item x="233"/>
        <item x="301"/>
        <item x="656"/>
        <item x="647"/>
        <item x="592"/>
        <item x="351"/>
        <item x="181"/>
        <item x="617"/>
        <item x="321"/>
        <item x="101"/>
        <item x="336"/>
        <item x="83"/>
        <item x="67"/>
        <item x="49"/>
        <item x="442"/>
        <item x="405"/>
        <item x="36"/>
        <item x="486"/>
        <item x="141"/>
        <item x="410"/>
        <item x="415"/>
        <item x="467"/>
        <item x="475"/>
        <item x="362"/>
        <item x="50"/>
        <item x="0"/>
        <item x="285"/>
        <item x="205"/>
        <item x="190"/>
        <item x="271"/>
        <item x="384"/>
        <item x="536"/>
        <item x="183"/>
        <item x="407"/>
        <item x="488"/>
        <item x="252"/>
        <item x="359"/>
        <item x="12"/>
        <item x="226"/>
        <item x="123"/>
        <item x="142"/>
        <item x="394"/>
        <item x="115"/>
        <item x="118"/>
        <item x="425"/>
        <item x="637"/>
        <item x="315"/>
        <item x="323"/>
        <item x="237"/>
        <item x="372"/>
        <item x="90"/>
        <item x="32"/>
        <item x="540"/>
        <item x="248"/>
        <item x="125"/>
        <item x="65"/>
        <item x="209"/>
        <item x="55"/>
        <item x="212"/>
        <item x="69"/>
        <item x="135"/>
        <item x="150"/>
        <item x="432"/>
        <item x="57"/>
        <item x="302"/>
        <item x="652"/>
        <item x="417"/>
        <item x="675"/>
        <item x="58"/>
        <item x="523"/>
        <item x="148"/>
        <item x="539"/>
        <item x="189"/>
        <item x="280"/>
        <item x="388"/>
        <item x="143"/>
        <item x="163"/>
        <item x="274"/>
        <item x="155"/>
        <item x="428"/>
        <item x="473"/>
        <item x="559"/>
        <item x="563"/>
        <item x="319"/>
        <item x="564"/>
        <item x="441"/>
        <item x="275"/>
        <item x="114"/>
        <item x="30"/>
        <item x="51"/>
        <item x="239"/>
        <item x="229"/>
        <item x="665"/>
        <item x="655"/>
        <item x="129"/>
        <item x="161"/>
        <item x="243"/>
        <item x="144"/>
        <item x="1"/>
        <item x="619"/>
        <item x="29"/>
        <item x="429"/>
        <item x="33"/>
        <item x="63"/>
        <item x="277"/>
        <item x="414"/>
        <item x="175"/>
        <item x="292"/>
        <item x="264"/>
        <item x="93"/>
        <item x="231"/>
        <item x="645"/>
        <item x="327"/>
        <item x="273"/>
        <item x="94"/>
        <item x="240"/>
        <item x="448"/>
        <item x="203"/>
        <item x="10"/>
        <item x="44"/>
        <item x="636"/>
        <item x="606"/>
        <item x="522"/>
        <item x="70"/>
        <item x="139"/>
        <item x="66"/>
        <item x="471"/>
        <item x="333"/>
        <item x="490"/>
        <item x="369"/>
        <item x="400"/>
        <item x="42"/>
        <item x="164"/>
        <item x="126"/>
        <item x="454"/>
        <item x="664"/>
        <item x="261"/>
        <item x="312"/>
        <item x="214"/>
        <item x="82"/>
        <item x="500"/>
        <item x="395"/>
        <item x="122"/>
        <item x="314"/>
        <item x="188"/>
        <item x="615"/>
        <item x="366"/>
        <item x="466"/>
        <item x="598"/>
        <item x="649"/>
        <item x="427"/>
        <item x="412"/>
        <item x="676"/>
        <item x="465"/>
        <item x="85"/>
        <item x="198"/>
        <item x="146"/>
        <item x="352"/>
        <item x="487"/>
        <item x="370"/>
        <item x="217"/>
        <item x="157"/>
        <item x="533"/>
        <item x="479"/>
        <item x="587"/>
        <item x="342"/>
        <item x="518"/>
        <item x="329"/>
        <item x="112"/>
        <item x="579"/>
        <item x="132"/>
        <item x="2"/>
        <item x="194"/>
        <item x="635"/>
        <item x="204"/>
        <item x="440"/>
        <item x="216"/>
        <item x="614"/>
        <item x="84"/>
        <item x="210"/>
        <item x="89"/>
        <item x="197"/>
        <item x="451"/>
        <item t="default"/>
      </items>
    </pivotField>
    <pivotField compact="0" showAll="0">
      <items count="249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49">
        <item x="101"/>
        <item x="84"/>
        <item x="98"/>
        <item x="51"/>
        <item x="104"/>
        <item x="108"/>
        <item x="144"/>
        <item x="110"/>
        <item x="37"/>
        <item x="34"/>
        <item x="76"/>
        <item x="137"/>
        <item x="18"/>
        <item x="7"/>
        <item x="31"/>
        <item x="125"/>
        <item x="138"/>
        <item x="63"/>
        <item x="30"/>
        <item x="118"/>
        <item x="95"/>
        <item x="13"/>
        <item x="133"/>
        <item x="11"/>
        <item x="70"/>
        <item x="85"/>
        <item x="93"/>
        <item x="94"/>
        <item x="35"/>
        <item x="103"/>
        <item x="146"/>
        <item x="52"/>
        <item x="117"/>
        <item x="109"/>
        <item x="115"/>
        <item x="59"/>
        <item x="22"/>
        <item x="139"/>
        <item x="114"/>
        <item x="91"/>
        <item x="44"/>
        <item x="9"/>
        <item x="88"/>
        <item x="36"/>
        <item x="135"/>
        <item x="26"/>
        <item x="46"/>
        <item x="73"/>
        <item x="99"/>
        <item x="5"/>
        <item x="77"/>
        <item x="55"/>
        <item x="21"/>
        <item x="78"/>
        <item x="49"/>
        <item x="2"/>
        <item x="64"/>
        <item x="47"/>
        <item x="113"/>
        <item x="68"/>
        <item x="147"/>
        <item x="28"/>
        <item x="54"/>
        <item x="8"/>
        <item x="86"/>
        <item x="62"/>
        <item x="123"/>
        <item x="127"/>
        <item x="141"/>
        <item x="32"/>
        <item x="145"/>
        <item x="12"/>
        <item x="58"/>
        <item x="120"/>
        <item x="56"/>
        <item x="100"/>
        <item x="60"/>
        <item x="97"/>
        <item x="41"/>
        <item x="72"/>
        <item x="14"/>
        <item x="1"/>
        <item x="96"/>
        <item x="43"/>
        <item x="122"/>
        <item x="65"/>
        <item x="79"/>
        <item x="40"/>
        <item x="92"/>
        <item x="48"/>
        <item x="53"/>
        <item x="19"/>
        <item x="130"/>
        <item x="39"/>
        <item x="136"/>
        <item x="105"/>
        <item x="87"/>
        <item x="81"/>
        <item x="20"/>
        <item x="142"/>
        <item x="128"/>
        <item x="10"/>
        <item x="42"/>
        <item x="38"/>
        <item x="69"/>
        <item x="126"/>
        <item x="90"/>
        <item x="25"/>
        <item x="111"/>
        <item x="116"/>
        <item x="106"/>
        <item x="6"/>
        <item x="134"/>
        <item x="50"/>
        <item x="107"/>
        <item x="74"/>
        <item x="23"/>
        <item x="82"/>
        <item x="129"/>
        <item x="143"/>
        <item x="121"/>
        <item x="89"/>
        <item x="17"/>
        <item x="29"/>
        <item x="61"/>
        <item x="57"/>
        <item x="80"/>
        <item x="66"/>
        <item x="75"/>
        <item x="3"/>
        <item x="140"/>
        <item x="71"/>
        <item x="112"/>
        <item x="83"/>
        <item x="45"/>
        <item x="102"/>
        <item x="131"/>
        <item x="124"/>
        <item x="24"/>
        <item x="119"/>
        <item x="16"/>
        <item x="27"/>
        <item x="15"/>
        <item x="132"/>
        <item x="33"/>
        <item x="4"/>
        <item x="67"/>
        <item x="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Average of Survived" fld="1" subtotal="average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5:D46" firstHeaderRow="1" firstDataRow="2" firstDataCol="1"/>
  <pivotFields count="18">
    <pivotField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compact="0" defaultSubtotal="0" multipleItemSelectionAllowed="1" showAll="0">
      <items count="2">
        <item x="0"/>
        <item x="1"/>
      </items>
    </pivotField>
    <pivotField compact="0" showAll="0">
      <items count="4">
        <item h="1" x="1"/>
        <item h="1" x="2"/>
        <item x="0"/>
        <item t="default"/>
      </items>
    </pivotField>
    <pivotField compact="0" showAll="0">
      <items count="668">
        <item x="642"/>
        <item x="243"/>
        <item x="267"/>
        <item x="309"/>
        <item x="334"/>
        <item x="38"/>
        <item x="645"/>
        <item x="182"/>
        <item x="618"/>
        <item x="637"/>
        <item x="185"/>
        <item x="4"/>
        <item x="260"/>
        <item x="631"/>
        <item x="171"/>
        <item x="380"/>
        <item x="13"/>
        <item x="86"/>
        <item x="132"/>
        <item x="240"/>
        <item x="424"/>
        <item x="461"/>
        <item x="47"/>
        <item x="404"/>
        <item x="308"/>
        <item x="24"/>
        <item x="547"/>
        <item x="108"/>
        <item x="313"/>
        <item x="630"/>
        <item x="602"/>
        <item x="81"/>
        <item x="369"/>
        <item x="519"/>
        <item x="584"/>
        <item x="654"/>
        <item x="283"/>
        <item x="662"/>
        <item x="589"/>
        <item x="307"/>
        <item x="253"/>
        <item x="501"/>
        <item x="106"/>
        <item x="136"/>
        <item x="151"/>
        <item x="111"/>
        <item x="193"/>
        <item x="441"/>
        <item x="316"/>
        <item x="162"/>
        <item x="217"/>
        <item x="21"/>
        <item x="665"/>
        <item x="147"/>
        <item x="199"/>
        <item x="567"/>
        <item x="320"/>
        <item x="321"/>
        <item x="70"/>
        <item x="339"/>
        <item x="254"/>
        <item x="234"/>
        <item x="357"/>
        <item x="290"/>
        <item x="184"/>
        <item x="11"/>
        <item x="499"/>
        <item x="128"/>
        <item x="167"/>
        <item x="495"/>
        <item x="302"/>
        <item x="195"/>
        <item x="415"/>
        <item x="0"/>
        <item x="592"/>
        <item x="489"/>
        <item x="172"/>
        <item x="563"/>
        <item x="131"/>
        <item x="288"/>
        <item x="326"/>
        <item x="522"/>
        <item x="436"/>
        <item x="135"/>
        <item x="650"/>
        <item x="390"/>
        <item x="235"/>
        <item x="550"/>
        <item x="74"/>
        <item x="148"/>
        <item x="186"/>
        <item x="386"/>
        <item x="410"/>
        <item x="36"/>
        <item x="465"/>
        <item x="170"/>
        <item x="533"/>
        <item x="583"/>
        <item x="183"/>
        <item x="79"/>
        <item x="218"/>
        <item x="573"/>
        <item x="84"/>
        <item x="87"/>
        <item x="561"/>
        <item x="477"/>
        <item x="349"/>
        <item x="225"/>
        <item x="150"/>
        <item x="635"/>
        <item x="85"/>
        <item x="466"/>
        <item x="69"/>
        <item x="353"/>
        <item x="551"/>
        <item x="393"/>
        <item x="120"/>
        <item x="180"/>
        <item x="420"/>
        <item x="212"/>
        <item x="291"/>
        <item x="520"/>
        <item x="208"/>
        <item x="632"/>
        <item x="578"/>
        <item x="252"/>
        <item x="110"/>
        <item x="524"/>
        <item x="510"/>
        <item x="142"/>
        <item x="295"/>
        <item x="89"/>
        <item x="65"/>
        <item x="145"/>
        <item x="440"/>
        <item x="641"/>
        <item x="1"/>
        <item x="341"/>
        <item x="289"/>
        <item x="661"/>
        <item x="537"/>
        <item x="417"/>
        <item x="351"/>
        <item x="485"/>
        <item x="279"/>
        <item x="609"/>
        <item x="526"/>
        <item x="325"/>
        <item x="505"/>
        <item x="294"/>
        <item x="452"/>
        <item x="249"/>
        <item x="246"/>
        <item x="88"/>
        <item x="306"/>
        <item x="287"/>
        <item x="278"/>
        <item x="42"/>
        <item x="540"/>
        <item x="296"/>
        <item x="367"/>
        <item x="459"/>
        <item x="93"/>
        <item x="666"/>
        <item x="247"/>
        <item x="442"/>
        <item x="75"/>
        <item x="467"/>
        <item x="119"/>
        <item x="344"/>
        <item x="244"/>
        <item x="450"/>
        <item x="651"/>
        <item x="530"/>
        <item x="518"/>
        <item x="590"/>
        <item x="118"/>
        <item x="299"/>
        <item x="476"/>
        <item x="599"/>
        <item x="25"/>
        <item x="556"/>
        <item x="407"/>
        <item x="202"/>
        <item x="430"/>
        <item x="432"/>
        <item x="51"/>
        <item x="538"/>
        <item x="265"/>
        <item x="355"/>
        <item x="509"/>
        <item x="82"/>
        <item x="372"/>
        <item x="26"/>
        <item x="293"/>
        <item x="268"/>
        <item x="286"/>
        <item x="439"/>
        <item x="471"/>
        <item x="397"/>
        <item x="622"/>
        <item x="303"/>
        <item x="3"/>
        <item x="20"/>
        <item x="336"/>
        <item x="549"/>
        <item x="587"/>
        <item x="464"/>
        <item x="608"/>
        <item x="491"/>
        <item x="382"/>
        <item x="348"/>
        <item x="127"/>
        <item x="647"/>
        <item x="472"/>
        <item x="649"/>
        <item x="559"/>
        <item x="141"/>
        <item x="188"/>
        <item x="31"/>
        <item x="373"/>
        <item x="91"/>
        <item x="149"/>
        <item x="385"/>
        <item x="57"/>
        <item x="233"/>
        <item x="196"/>
        <item x="554"/>
        <item x="92"/>
        <item x="594"/>
        <item x="607"/>
        <item x="99"/>
        <item x="256"/>
        <item x="371"/>
        <item x="130"/>
        <item x="159"/>
        <item x="216"/>
        <item x="363"/>
        <item x="259"/>
        <item x="494"/>
        <item x="314"/>
        <item x="206"/>
        <item x="605"/>
        <item x="50"/>
        <item x="480"/>
        <item x="60"/>
        <item x="229"/>
        <item x="273"/>
        <item x="535"/>
        <item x="565"/>
        <item x="572"/>
        <item x="269"/>
        <item x="239"/>
        <item x="616"/>
        <item x="516"/>
        <item x="2"/>
        <item x="623"/>
        <item x="272"/>
        <item x="230"/>
        <item x="490"/>
        <item x="15"/>
        <item x="112"/>
        <item x="284"/>
        <item x="396"/>
        <item x="434"/>
        <item x="560"/>
        <item x="591"/>
        <item x="207"/>
        <item x="625"/>
        <item x="34"/>
        <item x="482"/>
        <item x="191"/>
        <item x="68"/>
        <item x="488"/>
        <item x="251"/>
        <item x="198"/>
        <item x="546"/>
        <item x="210"/>
        <item x="613"/>
        <item x="59"/>
        <item x="80"/>
        <item x="564"/>
        <item x="158"/>
        <item x="570"/>
        <item x="192"/>
        <item x="375"/>
        <item x="329"/>
        <item x="487"/>
        <item x="470"/>
        <item x="67"/>
        <item x="507"/>
        <item x="312"/>
        <item x="391"/>
        <item x="366"/>
        <item x="178"/>
        <item x="98"/>
        <item x="8"/>
        <item x="604"/>
        <item x="582"/>
        <item x="460"/>
        <item x="107"/>
        <item x="360"/>
        <item x="514"/>
        <item x="94"/>
        <item x="484"/>
        <item x="395"/>
        <item x="541"/>
        <item x="429"/>
        <item x="264"/>
        <item x="389"/>
        <item x="262"/>
        <item x="400"/>
        <item x="377"/>
        <item x="189"/>
        <item x="600"/>
        <item x="493"/>
        <item x="66"/>
        <item x="163"/>
        <item x="497"/>
        <item x="553"/>
        <item x="156"/>
        <item x="566"/>
        <item x="40"/>
        <item x="362"/>
        <item x="428"/>
        <item x="271"/>
        <item x="412"/>
        <item x="657"/>
        <item x="542"/>
        <item x="318"/>
        <item x="416"/>
        <item x="41"/>
        <item x="203"/>
        <item x="611"/>
        <item x="447"/>
        <item x="157"/>
        <item x="328"/>
        <item x="506"/>
        <item x="478"/>
        <item x="640"/>
        <item x="422"/>
        <item x="44"/>
        <item x="160"/>
        <item x="437"/>
        <item x="619"/>
        <item x="569"/>
        <item x="255"/>
        <item x="258"/>
        <item x="205"/>
        <item x="595"/>
        <item x="215"/>
        <item x="241"/>
        <item x="483"/>
        <item x="521"/>
        <item x="644"/>
        <item x="152"/>
        <item x="221"/>
        <item x="603"/>
        <item x="498"/>
        <item x="359"/>
        <item x="201"/>
        <item x="626"/>
        <item x="502"/>
        <item x="173"/>
        <item x="596"/>
        <item x="175"/>
        <item x="539"/>
        <item x="116"/>
        <item x="213"/>
        <item x="413"/>
        <item x="384"/>
        <item x="624"/>
        <item x="35"/>
        <item x="593"/>
        <item x="562"/>
        <item x="636"/>
        <item x="643"/>
        <item x="660"/>
        <item x="577"/>
        <item x="19"/>
        <item x="346"/>
        <item x="552"/>
        <item x="6"/>
        <item x="628"/>
        <item x="263"/>
        <item x="78"/>
        <item x="558"/>
        <item x="418"/>
        <item x="304"/>
        <item x="22"/>
        <item x="330"/>
        <item x="115"/>
        <item x="574"/>
        <item x="457"/>
        <item x="343"/>
        <item x="237"/>
        <item x="200"/>
        <item x="138"/>
        <item x="174"/>
        <item x="33"/>
        <item x="376"/>
        <item x="383"/>
        <item x="214"/>
        <item x="257"/>
        <item x="100"/>
        <item x="527"/>
        <item x="513"/>
        <item x="305"/>
        <item x="71"/>
        <item x="403"/>
        <item x="664"/>
        <item x="580"/>
        <item x="113"/>
        <item x="5"/>
        <item x="275"/>
        <item x="381"/>
        <item x="453"/>
        <item x="102"/>
        <item x="63"/>
        <item x="311"/>
        <item x="73"/>
        <item x="638"/>
        <item x="545"/>
        <item x="473"/>
        <item x="211"/>
        <item x="597"/>
        <item x="250"/>
        <item x="656"/>
        <item x="322"/>
        <item x="571"/>
        <item x="9"/>
        <item x="238"/>
        <item x="134"/>
        <item x="197"/>
        <item x="190"/>
        <item x="125"/>
        <item x="133"/>
        <item x="443"/>
        <item x="37"/>
        <item x="274"/>
        <item x="588"/>
        <item x="333"/>
        <item x="455"/>
        <item x="49"/>
        <item x="55"/>
        <item x="64"/>
        <item x="129"/>
        <item x="282"/>
        <item x="165"/>
        <item x="500"/>
        <item x="379"/>
        <item x="297"/>
        <item x="45"/>
        <item x="27"/>
        <item x="448"/>
        <item x="515"/>
        <item x="140"/>
        <item x="245"/>
        <item x="536"/>
        <item x="335"/>
        <item x="126"/>
        <item x="612"/>
        <item x="52"/>
        <item x="411"/>
        <item x="610"/>
        <item x="444"/>
        <item x="331"/>
        <item x="7"/>
        <item x="48"/>
        <item x="242"/>
        <item x="504"/>
        <item x="227"/>
        <item x="285"/>
        <item x="633"/>
        <item x="463"/>
        <item x="469"/>
        <item x="425"/>
        <item x="137"/>
        <item x="374"/>
        <item x="109"/>
        <item x="266"/>
        <item x="209"/>
        <item x="187"/>
        <item x="161"/>
        <item x="426"/>
        <item x="232"/>
        <item x="117"/>
        <item x="534"/>
        <item x="95"/>
        <item x="96"/>
        <item x="364"/>
        <item x="617"/>
        <item x="370"/>
        <item x="354"/>
        <item x="356"/>
        <item x="169"/>
        <item x="324"/>
        <item x="614"/>
        <item x="104"/>
        <item x="658"/>
        <item x="414"/>
        <item x="517"/>
        <item x="646"/>
        <item x="219"/>
        <item x="231"/>
        <item x="103"/>
        <item x="394"/>
        <item x="627"/>
        <item x="365"/>
        <item x="16"/>
        <item x="124"/>
        <item x="338"/>
        <item x="431"/>
        <item x="317"/>
        <item x="474"/>
        <item x="438"/>
        <item x="451"/>
        <item x="601"/>
        <item x="121"/>
        <item x="652"/>
        <item x="43"/>
        <item x="166"/>
        <item x="523"/>
        <item x="164"/>
        <item x="222"/>
        <item x="468"/>
        <item x="586"/>
        <item x="419"/>
        <item x="398"/>
        <item x="54"/>
        <item x="462"/>
        <item x="423"/>
        <item x="270"/>
        <item x="543"/>
        <item x="261"/>
        <item x="327"/>
        <item x="144"/>
        <item x="508"/>
        <item x="101"/>
        <item x="433"/>
        <item x="46"/>
        <item x="10"/>
        <item x="12"/>
        <item x="531"/>
        <item x="388"/>
        <item x="340"/>
        <item x="292"/>
        <item x="639"/>
        <item x="368"/>
        <item x="446"/>
        <item x="77"/>
        <item x="408"/>
        <item x="659"/>
        <item x="90"/>
        <item x="486"/>
        <item x="345"/>
        <item x="548"/>
        <item x="361"/>
        <item x="456"/>
        <item x="511"/>
        <item x="576"/>
        <item x="58"/>
        <item x="634"/>
        <item x="454"/>
        <item x="154"/>
        <item x="606"/>
        <item x="204"/>
        <item x="61"/>
        <item x="479"/>
        <item x="280"/>
        <item x="620"/>
        <item x="83"/>
        <item x="23"/>
        <item x="387"/>
        <item x="143"/>
        <item x="155"/>
        <item x="123"/>
        <item x="555"/>
        <item x="401"/>
        <item x="277"/>
        <item x="30"/>
        <item x="503"/>
        <item x="72"/>
        <item x="248"/>
        <item x="405"/>
        <item x="220"/>
        <item x="475"/>
        <item x="62"/>
        <item x="629"/>
        <item x="458"/>
        <item x="392"/>
        <item x="575"/>
        <item x="181"/>
        <item x="194"/>
        <item x="342"/>
        <item x="663"/>
        <item x="496"/>
        <item x="409"/>
        <item x="648"/>
        <item x="228"/>
        <item x="525"/>
        <item x="445"/>
        <item x="585"/>
        <item x="615"/>
        <item x="224"/>
        <item x="358"/>
        <item x="323"/>
        <item x="598"/>
        <item x="28"/>
        <item x="621"/>
        <item x="378"/>
        <item x="481"/>
        <item x="236"/>
        <item x="435"/>
        <item x="223"/>
        <item x="568"/>
        <item x="332"/>
        <item x="557"/>
        <item x="168"/>
        <item x="532"/>
        <item x="399"/>
        <item x="39"/>
        <item x="29"/>
        <item x="139"/>
        <item x="153"/>
        <item x="347"/>
        <item x="653"/>
        <item x="581"/>
        <item x="177"/>
        <item x="301"/>
        <item x="655"/>
        <item x="18"/>
        <item x="14"/>
        <item x="427"/>
        <item x="76"/>
        <item x="421"/>
        <item x="226"/>
        <item x="310"/>
        <item x="529"/>
        <item x="146"/>
        <item x="114"/>
        <item x="544"/>
        <item x="122"/>
        <item x="579"/>
        <item x="56"/>
        <item x="32"/>
        <item x="97"/>
        <item x="276"/>
        <item x="337"/>
        <item x="319"/>
        <item x="315"/>
        <item x="528"/>
        <item x="512"/>
        <item x="17"/>
        <item x="298"/>
        <item x="402"/>
        <item x="352"/>
        <item x="53"/>
        <item x="449"/>
        <item x="492"/>
        <item x="281"/>
        <item x="179"/>
        <item x="300"/>
        <item x="406"/>
        <item x="176"/>
        <item x="105"/>
        <item x="350"/>
        <item t="default"/>
      </items>
    </pivotField>
    <pivotField compact="0" showAll="0">
      <items count="800">
        <item x="313"/>
        <item x="481"/>
        <item x="738"/>
        <item x="348"/>
        <item x="163"/>
        <item x="262"/>
        <item x="65"/>
        <item x="452"/>
        <item x="775"/>
        <item x="516"/>
        <item x="252"/>
        <item x="352"/>
        <item x="522"/>
        <item x="14"/>
        <item x="695"/>
        <item x="186"/>
        <item x="707"/>
        <item x="78"/>
        <item x="784"/>
        <item x="349"/>
        <item x="634"/>
        <item x="285"/>
        <item x="240"/>
        <item x="316"/>
        <item x="206"/>
        <item x="732"/>
        <item x="63"/>
        <item x="629"/>
        <item x="704"/>
        <item x="309"/>
        <item x="105"/>
        <item x="214"/>
        <item x="77"/>
        <item x="261"/>
        <item x="129"/>
        <item x="34"/>
        <item x="365"/>
        <item x="272"/>
        <item x="149"/>
        <item x="378"/>
        <item x="391"/>
        <item x="529"/>
        <item x="523"/>
        <item x="785"/>
        <item x="574"/>
        <item x="631"/>
        <item x="561"/>
        <item x="715"/>
        <item x="327"/>
        <item x="230"/>
        <item x="281"/>
        <item x="71"/>
        <item x="260"/>
        <item x="331"/>
        <item x="60"/>
        <item x="746"/>
        <item x="442"/>
        <item x="591"/>
        <item x="12"/>
        <item x="557"/>
        <item x="102"/>
        <item x="741"/>
        <item x="710"/>
        <item x="706"/>
        <item x="173"/>
        <item x="125"/>
        <item x="21"/>
        <item x="287"/>
        <item x="104"/>
        <item x="138"/>
        <item x="484"/>
        <item x="353"/>
        <item x="343"/>
        <item x="652"/>
        <item x="757"/>
        <item x="450"/>
        <item x="565"/>
        <item x="744"/>
        <item x="579"/>
        <item x="169"/>
        <item x="72"/>
        <item x="497"/>
        <item x="223"/>
        <item x="167"/>
        <item x="505"/>
        <item x="424"/>
        <item x="434"/>
        <item x="690"/>
        <item x="599"/>
        <item x="721"/>
        <item x="776"/>
        <item x="726"/>
        <item x="143"/>
        <item x="681"/>
        <item x="646"/>
        <item x="754"/>
        <item x="266"/>
        <item x="37"/>
        <item x="359"/>
        <item x="317"/>
        <item x="150"/>
        <item x="703"/>
        <item x="226"/>
        <item x="301"/>
        <item x="415"/>
        <item x="427"/>
        <item x="404"/>
        <item x="288"/>
        <item x="419"/>
        <item x="82"/>
        <item x="643"/>
        <item x="91"/>
        <item x="709"/>
        <item x="626"/>
        <item x="46"/>
        <item x="468"/>
        <item x="80"/>
        <item x="526"/>
        <item x="371"/>
        <item x="24"/>
        <item x="385"/>
        <item x="188"/>
        <item x="648"/>
        <item x="396"/>
        <item x="495"/>
        <item x="797"/>
        <item x="780"/>
        <item x="750"/>
        <item x="613"/>
        <item x="26"/>
        <item x="407"/>
        <item x="152"/>
        <item x="622"/>
        <item x="16"/>
        <item x="329"/>
        <item x="263"/>
        <item x="183"/>
        <item x="367"/>
        <item x="93"/>
        <item x="570"/>
        <item x="735"/>
        <item x="402"/>
        <item x="586"/>
        <item x="219"/>
        <item x="178"/>
        <item x="770"/>
        <item x="207"/>
        <item x="176"/>
        <item x="57"/>
        <item x="547"/>
        <item x="390"/>
        <item x="92"/>
        <item x="692"/>
        <item x="691"/>
        <item x="675"/>
        <item x="249"/>
        <item x="256"/>
        <item x="109"/>
        <item x="569"/>
        <item x="255"/>
        <item x="45"/>
        <item x="696"/>
        <item x="453"/>
        <item x="279"/>
        <item x="128"/>
        <item x="411"/>
        <item x="773"/>
        <item x="758"/>
        <item x="729"/>
        <item x="627"/>
        <item x="458"/>
        <item x="33"/>
        <item x="358"/>
        <item x="141"/>
        <item x="326"/>
        <item x="112"/>
        <item x="552"/>
        <item x="254"/>
        <item x="503"/>
        <item x="506"/>
        <item x="665"/>
        <item x="273"/>
        <item x="456"/>
        <item x="527"/>
        <item x="673"/>
        <item x="32"/>
        <item x="641"/>
        <item x="602"/>
        <item x="463"/>
        <item x="702"/>
        <item x="566"/>
        <item x="649"/>
        <item x="425"/>
        <item x="441"/>
        <item x="460"/>
        <item x="161"/>
        <item x="604"/>
        <item x="533"/>
        <item x="168"/>
        <item x="122"/>
        <item x="542"/>
        <item x="212"/>
        <item x="376"/>
        <item x="660"/>
        <item x="191"/>
        <item x="11"/>
        <item x="697"/>
        <item x="323"/>
        <item x="464"/>
        <item x="556"/>
        <item x="432"/>
        <item x="27"/>
        <item x="725"/>
        <item x="116"/>
        <item x="645"/>
        <item x="609"/>
        <item x="593"/>
        <item x="342"/>
        <item x="88"/>
        <item x="517"/>
        <item x="132"/>
        <item x="55"/>
        <item x="298"/>
        <item x="584"/>
        <item x="418"/>
        <item x="53"/>
        <item x="614"/>
        <item x="268"/>
        <item x="375"/>
        <item x="328"/>
        <item x="67"/>
        <item x="304"/>
        <item x="36"/>
        <item x="243"/>
        <item x="764"/>
        <item x="66"/>
        <item x="730"/>
        <item x="257"/>
        <item x="227"/>
        <item x="562"/>
        <item x="399"/>
        <item x="258"/>
        <item x="550"/>
        <item x="282"/>
        <item x="530"/>
        <item x="15"/>
        <item x="476"/>
        <item x="587"/>
        <item x="496"/>
        <item x="513"/>
        <item x="475"/>
        <item x="488"/>
        <item x="25"/>
        <item x="18"/>
        <item x="337"/>
        <item x="640"/>
        <item x="87"/>
        <item x="267"/>
        <item x="430"/>
        <item x="457"/>
        <item x="81"/>
        <item x="270"/>
        <item x="508"/>
        <item x="314"/>
        <item x="162"/>
        <item x="351"/>
        <item x="782"/>
        <item x="422"/>
        <item x="306"/>
        <item x="197"/>
        <item x="617"/>
        <item x="616"/>
        <item x="472"/>
        <item x="771"/>
        <item x="792"/>
        <item x="772"/>
        <item x="220"/>
        <item x="455"/>
        <item x="431"/>
        <item x="233"/>
        <item x="124"/>
        <item x="515"/>
        <item x="473"/>
        <item x="355"/>
        <item x="94"/>
        <item x="766"/>
        <item x="318"/>
        <item x="598"/>
        <item x="218"/>
        <item x="708"/>
        <item x="310"/>
        <item x="743"/>
        <item x="444"/>
        <item x="745"/>
        <item x="628"/>
        <item x="791"/>
        <item x="64"/>
        <item x="199"/>
        <item x="250"/>
        <item x="251"/>
        <item x="7"/>
        <item x="571"/>
        <item x="572"/>
        <item x="518"/>
        <item x="200"/>
        <item x="615"/>
        <item x="101"/>
        <item x="666"/>
        <item x="642"/>
        <item x="620"/>
        <item x="35"/>
        <item x="686"/>
        <item x="264"/>
        <item x="595"/>
        <item x="209"/>
        <item x="688"/>
        <item x="387"/>
        <item x="583"/>
        <item x="62"/>
        <item x="779"/>
        <item x="449"/>
        <item x="500"/>
        <item x="154"/>
        <item x="551"/>
        <item x="360"/>
        <item x="461"/>
        <item x="580"/>
        <item x="719"/>
        <item x="499"/>
        <item x="204"/>
        <item x="284"/>
        <item x="345"/>
        <item x="133"/>
        <item x="439"/>
        <item x="302"/>
        <item x="195"/>
        <item x="638"/>
        <item x="205"/>
        <item x="61"/>
        <item x="225"/>
        <item x="568"/>
        <item x="172"/>
        <item x="793"/>
        <item x="474"/>
        <item x="612"/>
        <item x="654"/>
        <item x="639"/>
        <item x="588"/>
        <item x="51"/>
        <item x="600"/>
        <item x="320"/>
        <item x="90"/>
        <item x="644"/>
        <item x="308"/>
        <item x="448"/>
        <item x="108"/>
        <item x="374"/>
        <item x="661"/>
        <item x="291"/>
        <item x="465"/>
        <item x="292"/>
        <item x="54"/>
        <item x="181"/>
        <item x="13"/>
        <item x="520"/>
        <item x="388"/>
        <item x="443"/>
        <item x="300"/>
        <item x="685"/>
        <item x="524"/>
        <item x="752"/>
        <item x="501"/>
        <item x="426"/>
        <item x="75"/>
        <item x="625"/>
        <item x="608"/>
        <item x="435"/>
        <item x="134"/>
        <item x="3"/>
        <item x="749"/>
        <item x="198"/>
        <item x="5"/>
        <item x="158"/>
        <item x="286"/>
        <item x="170"/>
        <item x="244"/>
        <item x="217"/>
        <item x="190"/>
        <item x="477"/>
        <item x="394"/>
        <item x="38"/>
        <item x="79"/>
        <item x="485"/>
        <item x="545"/>
        <item x="718"/>
        <item x="315"/>
        <item x="454"/>
        <item x="140"/>
        <item x="756"/>
        <item x="546"/>
        <item x="676"/>
        <item x="126"/>
        <item x="39"/>
        <item x="372"/>
        <item x="417"/>
        <item x="312"/>
        <item x="414"/>
        <item x="392"/>
        <item x="575"/>
        <item x="490"/>
        <item x="790"/>
        <item x="594"/>
        <item x="678"/>
        <item x="184"/>
        <item x="597"/>
        <item x="633"/>
        <item x="535"/>
        <item x="510"/>
        <item x="1"/>
        <item x="689"/>
        <item x="165"/>
        <item x="540"/>
        <item x="733"/>
        <item x="737"/>
        <item x="222"/>
        <item x="157"/>
        <item x="208"/>
        <item x="537"/>
        <item x="528"/>
        <item x="635"/>
        <item x="438"/>
        <item x="509"/>
        <item x="96"/>
        <item x="159"/>
        <item x="774"/>
        <item x="558"/>
        <item x="339"/>
        <item x="48"/>
        <item x="429"/>
        <item x="555"/>
        <item x="532"/>
        <item x="137"/>
        <item x="142"/>
        <item x="19"/>
        <item x="494"/>
        <item x="624"/>
        <item x="335"/>
        <item x="160"/>
        <item x="127"/>
        <item x="380"/>
        <item x="581"/>
        <item x="49"/>
        <item x="364"/>
        <item x="507"/>
        <item x="534"/>
        <item x="17"/>
        <item x="795"/>
        <item x="667"/>
        <item x="202"/>
        <item x="83"/>
        <item x="324"/>
        <item x="361"/>
        <item x="798"/>
        <item x="221"/>
        <item x="723"/>
        <item x="193"/>
        <item x="734"/>
        <item x="278"/>
        <item x="403"/>
        <item x="235"/>
        <item x="153"/>
        <item x="619"/>
        <item x="110"/>
        <item x="632"/>
        <item x="171"/>
        <item x="607"/>
        <item x="459"/>
        <item x="265"/>
        <item x="469"/>
        <item x="787"/>
        <item x="658"/>
        <item x="2"/>
        <item x="28"/>
        <item x="296"/>
        <item x="20"/>
        <item x="73"/>
        <item x="740"/>
        <item x="398"/>
        <item x="319"/>
        <item x="341"/>
        <item x="416"/>
        <item x="118"/>
        <item x="596"/>
        <item x="354"/>
        <item x="130"/>
        <item x="664"/>
        <item x="605"/>
        <item x="446"/>
        <item x="70"/>
        <item x="228"/>
        <item x="175"/>
        <item x="589"/>
        <item x="52"/>
        <item x="487"/>
        <item x="410"/>
        <item x="489"/>
        <item x="180"/>
        <item x="440"/>
        <item x="395"/>
        <item x="578"/>
        <item x="86"/>
        <item x="211"/>
        <item x="421"/>
        <item x="111"/>
        <item x="651"/>
        <item x="630"/>
        <item x="56"/>
        <item x="283"/>
        <item x="29"/>
        <item x="437"/>
        <item x="716"/>
        <item x="293"/>
        <item x="194"/>
        <item x="297"/>
        <item x="43"/>
        <item x="796"/>
        <item x="559"/>
        <item x="657"/>
        <item x="585"/>
        <item x="10"/>
        <item x="381"/>
        <item x="363"/>
        <item x="423"/>
        <item x="311"/>
        <item x="383"/>
        <item x="759"/>
        <item x="332"/>
        <item x="564"/>
        <item x="373"/>
        <item x="232"/>
        <item x="413"/>
        <item x="123"/>
        <item x="478"/>
        <item x="344"/>
        <item x="31"/>
        <item x="763"/>
        <item x="305"/>
        <item x="277"/>
        <item x="224"/>
        <item x="98"/>
        <item x="369"/>
        <item x="543"/>
        <item x="237"/>
        <item x="433"/>
        <item x="405"/>
        <item x="350"/>
        <item x="576"/>
        <item x="541"/>
        <item x="677"/>
        <item x="650"/>
        <item x="145"/>
        <item x="189"/>
        <item x="553"/>
        <item x="155"/>
        <item x="705"/>
        <item x="668"/>
        <item x="592"/>
        <item x="321"/>
        <item x="601"/>
        <item x="663"/>
        <item x="493"/>
        <item x="203"/>
        <item x="672"/>
        <item x="786"/>
        <item x="196"/>
        <item x="119"/>
        <item x="9"/>
        <item x="694"/>
        <item x="736"/>
        <item x="408"/>
        <item x="525"/>
        <item x="447"/>
        <item x="271"/>
        <item x="336"/>
        <item x="290"/>
        <item x="655"/>
        <item x="727"/>
        <item x="762"/>
        <item x="590"/>
        <item x="684"/>
        <item x="135"/>
        <item x="151"/>
        <item x="466"/>
        <item x="59"/>
        <item x="8"/>
        <item x="722"/>
        <item x="747"/>
        <item x="0"/>
        <item x="99"/>
        <item x="113"/>
        <item x="573"/>
        <item x="89"/>
        <item x="698"/>
        <item x="603"/>
        <item x="382"/>
        <item x="139"/>
        <item x="276"/>
        <item x="582"/>
        <item x="406"/>
        <item x="511"/>
        <item x="121"/>
        <item x="682"/>
        <item x="467"/>
        <item x="549"/>
        <item x="647"/>
        <item x="377"/>
        <item x="767"/>
        <item x="445"/>
        <item x="656"/>
        <item x="755"/>
        <item x="778"/>
        <item x="210"/>
        <item x="401"/>
        <item x="492"/>
        <item x="751"/>
        <item x="659"/>
        <item x="115"/>
        <item x="76"/>
        <item x="769"/>
        <item x="462"/>
        <item x="174"/>
        <item x="236"/>
        <item x="606"/>
        <item x="177"/>
        <item x="693"/>
        <item x="280"/>
        <item x="714"/>
        <item x="50"/>
        <item x="179"/>
        <item x="100"/>
        <item x="491"/>
        <item x="451"/>
        <item x="728"/>
        <item x="242"/>
        <item x="781"/>
        <item x="274"/>
        <item x="713"/>
        <item x="192"/>
        <item x="521"/>
        <item x="662"/>
        <item x="147"/>
        <item x="229"/>
        <item x="554"/>
        <item x="470"/>
        <item x="144"/>
        <item x="699"/>
        <item x="362"/>
        <item x="674"/>
        <item x="539"/>
        <item x="567"/>
        <item x="637"/>
        <item x="765"/>
        <item x="295"/>
        <item x="783"/>
        <item x="679"/>
        <item x="498"/>
        <item x="131"/>
        <item x="428"/>
        <item x="760"/>
        <item x="356"/>
        <item x="748"/>
        <item x="486"/>
        <item x="479"/>
        <item x="347"/>
        <item x="85"/>
        <item x="384"/>
        <item x="412"/>
        <item x="368"/>
        <item x="213"/>
        <item x="548"/>
        <item x="502"/>
        <item x="74"/>
        <item x="761"/>
        <item x="436"/>
        <item x="42"/>
        <item x="97"/>
        <item x="303"/>
        <item x="238"/>
        <item x="768"/>
        <item x="636"/>
        <item x="397"/>
        <item x="117"/>
        <item x="330"/>
        <item x="269"/>
        <item x="483"/>
        <item x="711"/>
        <item x="231"/>
        <item x="69"/>
        <item x="325"/>
        <item x="357"/>
        <item x="185"/>
        <item x="103"/>
        <item x="120"/>
        <item x="671"/>
        <item x="653"/>
        <item x="338"/>
        <item x="201"/>
        <item x="234"/>
        <item x="41"/>
        <item x="275"/>
        <item x="253"/>
        <item x="393"/>
        <item x="148"/>
        <item x="182"/>
        <item x="753"/>
        <item x="322"/>
        <item x="618"/>
        <item x="156"/>
        <item x="333"/>
        <item x="701"/>
        <item x="742"/>
        <item x="724"/>
        <item x="788"/>
        <item x="683"/>
        <item x="146"/>
        <item x="519"/>
        <item x="623"/>
        <item x="610"/>
        <item x="621"/>
        <item x="611"/>
        <item x="106"/>
        <item x="512"/>
        <item x="6"/>
        <item x="389"/>
        <item x="23"/>
        <item x="670"/>
        <item x="739"/>
        <item x="538"/>
        <item x="366"/>
        <item x="514"/>
        <item x="136"/>
        <item x="471"/>
        <item x="294"/>
        <item x="216"/>
        <item x="248"/>
        <item x="400"/>
        <item x="680"/>
        <item x="68"/>
        <item x="700"/>
        <item x="215"/>
        <item x="544"/>
        <item x="107"/>
        <item x="504"/>
        <item x="669"/>
        <item x="420"/>
        <item x="777"/>
        <item x="340"/>
        <item x="731"/>
        <item x="346"/>
        <item x="245"/>
        <item x="187"/>
        <item x="164"/>
        <item x="299"/>
        <item x="241"/>
        <item x="789"/>
        <item x="794"/>
        <item x="482"/>
        <item x="560"/>
        <item x="480"/>
        <item x="247"/>
        <item x="563"/>
        <item x="30"/>
        <item x="409"/>
        <item x="531"/>
        <item x="95"/>
        <item x="289"/>
        <item x="239"/>
        <item x="370"/>
        <item x="687"/>
        <item x="712"/>
        <item x="58"/>
        <item x="379"/>
        <item x="4"/>
        <item x="577"/>
        <item x="536"/>
        <item x="44"/>
        <item x="114"/>
        <item x="40"/>
        <item x="334"/>
        <item x="84"/>
        <item x="386"/>
        <item x="246"/>
        <item x="22"/>
        <item x="259"/>
        <item x="720"/>
        <item x="166"/>
        <item x="307"/>
        <item x="47"/>
        <item x="717"/>
        <item t="default"/>
      </items>
    </pivotField>
    <pivotField compact="0" showAll="0">
      <items count="18">
        <item x="14"/>
        <item x="13"/>
        <item x="4"/>
        <item x="6"/>
        <item x="16"/>
        <item x="10"/>
        <item x="9"/>
        <item x="3"/>
        <item x="2"/>
        <item x="12"/>
        <item x="7"/>
        <item x="0"/>
        <item x="1"/>
        <item x="8"/>
        <item x="5"/>
        <item x="11"/>
        <item x="1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x="4"/>
        <item t="default"/>
      </items>
    </pivotField>
    <pivotField compact="0" showAll="0">
      <items count="8">
        <item x="1"/>
        <item x="0"/>
        <item x="4"/>
        <item x="2"/>
        <item x="3"/>
        <item x="5"/>
        <item x="6"/>
        <item t="default"/>
      </items>
    </pivotField>
    <pivotField compact="0" showAll="0">
      <items count="8">
        <item x="0"/>
        <item x="1"/>
        <item x="2"/>
        <item x="4"/>
        <item x="5"/>
        <item x="3"/>
        <item x="6"/>
        <item t="default"/>
      </items>
    </pivotField>
    <pivotField axis="axisRow" dataField="1" compact="0" showAll="0">
      <items count="10">
        <item x="1"/>
        <item x="0"/>
        <item x="3"/>
        <item x="6"/>
        <item x="2"/>
        <item x="5"/>
        <item x="4"/>
        <item x="7"/>
        <item x="8"/>
        <item t="default"/>
      </items>
    </pivotField>
    <pivotField axis="axisCol" compact="0" multipleItemSelectionAllowed="1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682">
        <item x="453"/>
        <item x="668"/>
        <item x="72"/>
        <item x="363"/>
        <item x="644"/>
        <item x="457"/>
        <item x="530"/>
        <item x="437"/>
        <item x="625"/>
        <item x="317"/>
        <item x="111"/>
        <item x="182"/>
        <item x="658"/>
        <item x="25"/>
        <item x="444"/>
        <item x="307"/>
        <item x="325"/>
        <item x="19"/>
        <item x="228"/>
        <item x="38"/>
        <item x="328"/>
        <item x="505"/>
        <item x="64"/>
        <item x="47"/>
        <item x="599"/>
        <item x="492"/>
        <item x="108"/>
        <item x="379"/>
        <item x="670"/>
        <item x="119"/>
        <item x="59"/>
        <item x="642"/>
        <item x="553"/>
        <item x="607"/>
        <item x="35"/>
        <item x="130"/>
        <item x="71"/>
        <item x="650"/>
        <item x="624"/>
        <item x="469"/>
        <item x="612"/>
        <item x="478"/>
        <item x="445"/>
        <item x="313"/>
        <item x="265"/>
        <item x="218"/>
        <item x="306"/>
        <item x="56"/>
        <item x="185"/>
        <item x="438"/>
        <item x="452"/>
        <item x="52"/>
        <item x="482"/>
        <item x="403"/>
        <item x="631"/>
        <item x="160"/>
        <item x="408"/>
        <item x="422"/>
        <item x="110"/>
        <item x="344"/>
        <item x="545"/>
        <item x="177"/>
        <item x="531"/>
        <item x="547"/>
        <item x="304"/>
        <item x="128"/>
        <item x="100"/>
        <item x="566"/>
        <item x="39"/>
        <item x="674"/>
        <item x="401"/>
        <item x="294"/>
        <item x="603"/>
        <item x="525"/>
        <item x="268"/>
        <item x="40"/>
        <item x="222"/>
        <item x="127"/>
        <item x="506"/>
        <item x="460"/>
        <item x="320"/>
        <item x="276"/>
        <item x="472"/>
        <item x="409"/>
        <item x="648"/>
        <item x="196"/>
        <item x="260"/>
        <item x="573"/>
        <item x="618"/>
        <item x="435"/>
        <item x="481"/>
        <item x="521"/>
        <item x="515"/>
        <item x="245"/>
        <item x="371"/>
        <item x="386"/>
        <item x="484"/>
        <item x="450"/>
        <item x="46"/>
        <item x="474"/>
        <item x="318"/>
        <item x="485"/>
        <item x="284"/>
        <item x="585"/>
        <item x="272"/>
        <item x="383"/>
        <item x="6"/>
        <item x="387"/>
        <item x="622"/>
        <item x="661"/>
        <item x="551"/>
        <item x="158"/>
        <item x="259"/>
        <item x="219"/>
        <item x="202"/>
        <item x="54"/>
        <item x="26"/>
        <item x="390"/>
        <item x="639"/>
        <item x="267"/>
        <item x="537"/>
        <item x="200"/>
        <item x="550"/>
        <item x="423"/>
        <item x="211"/>
        <item x="513"/>
        <item x="116"/>
        <item x="331"/>
        <item x="660"/>
        <item x="632"/>
        <item x="621"/>
        <item x="354"/>
        <item x="356"/>
        <item x="339"/>
        <item x="173"/>
        <item x="581"/>
        <item x="289"/>
        <item x="346"/>
        <item x="213"/>
        <item x="282"/>
        <item x="591"/>
        <item x="443"/>
        <item x="608"/>
        <item x="348"/>
        <item x="596"/>
        <item x="538"/>
        <item x="529"/>
        <item x="402"/>
        <item x="504"/>
        <item x="300"/>
        <item x="377"/>
        <item x="569"/>
        <item x="193"/>
        <item x="99"/>
        <item x="145"/>
        <item x="557"/>
        <item x="397"/>
        <item x="570"/>
        <item x="560"/>
        <item x="611"/>
        <item x="577"/>
        <item x="283"/>
        <item x="416"/>
        <item x="509"/>
        <item x="431"/>
        <item x="61"/>
        <item x="508"/>
        <item x="381"/>
        <item x="411"/>
        <item x="376"/>
        <item x="230"/>
        <item x="234"/>
        <item x="107"/>
        <item x="367"/>
        <item x="316"/>
        <item x="156"/>
        <item x="392"/>
        <item x="290"/>
        <item x="679"/>
        <item x="496"/>
        <item x="424"/>
        <item x="169"/>
        <item x="628"/>
        <item x="516"/>
        <item x="678"/>
        <item x="634"/>
        <item x="235"/>
        <item x="187"/>
        <item x="601"/>
        <item x="565"/>
        <item x="291"/>
        <item x="447"/>
        <item x="382"/>
        <item x="657"/>
        <item x="253"/>
        <item x="81"/>
        <item x="613"/>
        <item x="324"/>
        <item x="154"/>
        <item x="53"/>
        <item x="305"/>
        <item x="225"/>
        <item x="60"/>
        <item x="334"/>
        <item x="167"/>
        <item x="589"/>
        <item x="140"/>
        <item x="266"/>
        <item x="11"/>
        <item x="295"/>
        <item x="380"/>
        <item x="413"/>
        <item x="23"/>
        <item x="34"/>
        <item x="396"/>
        <item x="378"/>
        <item x="494"/>
        <item x="241"/>
        <item x="554"/>
        <item x="3"/>
        <item x="499"/>
        <item x="575"/>
        <item x="459"/>
        <item x="677"/>
        <item x="464"/>
        <item x="510"/>
        <item x="199"/>
        <item x="503"/>
        <item x="562"/>
        <item x="270"/>
        <item x="433"/>
        <item x="124"/>
        <item x="298"/>
        <item x="137"/>
        <item x="165"/>
        <item x="232"/>
        <item x="375"/>
        <item x="95"/>
        <item x="134"/>
        <item x="582"/>
        <item x="662"/>
        <item x="393"/>
        <item x="172"/>
        <item x="534"/>
        <item x="287"/>
        <item x="206"/>
        <item x="663"/>
        <item x="578"/>
        <item x="208"/>
        <item x="483"/>
        <item x="517"/>
        <item x="309"/>
        <item x="9"/>
        <item x="480"/>
        <item x="257"/>
        <item x="247"/>
        <item x="406"/>
        <item x="580"/>
        <item x="542"/>
        <item x="20"/>
        <item x="341"/>
        <item x="195"/>
        <item x="477"/>
        <item x="223"/>
        <item x="541"/>
        <item x="340"/>
        <item x="138"/>
        <item x="455"/>
        <item x="297"/>
        <item x="96"/>
        <item x="17"/>
        <item x="21"/>
        <item x="15"/>
        <item x="630"/>
        <item x="491"/>
        <item x="555"/>
        <item x="299"/>
        <item x="76"/>
        <item x="296"/>
        <item x="179"/>
        <item x="574"/>
        <item x="242"/>
        <item x="191"/>
        <item x="567"/>
        <item x="588"/>
        <item x="221"/>
        <item x="278"/>
        <item x="355"/>
        <item x="162"/>
        <item x="364"/>
        <item x="104"/>
        <item x="349"/>
        <item x="535"/>
        <item x="147"/>
        <item x="360"/>
        <item x="446"/>
        <item x="419"/>
        <item x="303"/>
        <item x="399"/>
        <item x="651"/>
        <item x="152"/>
        <item x="576"/>
        <item x="345"/>
        <item x="646"/>
        <item x="638"/>
        <item x="68"/>
        <item x="166"/>
        <item x="398"/>
        <item x="322"/>
        <item x="109"/>
        <item x="5"/>
        <item x="421"/>
        <item x="526"/>
        <item x="22"/>
        <item x="310"/>
        <item x="80"/>
        <item x="546"/>
        <item x="43"/>
        <item x="27"/>
        <item x="456"/>
        <item x="311"/>
        <item x="512"/>
        <item x="590"/>
        <item x="31"/>
        <item x="249"/>
        <item x="343"/>
        <item x="544"/>
        <item x="353"/>
        <item x="103"/>
        <item x="86"/>
        <item x="87"/>
        <item x="288"/>
        <item x="461"/>
        <item x="18"/>
        <item x="37"/>
        <item x="669"/>
        <item x="78"/>
        <item x="373"/>
        <item x="180"/>
        <item x="357"/>
        <item x="255"/>
        <item x="666"/>
        <item x="251"/>
        <item x="79"/>
        <item x="593"/>
        <item x="604"/>
        <item x="308"/>
        <item x="184"/>
        <item x="654"/>
        <item x="120"/>
        <item x="571"/>
        <item x="627"/>
        <item x="347"/>
        <item x="207"/>
        <item x="151"/>
        <item x="326"/>
        <item x="220"/>
        <item x="246"/>
        <item x="600"/>
        <item x="374"/>
        <item x="24"/>
        <item x="609"/>
        <item x="361"/>
        <item x="131"/>
        <item x="13"/>
        <item x="238"/>
        <item x="458"/>
        <item x="629"/>
        <item x="62"/>
        <item x="626"/>
        <item x="250"/>
        <item x="88"/>
        <item x="643"/>
        <item x="281"/>
        <item x="8"/>
        <item x="514"/>
        <item x="558"/>
        <item x="73"/>
        <item x="568"/>
        <item x="583"/>
        <item x="620"/>
        <item x="594"/>
        <item x="468"/>
        <item x="256"/>
        <item x="102"/>
        <item x="74"/>
        <item x="430"/>
        <item x="532"/>
        <item x="671"/>
        <item x="653"/>
        <item x="493"/>
        <item x="98"/>
        <item x="28"/>
        <item x="672"/>
        <item x="584"/>
        <item x="286"/>
        <item x="524"/>
        <item x="350"/>
        <item x="528"/>
        <item x="511"/>
        <item x="293"/>
        <item x="330"/>
        <item x="548"/>
        <item x="520"/>
        <item x="263"/>
        <item x="201"/>
        <item x="262"/>
        <item x="48"/>
        <item x="254"/>
        <item x="385"/>
        <item x="121"/>
        <item x="434"/>
        <item x="279"/>
        <item x="623"/>
        <item x="97"/>
        <item x="498"/>
        <item x="171"/>
        <item x="667"/>
        <item x="105"/>
        <item x="463"/>
        <item x="436"/>
        <item x="41"/>
        <item x="358"/>
        <item x="552"/>
        <item x="673"/>
        <item x="7"/>
        <item x="497"/>
        <item x="543"/>
        <item x="561"/>
        <item x="659"/>
        <item x="507"/>
        <item x="335"/>
        <item x="418"/>
        <item x="549"/>
        <item x="595"/>
        <item x="136"/>
        <item x="174"/>
        <item x="605"/>
        <item x="572"/>
        <item x="519"/>
        <item x="337"/>
        <item x="404"/>
        <item x="159"/>
        <item x="14"/>
        <item x="338"/>
        <item x="470"/>
        <item x="476"/>
        <item x="224"/>
        <item x="153"/>
        <item x="597"/>
        <item x="556"/>
        <item x="449"/>
        <item x="633"/>
        <item x="91"/>
        <item x="391"/>
        <item x="495"/>
        <item x="502"/>
        <item x="77"/>
        <item x="420"/>
        <item x="489"/>
        <item x="170"/>
        <item x="602"/>
        <item x="365"/>
        <item x="133"/>
        <item x="527"/>
        <item x="269"/>
        <item x="641"/>
        <item x="192"/>
        <item x="215"/>
        <item x="186"/>
        <item x="439"/>
        <item x="332"/>
        <item x="640"/>
        <item x="176"/>
        <item x="227"/>
        <item x="168"/>
        <item x="113"/>
        <item x="178"/>
        <item x="45"/>
        <item x="117"/>
        <item x="258"/>
        <item x="244"/>
        <item x="680"/>
        <item x="501"/>
        <item x="389"/>
        <item x="106"/>
        <item x="149"/>
        <item x="462"/>
        <item x="4"/>
        <item x="75"/>
        <item x="616"/>
        <item x="92"/>
        <item x="368"/>
        <item x="586"/>
        <item x="236"/>
        <item x="426"/>
        <item x="16"/>
        <item x="610"/>
        <item x="233"/>
        <item x="301"/>
        <item x="656"/>
        <item x="647"/>
        <item x="592"/>
        <item x="351"/>
        <item x="181"/>
        <item x="617"/>
        <item x="321"/>
        <item x="101"/>
        <item x="336"/>
        <item x="83"/>
        <item x="67"/>
        <item x="49"/>
        <item x="442"/>
        <item x="405"/>
        <item x="36"/>
        <item x="486"/>
        <item x="141"/>
        <item x="410"/>
        <item x="415"/>
        <item x="467"/>
        <item x="475"/>
        <item x="362"/>
        <item x="50"/>
        <item x="0"/>
        <item x="285"/>
        <item x="205"/>
        <item x="190"/>
        <item x="271"/>
        <item x="384"/>
        <item x="536"/>
        <item x="183"/>
        <item x="407"/>
        <item x="488"/>
        <item x="252"/>
        <item x="359"/>
        <item x="12"/>
        <item x="226"/>
        <item x="123"/>
        <item x="142"/>
        <item x="394"/>
        <item x="115"/>
        <item x="118"/>
        <item x="425"/>
        <item x="637"/>
        <item x="315"/>
        <item x="323"/>
        <item x="237"/>
        <item x="372"/>
        <item x="90"/>
        <item x="32"/>
        <item x="540"/>
        <item x="248"/>
        <item x="125"/>
        <item x="65"/>
        <item x="209"/>
        <item x="55"/>
        <item x="212"/>
        <item x="69"/>
        <item x="135"/>
        <item x="150"/>
        <item x="432"/>
        <item x="57"/>
        <item x="302"/>
        <item x="652"/>
        <item x="417"/>
        <item x="675"/>
        <item x="58"/>
        <item x="523"/>
        <item x="148"/>
        <item x="539"/>
        <item x="189"/>
        <item x="280"/>
        <item x="388"/>
        <item x="143"/>
        <item x="163"/>
        <item x="274"/>
        <item x="155"/>
        <item x="428"/>
        <item x="473"/>
        <item x="559"/>
        <item x="563"/>
        <item x="319"/>
        <item x="564"/>
        <item x="441"/>
        <item x="275"/>
        <item x="114"/>
        <item x="30"/>
        <item x="51"/>
        <item x="239"/>
        <item x="229"/>
        <item x="665"/>
        <item x="655"/>
        <item x="129"/>
        <item x="161"/>
        <item x="243"/>
        <item x="144"/>
        <item x="1"/>
        <item x="619"/>
        <item x="29"/>
        <item x="429"/>
        <item x="33"/>
        <item x="63"/>
        <item x="277"/>
        <item x="414"/>
        <item x="175"/>
        <item x="292"/>
        <item x="264"/>
        <item x="93"/>
        <item x="231"/>
        <item x="645"/>
        <item x="327"/>
        <item x="273"/>
        <item x="94"/>
        <item x="240"/>
        <item x="448"/>
        <item x="203"/>
        <item x="10"/>
        <item x="44"/>
        <item x="636"/>
        <item x="606"/>
        <item x="522"/>
        <item x="70"/>
        <item x="139"/>
        <item x="66"/>
        <item x="471"/>
        <item x="333"/>
        <item x="490"/>
        <item x="369"/>
        <item x="400"/>
        <item x="42"/>
        <item x="164"/>
        <item x="126"/>
        <item x="454"/>
        <item x="664"/>
        <item x="261"/>
        <item x="312"/>
        <item x="214"/>
        <item x="82"/>
        <item x="500"/>
        <item x="395"/>
        <item x="122"/>
        <item x="314"/>
        <item x="188"/>
        <item x="615"/>
        <item x="366"/>
        <item x="466"/>
        <item x="598"/>
        <item x="649"/>
        <item x="427"/>
        <item x="412"/>
        <item x="676"/>
        <item x="465"/>
        <item x="85"/>
        <item x="198"/>
        <item x="146"/>
        <item x="352"/>
        <item x="487"/>
        <item x="370"/>
        <item x="217"/>
        <item x="157"/>
        <item x="533"/>
        <item x="479"/>
        <item x="587"/>
        <item x="342"/>
        <item x="518"/>
        <item x="329"/>
        <item x="112"/>
        <item x="579"/>
        <item x="132"/>
        <item x="2"/>
        <item x="194"/>
        <item x="635"/>
        <item x="204"/>
        <item x="440"/>
        <item x="216"/>
        <item x="614"/>
        <item x="84"/>
        <item x="210"/>
        <item x="89"/>
        <item x="197"/>
        <item x="451"/>
        <item t="default"/>
      </items>
    </pivotField>
    <pivotField compact="0" showAll="0">
      <items count="249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49">
        <item x="101"/>
        <item x="84"/>
        <item x="98"/>
        <item x="51"/>
        <item x="104"/>
        <item x="108"/>
        <item x="144"/>
        <item x="110"/>
        <item x="37"/>
        <item x="34"/>
        <item x="76"/>
        <item x="137"/>
        <item x="18"/>
        <item x="7"/>
        <item x="31"/>
        <item x="125"/>
        <item x="138"/>
        <item x="63"/>
        <item x="30"/>
        <item x="118"/>
        <item x="95"/>
        <item x="13"/>
        <item x="133"/>
        <item x="11"/>
        <item x="70"/>
        <item x="85"/>
        <item x="93"/>
        <item x="94"/>
        <item x="35"/>
        <item x="103"/>
        <item x="146"/>
        <item x="52"/>
        <item x="117"/>
        <item x="109"/>
        <item x="115"/>
        <item x="59"/>
        <item x="22"/>
        <item x="139"/>
        <item x="114"/>
        <item x="91"/>
        <item x="44"/>
        <item x="9"/>
        <item x="88"/>
        <item x="36"/>
        <item x="135"/>
        <item x="26"/>
        <item x="46"/>
        <item x="73"/>
        <item x="99"/>
        <item x="5"/>
        <item x="77"/>
        <item x="55"/>
        <item x="21"/>
        <item x="78"/>
        <item x="49"/>
        <item x="2"/>
        <item x="64"/>
        <item x="47"/>
        <item x="113"/>
        <item x="68"/>
        <item x="147"/>
        <item x="28"/>
        <item x="54"/>
        <item x="8"/>
        <item x="86"/>
        <item x="62"/>
        <item x="123"/>
        <item x="127"/>
        <item x="141"/>
        <item x="32"/>
        <item x="145"/>
        <item x="12"/>
        <item x="58"/>
        <item x="120"/>
        <item x="56"/>
        <item x="100"/>
        <item x="60"/>
        <item x="97"/>
        <item x="41"/>
        <item x="72"/>
        <item x="14"/>
        <item x="1"/>
        <item x="96"/>
        <item x="43"/>
        <item x="122"/>
        <item x="65"/>
        <item x="79"/>
        <item x="40"/>
        <item x="92"/>
        <item x="48"/>
        <item x="53"/>
        <item x="19"/>
        <item x="130"/>
        <item x="39"/>
        <item x="136"/>
        <item x="105"/>
        <item x="87"/>
        <item x="81"/>
        <item x="20"/>
        <item x="142"/>
        <item x="128"/>
        <item x="10"/>
        <item x="42"/>
        <item x="38"/>
        <item x="69"/>
        <item x="126"/>
        <item x="90"/>
        <item x="25"/>
        <item x="111"/>
        <item x="116"/>
        <item x="106"/>
        <item x="6"/>
        <item x="134"/>
        <item x="50"/>
        <item x="107"/>
        <item x="74"/>
        <item x="23"/>
        <item x="82"/>
        <item x="129"/>
        <item x="143"/>
        <item x="121"/>
        <item x="89"/>
        <item x="17"/>
        <item x="29"/>
        <item x="61"/>
        <item x="57"/>
        <item x="80"/>
        <item x="66"/>
        <item x="75"/>
        <item x="3"/>
        <item x="140"/>
        <item x="71"/>
        <item x="112"/>
        <item x="83"/>
        <item x="45"/>
        <item x="102"/>
        <item x="131"/>
        <item x="124"/>
        <item x="24"/>
        <item x="119"/>
        <item x="16"/>
        <item x="27"/>
        <item x="15"/>
        <item x="132"/>
        <item x="33"/>
        <item x="4"/>
        <item x="67"/>
        <item x="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Family_Size" fld="1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6:C62" firstHeaderRow="0" firstDataRow="1" firstDataCol="1"/>
  <pivotFields count="16">
    <pivotField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compact="0" showAl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axis="axisRow" dataField="1" compact="0" showAll="0">
      <items count="6">
        <item x="0"/>
        <item x="4"/>
        <item x="2"/>
        <item x="3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t="default"/>
      </items>
    </pivotField>
    <pivotField compact="0" showAll="0">
      <items count="2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urvived" fld="1" subtotal="average" baseField="0" baseItem="0" numFmtId="9"/>
    <dataField name="Count of Age_Group" fld="8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9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82:E88" firstHeaderRow="1" firstDataRow="2" firstDataCol="1" rowPageCount="1" colPageCount="1"/>
  <pivotFields count="20">
    <pivotField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dataField="1" compact="0" showAll="0">
      <items count="3">
        <item x="0"/>
        <item x="1"/>
        <item t="default"/>
      </items>
    </pivotField>
    <pivotField axis="axisCol" compact="0" showAll="0">
      <items count="4">
        <item x="1"/>
        <item x="2"/>
        <item x="0"/>
        <item t="default"/>
      </items>
    </pivotField>
    <pivotField compact="0" showAll="0">
      <items count="668">
        <item x="642"/>
        <item x="243"/>
        <item x="267"/>
        <item x="309"/>
        <item x="334"/>
        <item x="38"/>
        <item x="645"/>
        <item x="182"/>
        <item x="618"/>
        <item x="637"/>
        <item x="185"/>
        <item x="4"/>
        <item x="260"/>
        <item x="631"/>
        <item x="171"/>
        <item x="380"/>
        <item x="13"/>
        <item x="86"/>
        <item x="132"/>
        <item x="240"/>
        <item x="424"/>
        <item x="461"/>
        <item x="47"/>
        <item x="404"/>
        <item x="308"/>
        <item x="24"/>
        <item x="547"/>
        <item x="108"/>
        <item x="313"/>
        <item x="630"/>
        <item x="602"/>
        <item x="81"/>
        <item x="369"/>
        <item x="519"/>
        <item x="584"/>
        <item x="654"/>
        <item x="283"/>
        <item x="662"/>
        <item x="589"/>
        <item x="307"/>
        <item x="253"/>
        <item x="501"/>
        <item x="106"/>
        <item x="136"/>
        <item x="151"/>
        <item x="111"/>
        <item x="193"/>
        <item x="441"/>
        <item x="316"/>
        <item x="162"/>
        <item x="217"/>
        <item x="21"/>
        <item x="665"/>
        <item x="147"/>
        <item x="199"/>
        <item x="567"/>
        <item x="320"/>
        <item x="321"/>
        <item x="70"/>
        <item x="339"/>
        <item x="254"/>
        <item x="234"/>
        <item x="357"/>
        <item x="290"/>
        <item x="184"/>
        <item x="11"/>
        <item x="499"/>
        <item x="128"/>
        <item x="167"/>
        <item x="495"/>
        <item x="302"/>
        <item x="195"/>
        <item x="415"/>
        <item x="0"/>
        <item x="592"/>
        <item x="489"/>
        <item x="172"/>
        <item x="563"/>
        <item x="131"/>
        <item x="288"/>
        <item x="326"/>
        <item x="522"/>
        <item x="436"/>
        <item x="135"/>
        <item x="650"/>
        <item x="390"/>
        <item x="235"/>
        <item x="550"/>
        <item x="74"/>
        <item x="148"/>
        <item x="186"/>
        <item x="386"/>
        <item x="410"/>
        <item x="36"/>
        <item x="465"/>
        <item x="170"/>
        <item x="533"/>
        <item x="583"/>
        <item x="183"/>
        <item x="79"/>
        <item x="218"/>
        <item x="573"/>
        <item x="84"/>
        <item x="87"/>
        <item x="561"/>
        <item x="477"/>
        <item x="349"/>
        <item x="225"/>
        <item x="150"/>
        <item x="635"/>
        <item x="85"/>
        <item x="466"/>
        <item x="69"/>
        <item x="353"/>
        <item x="551"/>
        <item x="393"/>
        <item x="120"/>
        <item x="180"/>
        <item x="420"/>
        <item x="212"/>
        <item x="291"/>
        <item x="520"/>
        <item x="208"/>
        <item x="632"/>
        <item x="578"/>
        <item x="252"/>
        <item x="110"/>
        <item x="524"/>
        <item x="510"/>
        <item x="142"/>
        <item x="295"/>
        <item x="89"/>
        <item x="65"/>
        <item x="145"/>
        <item x="440"/>
        <item x="641"/>
        <item x="1"/>
        <item x="341"/>
        <item x="289"/>
        <item x="661"/>
        <item x="537"/>
        <item x="417"/>
        <item x="351"/>
        <item x="485"/>
        <item x="279"/>
        <item x="609"/>
        <item x="526"/>
        <item x="325"/>
        <item x="505"/>
        <item x="294"/>
        <item x="452"/>
        <item x="249"/>
        <item x="246"/>
        <item x="88"/>
        <item x="306"/>
        <item x="287"/>
        <item x="278"/>
        <item x="42"/>
        <item x="540"/>
        <item x="296"/>
        <item x="367"/>
        <item x="459"/>
        <item x="93"/>
        <item x="666"/>
        <item x="247"/>
        <item x="442"/>
        <item x="75"/>
        <item x="467"/>
        <item x="119"/>
        <item x="344"/>
        <item x="244"/>
        <item x="450"/>
        <item x="651"/>
        <item x="530"/>
        <item x="518"/>
        <item x="590"/>
        <item x="118"/>
        <item x="299"/>
        <item x="476"/>
        <item x="599"/>
        <item x="25"/>
        <item x="556"/>
        <item x="407"/>
        <item x="202"/>
        <item x="430"/>
        <item x="432"/>
        <item x="51"/>
        <item x="538"/>
        <item x="265"/>
        <item x="355"/>
        <item x="509"/>
        <item x="82"/>
        <item x="372"/>
        <item x="26"/>
        <item x="293"/>
        <item x="268"/>
        <item x="286"/>
        <item x="439"/>
        <item x="471"/>
        <item x="397"/>
        <item x="622"/>
        <item x="303"/>
        <item x="3"/>
        <item x="20"/>
        <item x="336"/>
        <item x="549"/>
        <item x="587"/>
        <item x="464"/>
        <item x="608"/>
        <item x="491"/>
        <item x="382"/>
        <item x="348"/>
        <item x="127"/>
        <item x="647"/>
        <item x="472"/>
        <item x="649"/>
        <item x="559"/>
        <item x="141"/>
        <item x="188"/>
        <item x="31"/>
        <item x="373"/>
        <item x="91"/>
        <item x="149"/>
        <item x="385"/>
        <item x="57"/>
        <item x="233"/>
        <item x="196"/>
        <item x="554"/>
        <item x="92"/>
        <item x="594"/>
        <item x="607"/>
        <item x="99"/>
        <item x="256"/>
        <item x="371"/>
        <item x="130"/>
        <item x="159"/>
        <item x="216"/>
        <item x="363"/>
        <item x="259"/>
        <item x="494"/>
        <item x="314"/>
        <item x="206"/>
        <item x="605"/>
        <item x="50"/>
        <item x="480"/>
        <item x="60"/>
        <item x="229"/>
        <item x="273"/>
        <item x="535"/>
        <item x="565"/>
        <item x="572"/>
        <item x="269"/>
        <item x="239"/>
        <item x="616"/>
        <item x="516"/>
        <item x="2"/>
        <item x="623"/>
        <item x="272"/>
        <item x="230"/>
        <item x="490"/>
        <item x="15"/>
        <item x="112"/>
        <item x="284"/>
        <item x="396"/>
        <item x="434"/>
        <item x="560"/>
        <item x="591"/>
        <item x="207"/>
        <item x="625"/>
        <item x="34"/>
        <item x="482"/>
        <item x="191"/>
        <item x="68"/>
        <item x="488"/>
        <item x="251"/>
        <item x="198"/>
        <item x="546"/>
        <item x="210"/>
        <item x="613"/>
        <item x="59"/>
        <item x="80"/>
        <item x="564"/>
        <item x="158"/>
        <item x="570"/>
        <item x="192"/>
        <item x="375"/>
        <item x="329"/>
        <item x="487"/>
        <item x="470"/>
        <item x="67"/>
        <item x="507"/>
        <item x="312"/>
        <item x="391"/>
        <item x="366"/>
        <item x="178"/>
        <item x="98"/>
        <item x="8"/>
        <item x="604"/>
        <item x="582"/>
        <item x="460"/>
        <item x="107"/>
        <item x="360"/>
        <item x="514"/>
        <item x="94"/>
        <item x="484"/>
        <item x="395"/>
        <item x="541"/>
        <item x="429"/>
        <item x="264"/>
        <item x="389"/>
        <item x="262"/>
        <item x="400"/>
        <item x="377"/>
        <item x="189"/>
        <item x="600"/>
        <item x="493"/>
        <item x="66"/>
        <item x="163"/>
        <item x="497"/>
        <item x="553"/>
        <item x="156"/>
        <item x="566"/>
        <item x="40"/>
        <item x="362"/>
        <item x="428"/>
        <item x="271"/>
        <item x="412"/>
        <item x="657"/>
        <item x="542"/>
        <item x="318"/>
        <item x="416"/>
        <item x="41"/>
        <item x="203"/>
        <item x="611"/>
        <item x="447"/>
        <item x="157"/>
        <item x="328"/>
        <item x="506"/>
        <item x="478"/>
        <item x="640"/>
        <item x="422"/>
        <item x="44"/>
        <item x="160"/>
        <item x="437"/>
        <item x="619"/>
        <item x="569"/>
        <item x="255"/>
        <item x="258"/>
        <item x="205"/>
        <item x="595"/>
        <item x="215"/>
        <item x="241"/>
        <item x="483"/>
        <item x="521"/>
        <item x="644"/>
        <item x="152"/>
        <item x="221"/>
        <item x="603"/>
        <item x="498"/>
        <item x="359"/>
        <item x="201"/>
        <item x="626"/>
        <item x="502"/>
        <item x="173"/>
        <item x="596"/>
        <item x="175"/>
        <item x="539"/>
        <item x="116"/>
        <item x="213"/>
        <item x="413"/>
        <item x="384"/>
        <item x="624"/>
        <item x="35"/>
        <item x="593"/>
        <item x="562"/>
        <item x="636"/>
        <item x="643"/>
        <item x="660"/>
        <item x="577"/>
        <item x="19"/>
        <item x="346"/>
        <item x="552"/>
        <item x="6"/>
        <item x="628"/>
        <item x="263"/>
        <item x="78"/>
        <item x="558"/>
        <item x="418"/>
        <item x="304"/>
        <item x="22"/>
        <item x="330"/>
        <item x="115"/>
        <item x="574"/>
        <item x="457"/>
        <item x="343"/>
        <item x="237"/>
        <item x="200"/>
        <item x="138"/>
        <item x="174"/>
        <item x="33"/>
        <item x="376"/>
        <item x="383"/>
        <item x="214"/>
        <item x="257"/>
        <item x="100"/>
        <item x="527"/>
        <item x="513"/>
        <item x="305"/>
        <item x="71"/>
        <item x="403"/>
        <item x="664"/>
        <item x="580"/>
        <item x="113"/>
        <item x="5"/>
        <item x="275"/>
        <item x="381"/>
        <item x="453"/>
        <item x="102"/>
        <item x="63"/>
        <item x="311"/>
        <item x="73"/>
        <item x="638"/>
        <item x="545"/>
        <item x="473"/>
        <item x="211"/>
        <item x="597"/>
        <item x="250"/>
        <item x="656"/>
        <item x="322"/>
        <item x="571"/>
        <item x="9"/>
        <item x="238"/>
        <item x="134"/>
        <item x="197"/>
        <item x="190"/>
        <item x="125"/>
        <item x="133"/>
        <item x="443"/>
        <item x="37"/>
        <item x="274"/>
        <item x="588"/>
        <item x="333"/>
        <item x="455"/>
        <item x="49"/>
        <item x="55"/>
        <item x="64"/>
        <item x="129"/>
        <item x="282"/>
        <item x="165"/>
        <item x="500"/>
        <item x="379"/>
        <item x="297"/>
        <item x="45"/>
        <item x="27"/>
        <item x="448"/>
        <item x="515"/>
        <item x="140"/>
        <item x="245"/>
        <item x="536"/>
        <item x="335"/>
        <item x="126"/>
        <item x="612"/>
        <item x="52"/>
        <item x="411"/>
        <item x="610"/>
        <item x="444"/>
        <item x="331"/>
        <item x="7"/>
        <item x="48"/>
        <item x="242"/>
        <item x="504"/>
        <item x="227"/>
        <item x="285"/>
        <item x="633"/>
        <item x="463"/>
        <item x="469"/>
        <item x="425"/>
        <item x="137"/>
        <item x="374"/>
        <item x="109"/>
        <item x="266"/>
        <item x="209"/>
        <item x="187"/>
        <item x="161"/>
        <item x="426"/>
        <item x="232"/>
        <item x="117"/>
        <item x="534"/>
        <item x="95"/>
        <item x="96"/>
        <item x="364"/>
        <item x="617"/>
        <item x="370"/>
        <item x="354"/>
        <item x="356"/>
        <item x="169"/>
        <item x="324"/>
        <item x="614"/>
        <item x="104"/>
        <item x="658"/>
        <item x="414"/>
        <item x="517"/>
        <item x="646"/>
        <item x="219"/>
        <item x="231"/>
        <item x="103"/>
        <item x="394"/>
        <item x="627"/>
        <item x="365"/>
        <item x="16"/>
        <item x="124"/>
        <item x="338"/>
        <item x="431"/>
        <item x="317"/>
        <item x="474"/>
        <item x="438"/>
        <item x="451"/>
        <item x="601"/>
        <item x="121"/>
        <item x="652"/>
        <item x="43"/>
        <item x="166"/>
        <item x="523"/>
        <item x="164"/>
        <item x="222"/>
        <item x="468"/>
        <item x="586"/>
        <item x="419"/>
        <item x="398"/>
        <item x="54"/>
        <item x="462"/>
        <item x="423"/>
        <item x="270"/>
        <item x="543"/>
        <item x="261"/>
        <item x="327"/>
        <item x="144"/>
        <item x="508"/>
        <item x="101"/>
        <item x="433"/>
        <item x="46"/>
        <item x="10"/>
        <item x="12"/>
        <item x="531"/>
        <item x="388"/>
        <item x="340"/>
        <item x="292"/>
        <item x="639"/>
        <item x="368"/>
        <item x="446"/>
        <item x="77"/>
        <item x="408"/>
        <item x="659"/>
        <item x="90"/>
        <item x="486"/>
        <item x="345"/>
        <item x="548"/>
        <item x="361"/>
        <item x="456"/>
        <item x="511"/>
        <item x="576"/>
        <item x="58"/>
        <item x="634"/>
        <item x="454"/>
        <item x="154"/>
        <item x="606"/>
        <item x="204"/>
        <item x="61"/>
        <item x="479"/>
        <item x="280"/>
        <item x="620"/>
        <item x="83"/>
        <item x="23"/>
        <item x="387"/>
        <item x="143"/>
        <item x="155"/>
        <item x="123"/>
        <item x="555"/>
        <item x="401"/>
        <item x="277"/>
        <item x="30"/>
        <item x="503"/>
        <item x="72"/>
        <item x="248"/>
        <item x="405"/>
        <item x="220"/>
        <item x="475"/>
        <item x="62"/>
        <item x="629"/>
        <item x="458"/>
        <item x="392"/>
        <item x="575"/>
        <item x="181"/>
        <item x="194"/>
        <item x="342"/>
        <item x="663"/>
        <item x="496"/>
        <item x="409"/>
        <item x="648"/>
        <item x="228"/>
        <item x="525"/>
        <item x="445"/>
        <item x="585"/>
        <item x="615"/>
        <item x="224"/>
        <item x="358"/>
        <item x="323"/>
        <item x="598"/>
        <item x="28"/>
        <item x="621"/>
        <item x="378"/>
        <item x="481"/>
        <item x="236"/>
        <item x="435"/>
        <item x="223"/>
        <item x="568"/>
        <item x="332"/>
        <item x="557"/>
        <item x="168"/>
        <item x="532"/>
        <item x="399"/>
        <item x="39"/>
        <item x="29"/>
        <item x="139"/>
        <item x="153"/>
        <item x="347"/>
        <item x="653"/>
        <item x="581"/>
        <item x="177"/>
        <item x="301"/>
        <item x="655"/>
        <item x="18"/>
        <item x="14"/>
        <item x="427"/>
        <item x="76"/>
        <item x="421"/>
        <item x="226"/>
        <item x="310"/>
        <item x="529"/>
        <item x="146"/>
        <item x="114"/>
        <item x="544"/>
        <item x="122"/>
        <item x="579"/>
        <item x="56"/>
        <item x="32"/>
        <item x="97"/>
        <item x="276"/>
        <item x="337"/>
        <item x="319"/>
        <item x="315"/>
        <item x="528"/>
        <item x="512"/>
        <item x="17"/>
        <item x="298"/>
        <item x="402"/>
        <item x="352"/>
        <item x="53"/>
        <item x="449"/>
        <item x="492"/>
        <item x="281"/>
        <item x="179"/>
        <item x="300"/>
        <item x="406"/>
        <item x="176"/>
        <item x="105"/>
        <item x="350"/>
        <item t="default"/>
      </items>
    </pivotField>
    <pivotField compact="0" showAll="0">
      <items count="800">
        <item x="313"/>
        <item x="481"/>
        <item x="738"/>
        <item x="348"/>
        <item x="163"/>
        <item x="262"/>
        <item x="65"/>
        <item x="452"/>
        <item x="775"/>
        <item x="516"/>
        <item x="252"/>
        <item x="352"/>
        <item x="522"/>
        <item x="14"/>
        <item x="695"/>
        <item x="186"/>
        <item x="707"/>
        <item x="78"/>
        <item x="784"/>
        <item x="349"/>
        <item x="634"/>
        <item x="285"/>
        <item x="240"/>
        <item x="316"/>
        <item x="206"/>
        <item x="732"/>
        <item x="63"/>
        <item x="629"/>
        <item x="704"/>
        <item x="309"/>
        <item x="105"/>
        <item x="214"/>
        <item x="77"/>
        <item x="261"/>
        <item x="129"/>
        <item x="34"/>
        <item x="365"/>
        <item x="272"/>
        <item x="149"/>
        <item x="378"/>
        <item x="391"/>
        <item x="529"/>
        <item x="523"/>
        <item x="785"/>
        <item x="574"/>
        <item x="631"/>
        <item x="561"/>
        <item x="715"/>
        <item x="327"/>
        <item x="230"/>
        <item x="281"/>
        <item x="71"/>
        <item x="260"/>
        <item x="331"/>
        <item x="60"/>
        <item x="746"/>
        <item x="442"/>
        <item x="591"/>
        <item x="12"/>
        <item x="557"/>
        <item x="102"/>
        <item x="741"/>
        <item x="710"/>
        <item x="706"/>
        <item x="173"/>
        <item x="125"/>
        <item x="21"/>
        <item x="287"/>
        <item x="104"/>
        <item x="138"/>
        <item x="484"/>
        <item x="353"/>
        <item x="343"/>
        <item x="652"/>
        <item x="757"/>
        <item x="450"/>
        <item x="565"/>
        <item x="744"/>
        <item x="579"/>
        <item x="169"/>
        <item x="72"/>
        <item x="497"/>
        <item x="223"/>
        <item x="167"/>
        <item x="505"/>
        <item x="424"/>
        <item x="434"/>
        <item x="690"/>
        <item x="599"/>
        <item x="721"/>
        <item x="776"/>
        <item x="726"/>
        <item x="143"/>
        <item x="681"/>
        <item x="646"/>
        <item x="754"/>
        <item x="266"/>
        <item x="37"/>
        <item x="359"/>
        <item x="317"/>
        <item x="150"/>
        <item x="703"/>
        <item x="226"/>
        <item x="301"/>
        <item x="415"/>
        <item x="427"/>
        <item x="404"/>
        <item x="288"/>
        <item x="419"/>
        <item x="82"/>
        <item x="643"/>
        <item x="91"/>
        <item x="709"/>
        <item x="626"/>
        <item x="46"/>
        <item x="468"/>
        <item x="80"/>
        <item x="526"/>
        <item x="371"/>
        <item x="24"/>
        <item x="385"/>
        <item x="188"/>
        <item x="648"/>
        <item x="396"/>
        <item x="495"/>
        <item x="797"/>
        <item x="780"/>
        <item x="750"/>
        <item x="613"/>
        <item x="26"/>
        <item x="407"/>
        <item x="152"/>
        <item x="622"/>
        <item x="16"/>
        <item x="329"/>
        <item x="263"/>
        <item x="183"/>
        <item x="367"/>
        <item x="93"/>
        <item x="570"/>
        <item x="735"/>
        <item x="402"/>
        <item x="586"/>
        <item x="219"/>
        <item x="178"/>
        <item x="770"/>
        <item x="207"/>
        <item x="176"/>
        <item x="57"/>
        <item x="547"/>
        <item x="390"/>
        <item x="92"/>
        <item x="692"/>
        <item x="691"/>
        <item x="675"/>
        <item x="249"/>
        <item x="256"/>
        <item x="109"/>
        <item x="569"/>
        <item x="255"/>
        <item x="45"/>
        <item x="696"/>
        <item x="453"/>
        <item x="279"/>
        <item x="128"/>
        <item x="411"/>
        <item x="773"/>
        <item x="758"/>
        <item x="729"/>
        <item x="627"/>
        <item x="458"/>
        <item x="33"/>
        <item x="358"/>
        <item x="141"/>
        <item x="326"/>
        <item x="112"/>
        <item x="552"/>
        <item x="254"/>
        <item x="503"/>
        <item x="506"/>
        <item x="665"/>
        <item x="273"/>
        <item x="456"/>
        <item x="527"/>
        <item x="673"/>
        <item x="32"/>
        <item x="641"/>
        <item x="602"/>
        <item x="463"/>
        <item x="702"/>
        <item x="566"/>
        <item x="649"/>
        <item x="425"/>
        <item x="441"/>
        <item x="460"/>
        <item x="161"/>
        <item x="604"/>
        <item x="533"/>
        <item x="168"/>
        <item x="122"/>
        <item x="542"/>
        <item x="212"/>
        <item x="376"/>
        <item x="660"/>
        <item x="191"/>
        <item x="11"/>
        <item x="697"/>
        <item x="323"/>
        <item x="464"/>
        <item x="556"/>
        <item x="432"/>
        <item x="27"/>
        <item x="725"/>
        <item x="116"/>
        <item x="645"/>
        <item x="609"/>
        <item x="593"/>
        <item x="342"/>
        <item x="88"/>
        <item x="517"/>
        <item x="132"/>
        <item x="55"/>
        <item x="298"/>
        <item x="584"/>
        <item x="418"/>
        <item x="53"/>
        <item x="614"/>
        <item x="268"/>
        <item x="375"/>
        <item x="328"/>
        <item x="67"/>
        <item x="304"/>
        <item x="36"/>
        <item x="243"/>
        <item x="764"/>
        <item x="66"/>
        <item x="730"/>
        <item x="257"/>
        <item x="227"/>
        <item x="562"/>
        <item x="399"/>
        <item x="258"/>
        <item x="550"/>
        <item x="282"/>
        <item x="530"/>
        <item x="15"/>
        <item x="476"/>
        <item x="587"/>
        <item x="496"/>
        <item x="513"/>
        <item x="475"/>
        <item x="488"/>
        <item x="25"/>
        <item x="18"/>
        <item x="337"/>
        <item x="640"/>
        <item x="87"/>
        <item x="267"/>
        <item x="430"/>
        <item x="457"/>
        <item x="81"/>
        <item x="270"/>
        <item x="508"/>
        <item x="314"/>
        <item x="162"/>
        <item x="351"/>
        <item x="782"/>
        <item x="422"/>
        <item x="306"/>
        <item x="197"/>
        <item x="617"/>
        <item x="616"/>
        <item x="472"/>
        <item x="771"/>
        <item x="792"/>
        <item x="772"/>
        <item x="220"/>
        <item x="455"/>
        <item x="431"/>
        <item x="233"/>
        <item x="124"/>
        <item x="515"/>
        <item x="473"/>
        <item x="355"/>
        <item x="94"/>
        <item x="766"/>
        <item x="318"/>
        <item x="598"/>
        <item x="218"/>
        <item x="708"/>
        <item x="310"/>
        <item x="743"/>
        <item x="444"/>
        <item x="745"/>
        <item x="628"/>
        <item x="791"/>
        <item x="64"/>
        <item x="199"/>
        <item x="250"/>
        <item x="251"/>
        <item x="7"/>
        <item x="571"/>
        <item x="572"/>
        <item x="518"/>
        <item x="200"/>
        <item x="615"/>
        <item x="101"/>
        <item x="666"/>
        <item x="642"/>
        <item x="620"/>
        <item x="35"/>
        <item x="686"/>
        <item x="264"/>
        <item x="595"/>
        <item x="209"/>
        <item x="688"/>
        <item x="387"/>
        <item x="583"/>
        <item x="62"/>
        <item x="779"/>
        <item x="449"/>
        <item x="500"/>
        <item x="154"/>
        <item x="551"/>
        <item x="360"/>
        <item x="461"/>
        <item x="580"/>
        <item x="719"/>
        <item x="499"/>
        <item x="204"/>
        <item x="284"/>
        <item x="345"/>
        <item x="133"/>
        <item x="439"/>
        <item x="302"/>
        <item x="195"/>
        <item x="638"/>
        <item x="205"/>
        <item x="61"/>
        <item x="225"/>
        <item x="568"/>
        <item x="172"/>
        <item x="793"/>
        <item x="474"/>
        <item x="612"/>
        <item x="654"/>
        <item x="639"/>
        <item x="588"/>
        <item x="51"/>
        <item x="600"/>
        <item x="320"/>
        <item x="90"/>
        <item x="644"/>
        <item x="308"/>
        <item x="448"/>
        <item x="108"/>
        <item x="374"/>
        <item x="661"/>
        <item x="291"/>
        <item x="465"/>
        <item x="292"/>
        <item x="54"/>
        <item x="181"/>
        <item x="13"/>
        <item x="520"/>
        <item x="388"/>
        <item x="443"/>
        <item x="300"/>
        <item x="685"/>
        <item x="524"/>
        <item x="752"/>
        <item x="501"/>
        <item x="426"/>
        <item x="75"/>
        <item x="625"/>
        <item x="608"/>
        <item x="435"/>
        <item x="134"/>
        <item x="3"/>
        <item x="749"/>
        <item x="198"/>
        <item x="5"/>
        <item x="158"/>
        <item x="286"/>
        <item x="170"/>
        <item x="244"/>
        <item x="217"/>
        <item x="190"/>
        <item x="477"/>
        <item x="394"/>
        <item x="38"/>
        <item x="79"/>
        <item x="485"/>
        <item x="545"/>
        <item x="718"/>
        <item x="315"/>
        <item x="454"/>
        <item x="140"/>
        <item x="756"/>
        <item x="546"/>
        <item x="676"/>
        <item x="126"/>
        <item x="39"/>
        <item x="372"/>
        <item x="417"/>
        <item x="312"/>
        <item x="414"/>
        <item x="392"/>
        <item x="575"/>
        <item x="490"/>
        <item x="790"/>
        <item x="594"/>
        <item x="678"/>
        <item x="184"/>
        <item x="597"/>
        <item x="633"/>
        <item x="535"/>
        <item x="510"/>
        <item x="1"/>
        <item x="689"/>
        <item x="165"/>
        <item x="540"/>
        <item x="733"/>
        <item x="737"/>
        <item x="222"/>
        <item x="157"/>
        <item x="208"/>
        <item x="537"/>
        <item x="528"/>
        <item x="635"/>
        <item x="438"/>
        <item x="509"/>
        <item x="96"/>
        <item x="159"/>
        <item x="774"/>
        <item x="558"/>
        <item x="339"/>
        <item x="48"/>
        <item x="429"/>
        <item x="555"/>
        <item x="532"/>
        <item x="137"/>
        <item x="142"/>
        <item x="19"/>
        <item x="494"/>
        <item x="624"/>
        <item x="335"/>
        <item x="160"/>
        <item x="127"/>
        <item x="380"/>
        <item x="581"/>
        <item x="49"/>
        <item x="364"/>
        <item x="507"/>
        <item x="534"/>
        <item x="17"/>
        <item x="795"/>
        <item x="667"/>
        <item x="202"/>
        <item x="83"/>
        <item x="324"/>
        <item x="361"/>
        <item x="798"/>
        <item x="221"/>
        <item x="723"/>
        <item x="193"/>
        <item x="734"/>
        <item x="278"/>
        <item x="403"/>
        <item x="235"/>
        <item x="153"/>
        <item x="619"/>
        <item x="110"/>
        <item x="632"/>
        <item x="171"/>
        <item x="607"/>
        <item x="459"/>
        <item x="265"/>
        <item x="469"/>
        <item x="787"/>
        <item x="658"/>
        <item x="2"/>
        <item x="28"/>
        <item x="296"/>
        <item x="20"/>
        <item x="73"/>
        <item x="740"/>
        <item x="398"/>
        <item x="319"/>
        <item x="341"/>
        <item x="416"/>
        <item x="118"/>
        <item x="596"/>
        <item x="354"/>
        <item x="130"/>
        <item x="664"/>
        <item x="605"/>
        <item x="446"/>
        <item x="70"/>
        <item x="228"/>
        <item x="175"/>
        <item x="589"/>
        <item x="52"/>
        <item x="487"/>
        <item x="410"/>
        <item x="489"/>
        <item x="180"/>
        <item x="440"/>
        <item x="395"/>
        <item x="578"/>
        <item x="86"/>
        <item x="211"/>
        <item x="421"/>
        <item x="111"/>
        <item x="651"/>
        <item x="630"/>
        <item x="56"/>
        <item x="283"/>
        <item x="29"/>
        <item x="437"/>
        <item x="716"/>
        <item x="293"/>
        <item x="194"/>
        <item x="297"/>
        <item x="43"/>
        <item x="796"/>
        <item x="559"/>
        <item x="657"/>
        <item x="585"/>
        <item x="10"/>
        <item x="381"/>
        <item x="363"/>
        <item x="423"/>
        <item x="311"/>
        <item x="383"/>
        <item x="759"/>
        <item x="332"/>
        <item x="564"/>
        <item x="373"/>
        <item x="232"/>
        <item x="413"/>
        <item x="123"/>
        <item x="478"/>
        <item x="344"/>
        <item x="31"/>
        <item x="763"/>
        <item x="305"/>
        <item x="277"/>
        <item x="224"/>
        <item x="98"/>
        <item x="369"/>
        <item x="543"/>
        <item x="237"/>
        <item x="433"/>
        <item x="405"/>
        <item x="350"/>
        <item x="576"/>
        <item x="541"/>
        <item x="677"/>
        <item x="650"/>
        <item x="145"/>
        <item x="189"/>
        <item x="553"/>
        <item x="155"/>
        <item x="705"/>
        <item x="668"/>
        <item x="592"/>
        <item x="321"/>
        <item x="601"/>
        <item x="663"/>
        <item x="493"/>
        <item x="203"/>
        <item x="672"/>
        <item x="786"/>
        <item x="196"/>
        <item x="119"/>
        <item x="9"/>
        <item x="694"/>
        <item x="736"/>
        <item x="408"/>
        <item x="525"/>
        <item x="447"/>
        <item x="271"/>
        <item x="336"/>
        <item x="290"/>
        <item x="655"/>
        <item x="727"/>
        <item x="762"/>
        <item x="590"/>
        <item x="684"/>
        <item x="135"/>
        <item x="151"/>
        <item x="466"/>
        <item x="59"/>
        <item x="8"/>
        <item x="722"/>
        <item x="747"/>
        <item x="0"/>
        <item x="99"/>
        <item x="113"/>
        <item x="573"/>
        <item x="89"/>
        <item x="698"/>
        <item x="603"/>
        <item x="382"/>
        <item x="139"/>
        <item x="276"/>
        <item x="582"/>
        <item x="406"/>
        <item x="511"/>
        <item x="121"/>
        <item x="682"/>
        <item x="467"/>
        <item x="549"/>
        <item x="647"/>
        <item x="377"/>
        <item x="767"/>
        <item x="445"/>
        <item x="656"/>
        <item x="755"/>
        <item x="778"/>
        <item x="210"/>
        <item x="401"/>
        <item x="492"/>
        <item x="751"/>
        <item x="659"/>
        <item x="115"/>
        <item x="76"/>
        <item x="769"/>
        <item x="462"/>
        <item x="174"/>
        <item x="236"/>
        <item x="606"/>
        <item x="177"/>
        <item x="693"/>
        <item x="280"/>
        <item x="714"/>
        <item x="50"/>
        <item x="179"/>
        <item x="100"/>
        <item x="491"/>
        <item x="451"/>
        <item x="728"/>
        <item x="242"/>
        <item x="781"/>
        <item x="274"/>
        <item x="713"/>
        <item x="192"/>
        <item x="521"/>
        <item x="662"/>
        <item x="147"/>
        <item x="229"/>
        <item x="554"/>
        <item x="470"/>
        <item x="144"/>
        <item x="699"/>
        <item x="362"/>
        <item x="674"/>
        <item x="539"/>
        <item x="567"/>
        <item x="637"/>
        <item x="765"/>
        <item x="295"/>
        <item x="783"/>
        <item x="679"/>
        <item x="498"/>
        <item x="131"/>
        <item x="428"/>
        <item x="760"/>
        <item x="356"/>
        <item x="748"/>
        <item x="486"/>
        <item x="479"/>
        <item x="347"/>
        <item x="85"/>
        <item x="384"/>
        <item x="412"/>
        <item x="368"/>
        <item x="213"/>
        <item x="548"/>
        <item x="502"/>
        <item x="74"/>
        <item x="761"/>
        <item x="436"/>
        <item x="42"/>
        <item x="97"/>
        <item x="303"/>
        <item x="238"/>
        <item x="768"/>
        <item x="636"/>
        <item x="397"/>
        <item x="117"/>
        <item x="330"/>
        <item x="269"/>
        <item x="483"/>
        <item x="711"/>
        <item x="231"/>
        <item x="69"/>
        <item x="325"/>
        <item x="357"/>
        <item x="185"/>
        <item x="103"/>
        <item x="120"/>
        <item x="671"/>
        <item x="653"/>
        <item x="338"/>
        <item x="201"/>
        <item x="234"/>
        <item x="41"/>
        <item x="275"/>
        <item x="253"/>
        <item x="393"/>
        <item x="148"/>
        <item x="182"/>
        <item x="753"/>
        <item x="322"/>
        <item x="618"/>
        <item x="156"/>
        <item x="333"/>
        <item x="701"/>
        <item x="742"/>
        <item x="724"/>
        <item x="788"/>
        <item x="683"/>
        <item x="146"/>
        <item x="519"/>
        <item x="623"/>
        <item x="610"/>
        <item x="621"/>
        <item x="611"/>
        <item x="106"/>
        <item x="512"/>
        <item x="6"/>
        <item x="389"/>
        <item x="23"/>
        <item x="670"/>
        <item x="739"/>
        <item x="538"/>
        <item x="366"/>
        <item x="514"/>
        <item x="136"/>
        <item x="471"/>
        <item x="294"/>
        <item x="216"/>
        <item x="248"/>
        <item x="400"/>
        <item x="680"/>
        <item x="68"/>
        <item x="700"/>
        <item x="215"/>
        <item x="544"/>
        <item x="107"/>
        <item x="504"/>
        <item x="669"/>
        <item x="420"/>
        <item x="777"/>
        <item x="340"/>
        <item x="731"/>
        <item x="346"/>
        <item x="245"/>
        <item x="187"/>
        <item x="164"/>
        <item x="299"/>
        <item x="241"/>
        <item x="789"/>
        <item x="794"/>
        <item x="482"/>
        <item x="560"/>
        <item x="480"/>
        <item x="247"/>
        <item x="563"/>
        <item x="30"/>
        <item x="409"/>
        <item x="531"/>
        <item x="95"/>
        <item x="289"/>
        <item x="239"/>
        <item x="370"/>
        <item x="687"/>
        <item x="712"/>
        <item x="58"/>
        <item x="379"/>
        <item x="4"/>
        <item x="577"/>
        <item x="536"/>
        <item x="44"/>
        <item x="114"/>
        <item x="40"/>
        <item x="334"/>
        <item x="84"/>
        <item x="386"/>
        <item x="246"/>
        <item x="22"/>
        <item x="259"/>
        <item x="720"/>
        <item x="166"/>
        <item x="307"/>
        <item x="47"/>
        <item x="717"/>
        <item t="default"/>
      </items>
    </pivotField>
    <pivotField compact="0" showAll="0">
      <items count="18">
        <item x="14"/>
        <item x="13"/>
        <item x="4"/>
        <item x="6"/>
        <item x="16"/>
        <item x="10"/>
        <item x="9"/>
        <item x="3"/>
        <item x="2"/>
        <item x="12"/>
        <item x="7"/>
        <item x="0"/>
        <item x="1"/>
        <item x="8"/>
        <item x="5"/>
        <item x="11"/>
        <item x="15"/>
        <item t="default"/>
      </items>
    </pivotField>
    <pivotField axis="axisPage" compact="0" multipleItemSelectionAllowed="1" showAll="0">
      <items count="4">
        <item x="1"/>
        <item h="1" x="0"/>
        <item h="1" x="2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x="4"/>
        <item t="default"/>
      </items>
    </pivotField>
    <pivotField compact="0" showAll="0">
      <items count="6">
        <item h="1" x="0"/>
        <item h="1" x="4"/>
        <item x="2"/>
        <item h="1" x="3"/>
        <item h="1" x="1"/>
        <item t="default"/>
      </items>
    </pivotField>
    <pivotField compact="0" showAll="0">
      <items count="8">
        <item x="1"/>
        <item x="0"/>
        <item x="4"/>
        <item x="2"/>
        <item x="3"/>
        <item x="5"/>
        <item x="6"/>
        <item t="default"/>
      </items>
    </pivotField>
    <pivotField compact="0" showAll="0">
      <items count="8">
        <item x="0"/>
        <item x="1"/>
        <item x="2"/>
        <item x="4"/>
        <item x="5"/>
        <item x="3"/>
        <item x="6"/>
        <item t="default"/>
      </items>
    </pivotField>
    <pivotField compact="0" showAll="0">
      <items count="10">
        <item h="1" x="1"/>
        <item h="1" x="0"/>
        <item x="3"/>
        <item h="1" x="6"/>
        <item h="1" x="2"/>
        <item h="1" x="5"/>
        <item h="1" x="4"/>
        <item h="1" x="7"/>
        <item h="1"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682">
        <item x="453"/>
        <item x="668"/>
        <item x="72"/>
        <item x="363"/>
        <item x="644"/>
        <item x="457"/>
        <item x="530"/>
        <item x="437"/>
        <item x="625"/>
        <item x="317"/>
        <item x="111"/>
        <item x="182"/>
        <item x="658"/>
        <item x="25"/>
        <item x="444"/>
        <item x="307"/>
        <item x="325"/>
        <item x="19"/>
        <item x="228"/>
        <item x="38"/>
        <item x="328"/>
        <item x="505"/>
        <item x="64"/>
        <item x="47"/>
        <item x="599"/>
        <item x="492"/>
        <item x="108"/>
        <item x="379"/>
        <item x="670"/>
        <item x="119"/>
        <item x="59"/>
        <item x="642"/>
        <item x="553"/>
        <item x="607"/>
        <item x="35"/>
        <item x="130"/>
        <item x="71"/>
        <item x="650"/>
        <item x="624"/>
        <item x="469"/>
        <item x="612"/>
        <item x="478"/>
        <item x="445"/>
        <item x="313"/>
        <item x="265"/>
        <item x="218"/>
        <item x="306"/>
        <item x="56"/>
        <item x="185"/>
        <item x="438"/>
        <item x="452"/>
        <item x="52"/>
        <item x="482"/>
        <item x="403"/>
        <item x="631"/>
        <item x="160"/>
        <item x="408"/>
        <item x="422"/>
        <item x="110"/>
        <item x="344"/>
        <item x="545"/>
        <item x="177"/>
        <item x="531"/>
        <item x="547"/>
        <item x="304"/>
        <item x="128"/>
        <item x="100"/>
        <item x="566"/>
        <item x="39"/>
        <item x="674"/>
        <item x="401"/>
        <item x="294"/>
        <item x="603"/>
        <item x="525"/>
        <item x="268"/>
        <item x="40"/>
        <item x="222"/>
        <item x="127"/>
        <item x="506"/>
        <item x="460"/>
        <item x="320"/>
        <item x="276"/>
        <item x="472"/>
        <item x="409"/>
        <item x="648"/>
        <item x="196"/>
        <item x="260"/>
        <item x="573"/>
        <item x="618"/>
        <item x="435"/>
        <item x="481"/>
        <item x="521"/>
        <item x="515"/>
        <item x="245"/>
        <item x="371"/>
        <item x="386"/>
        <item x="484"/>
        <item x="450"/>
        <item x="46"/>
        <item x="474"/>
        <item x="318"/>
        <item x="485"/>
        <item x="284"/>
        <item x="585"/>
        <item x="272"/>
        <item x="383"/>
        <item x="6"/>
        <item x="387"/>
        <item x="622"/>
        <item x="661"/>
        <item x="551"/>
        <item x="158"/>
        <item x="259"/>
        <item x="219"/>
        <item x="202"/>
        <item x="54"/>
        <item x="26"/>
        <item x="390"/>
        <item x="639"/>
        <item x="267"/>
        <item x="537"/>
        <item x="200"/>
        <item x="550"/>
        <item x="423"/>
        <item x="211"/>
        <item x="513"/>
        <item x="116"/>
        <item x="331"/>
        <item x="660"/>
        <item x="632"/>
        <item x="621"/>
        <item x="354"/>
        <item x="356"/>
        <item x="339"/>
        <item x="173"/>
        <item x="581"/>
        <item x="289"/>
        <item x="346"/>
        <item x="213"/>
        <item x="282"/>
        <item x="591"/>
        <item x="443"/>
        <item x="608"/>
        <item x="348"/>
        <item x="596"/>
        <item x="538"/>
        <item x="529"/>
        <item x="402"/>
        <item x="504"/>
        <item x="300"/>
        <item x="377"/>
        <item x="569"/>
        <item x="193"/>
        <item x="99"/>
        <item x="145"/>
        <item x="557"/>
        <item x="397"/>
        <item x="570"/>
        <item x="560"/>
        <item x="611"/>
        <item x="577"/>
        <item x="283"/>
        <item x="416"/>
        <item x="509"/>
        <item x="431"/>
        <item x="61"/>
        <item x="508"/>
        <item x="381"/>
        <item x="411"/>
        <item x="376"/>
        <item x="230"/>
        <item x="234"/>
        <item x="107"/>
        <item x="367"/>
        <item x="316"/>
        <item x="156"/>
        <item x="392"/>
        <item x="290"/>
        <item x="679"/>
        <item x="496"/>
        <item x="424"/>
        <item x="169"/>
        <item x="628"/>
        <item x="516"/>
        <item x="678"/>
        <item x="634"/>
        <item x="235"/>
        <item x="187"/>
        <item x="601"/>
        <item x="565"/>
        <item x="291"/>
        <item x="447"/>
        <item x="382"/>
        <item x="657"/>
        <item x="253"/>
        <item x="81"/>
        <item x="613"/>
        <item x="324"/>
        <item x="154"/>
        <item x="53"/>
        <item x="305"/>
        <item x="225"/>
        <item x="60"/>
        <item x="334"/>
        <item x="167"/>
        <item x="589"/>
        <item x="140"/>
        <item x="266"/>
        <item x="11"/>
        <item x="295"/>
        <item x="380"/>
        <item x="413"/>
        <item x="23"/>
        <item x="34"/>
        <item x="396"/>
        <item x="378"/>
        <item x="494"/>
        <item x="241"/>
        <item x="554"/>
        <item x="3"/>
        <item x="499"/>
        <item x="575"/>
        <item x="459"/>
        <item x="677"/>
        <item x="464"/>
        <item x="510"/>
        <item x="199"/>
        <item x="503"/>
        <item x="562"/>
        <item x="270"/>
        <item x="433"/>
        <item x="124"/>
        <item x="298"/>
        <item x="137"/>
        <item x="165"/>
        <item x="232"/>
        <item x="375"/>
        <item x="95"/>
        <item x="134"/>
        <item x="582"/>
        <item x="662"/>
        <item x="393"/>
        <item x="172"/>
        <item x="534"/>
        <item x="287"/>
        <item x="206"/>
        <item x="663"/>
        <item x="578"/>
        <item x="208"/>
        <item x="483"/>
        <item x="517"/>
        <item x="309"/>
        <item x="9"/>
        <item x="480"/>
        <item x="257"/>
        <item x="247"/>
        <item x="406"/>
        <item x="580"/>
        <item x="542"/>
        <item x="20"/>
        <item x="341"/>
        <item x="195"/>
        <item x="477"/>
        <item x="223"/>
        <item x="541"/>
        <item x="340"/>
        <item x="138"/>
        <item x="455"/>
        <item x="297"/>
        <item x="96"/>
        <item x="17"/>
        <item x="21"/>
        <item x="15"/>
        <item x="630"/>
        <item x="491"/>
        <item x="555"/>
        <item x="299"/>
        <item x="76"/>
        <item x="296"/>
        <item x="179"/>
        <item x="574"/>
        <item x="242"/>
        <item x="191"/>
        <item x="567"/>
        <item x="588"/>
        <item x="221"/>
        <item x="278"/>
        <item x="355"/>
        <item x="162"/>
        <item x="364"/>
        <item x="104"/>
        <item x="349"/>
        <item x="535"/>
        <item x="147"/>
        <item x="360"/>
        <item x="446"/>
        <item x="419"/>
        <item x="303"/>
        <item x="399"/>
        <item x="651"/>
        <item x="152"/>
        <item x="576"/>
        <item x="345"/>
        <item x="646"/>
        <item x="638"/>
        <item x="68"/>
        <item x="166"/>
        <item x="398"/>
        <item x="322"/>
        <item x="109"/>
        <item x="5"/>
        <item x="421"/>
        <item x="526"/>
        <item x="22"/>
        <item x="310"/>
        <item x="80"/>
        <item x="546"/>
        <item x="43"/>
        <item x="27"/>
        <item x="456"/>
        <item x="311"/>
        <item x="512"/>
        <item x="590"/>
        <item x="31"/>
        <item x="249"/>
        <item x="343"/>
        <item x="544"/>
        <item x="353"/>
        <item x="103"/>
        <item x="86"/>
        <item x="87"/>
        <item x="288"/>
        <item x="461"/>
        <item x="18"/>
        <item x="37"/>
        <item x="669"/>
        <item x="78"/>
        <item x="373"/>
        <item x="180"/>
        <item x="357"/>
        <item x="255"/>
        <item x="666"/>
        <item x="251"/>
        <item x="79"/>
        <item x="593"/>
        <item x="604"/>
        <item x="308"/>
        <item x="184"/>
        <item x="654"/>
        <item x="120"/>
        <item x="571"/>
        <item x="627"/>
        <item x="347"/>
        <item x="207"/>
        <item x="151"/>
        <item x="326"/>
        <item x="220"/>
        <item x="246"/>
        <item x="600"/>
        <item x="374"/>
        <item x="24"/>
        <item x="609"/>
        <item x="361"/>
        <item x="131"/>
        <item x="13"/>
        <item x="238"/>
        <item x="458"/>
        <item x="629"/>
        <item x="62"/>
        <item x="626"/>
        <item x="250"/>
        <item x="88"/>
        <item x="643"/>
        <item x="281"/>
        <item x="8"/>
        <item x="514"/>
        <item x="558"/>
        <item x="73"/>
        <item x="568"/>
        <item x="583"/>
        <item x="620"/>
        <item x="594"/>
        <item x="468"/>
        <item x="256"/>
        <item x="102"/>
        <item x="74"/>
        <item x="430"/>
        <item x="532"/>
        <item x="671"/>
        <item x="653"/>
        <item x="493"/>
        <item x="98"/>
        <item x="28"/>
        <item x="672"/>
        <item x="584"/>
        <item x="286"/>
        <item x="524"/>
        <item x="350"/>
        <item x="528"/>
        <item x="511"/>
        <item x="293"/>
        <item x="330"/>
        <item x="548"/>
        <item x="520"/>
        <item x="263"/>
        <item x="201"/>
        <item x="262"/>
        <item x="48"/>
        <item x="254"/>
        <item x="385"/>
        <item x="121"/>
        <item x="434"/>
        <item x="279"/>
        <item x="623"/>
        <item x="97"/>
        <item x="498"/>
        <item x="171"/>
        <item x="667"/>
        <item x="105"/>
        <item x="463"/>
        <item x="436"/>
        <item x="41"/>
        <item x="358"/>
        <item x="552"/>
        <item x="673"/>
        <item x="7"/>
        <item x="497"/>
        <item x="543"/>
        <item x="561"/>
        <item x="659"/>
        <item x="507"/>
        <item x="335"/>
        <item x="418"/>
        <item x="549"/>
        <item x="595"/>
        <item x="136"/>
        <item x="174"/>
        <item x="605"/>
        <item x="572"/>
        <item x="519"/>
        <item x="337"/>
        <item x="404"/>
        <item x="159"/>
        <item x="14"/>
        <item x="338"/>
        <item x="470"/>
        <item x="476"/>
        <item x="224"/>
        <item x="153"/>
        <item x="597"/>
        <item x="556"/>
        <item x="449"/>
        <item x="633"/>
        <item x="91"/>
        <item x="391"/>
        <item x="495"/>
        <item x="502"/>
        <item x="77"/>
        <item x="420"/>
        <item x="489"/>
        <item x="170"/>
        <item x="602"/>
        <item x="365"/>
        <item x="133"/>
        <item x="527"/>
        <item x="269"/>
        <item x="641"/>
        <item x="192"/>
        <item x="215"/>
        <item x="186"/>
        <item x="439"/>
        <item x="332"/>
        <item x="640"/>
        <item x="176"/>
        <item x="227"/>
        <item x="168"/>
        <item x="113"/>
        <item x="178"/>
        <item x="45"/>
        <item x="117"/>
        <item x="258"/>
        <item x="244"/>
        <item x="680"/>
        <item x="501"/>
        <item x="389"/>
        <item x="106"/>
        <item x="149"/>
        <item x="462"/>
        <item x="4"/>
        <item x="75"/>
        <item x="616"/>
        <item x="92"/>
        <item x="368"/>
        <item x="586"/>
        <item x="236"/>
        <item x="426"/>
        <item x="16"/>
        <item x="610"/>
        <item x="233"/>
        <item x="301"/>
        <item x="656"/>
        <item x="647"/>
        <item x="592"/>
        <item x="351"/>
        <item x="181"/>
        <item x="617"/>
        <item x="321"/>
        <item x="101"/>
        <item x="336"/>
        <item x="83"/>
        <item x="67"/>
        <item x="49"/>
        <item x="442"/>
        <item x="405"/>
        <item x="36"/>
        <item x="486"/>
        <item x="141"/>
        <item x="410"/>
        <item x="415"/>
        <item x="467"/>
        <item x="475"/>
        <item x="362"/>
        <item x="50"/>
        <item x="0"/>
        <item x="285"/>
        <item x="205"/>
        <item x="190"/>
        <item x="271"/>
        <item x="384"/>
        <item x="536"/>
        <item x="183"/>
        <item x="407"/>
        <item x="488"/>
        <item x="252"/>
        <item x="359"/>
        <item x="12"/>
        <item x="226"/>
        <item x="123"/>
        <item x="142"/>
        <item x="394"/>
        <item x="115"/>
        <item x="118"/>
        <item x="425"/>
        <item x="637"/>
        <item x="315"/>
        <item x="323"/>
        <item x="237"/>
        <item x="372"/>
        <item x="90"/>
        <item x="32"/>
        <item x="540"/>
        <item x="248"/>
        <item x="125"/>
        <item x="65"/>
        <item x="209"/>
        <item x="55"/>
        <item x="212"/>
        <item x="69"/>
        <item x="135"/>
        <item x="150"/>
        <item x="432"/>
        <item x="57"/>
        <item x="302"/>
        <item x="652"/>
        <item x="417"/>
        <item x="675"/>
        <item x="58"/>
        <item x="523"/>
        <item x="148"/>
        <item x="539"/>
        <item x="189"/>
        <item x="280"/>
        <item x="388"/>
        <item x="143"/>
        <item x="163"/>
        <item x="274"/>
        <item x="155"/>
        <item x="428"/>
        <item x="473"/>
        <item x="559"/>
        <item x="563"/>
        <item x="319"/>
        <item x="564"/>
        <item x="441"/>
        <item x="275"/>
        <item x="114"/>
        <item x="30"/>
        <item x="51"/>
        <item x="239"/>
        <item x="229"/>
        <item x="665"/>
        <item x="655"/>
        <item x="129"/>
        <item x="161"/>
        <item x="243"/>
        <item x="144"/>
        <item x="1"/>
        <item x="619"/>
        <item x="29"/>
        <item x="429"/>
        <item x="33"/>
        <item x="63"/>
        <item x="277"/>
        <item x="414"/>
        <item x="175"/>
        <item x="292"/>
        <item x="264"/>
        <item x="93"/>
        <item x="231"/>
        <item x="645"/>
        <item x="327"/>
        <item x="273"/>
        <item x="94"/>
        <item x="240"/>
        <item x="448"/>
        <item x="203"/>
        <item x="10"/>
        <item x="44"/>
        <item x="636"/>
        <item x="606"/>
        <item x="522"/>
        <item x="70"/>
        <item x="139"/>
        <item x="66"/>
        <item x="471"/>
        <item x="333"/>
        <item x="490"/>
        <item x="369"/>
        <item x="400"/>
        <item x="42"/>
        <item x="164"/>
        <item x="126"/>
        <item x="454"/>
        <item x="664"/>
        <item x="261"/>
        <item x="312"/>
        <item x="214"/>
        <item x="82"/>
        <item x="500"/>
        <item x="395"/>
        <item x="122"/>
        <item x="314"/>
        <item x="188"/>
        <item x="615"/>
        <item x="366"/>
        <item x="466"/>
        <item x="598"/>
        <item x="649"/>
        <item x="427"/>
        <item x="412"/>
        <item x="676"/>
        <item x="465"/>
        <item x="85"/>
        <item x="198"/>
        <item x="146"/>
        <item x="352"/>
        <item x="487"/>
        <item x="370"/>
        <item x="217"/>
        <item x="157"/>
        <item x="533"/>
        <item x="479"/>
        <item x="587"/>
        <item x="342"/>
        <item x="518"/>
        <item x="329"/>
        <item x="112"/>
        <item x="579"/>
        <item x="132"/>
        <item x="2"/>
        <item x="194"/>
        <item x="635"/>
        <item x="204"/>
        <item x="440"/>
        <item x="216"/>
        <item x="614"/>
        <item x="84"/>
        <item x="210"/>
        <item x="89"/>
        <item x="197"/>
        <item x="451"/>
        <item t="default"/>
      </items>
    </pivotField>
    <pivotField compact="0" showAll="0">
      <items count="249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49">
        <item x="101"/>
        <item x="84"/>
        <item x="98"/>
        <item x="51"/>
        <item x="104"/>
        <item x="108"/>
        <item x="144"/>
        <item x="110"/>
        <item x="37"/>
        <item x="34"/>
        <item x="76"/>
        <item x="137"/>
        <item x="18"/>
        <item x="7"/>
        <item x="31"/>
        <item x="125"/>
        <item x="138"/>
        <item x="63"/>
        <item x="30"/>
        <item x="118"/>
        <item x="95"/>
        <item x="13"/>
        <item x="133"/>
        <item x="11"/>
        <item x="70"/>
        <item x="85"/>
        <item x="93"/>
        <item x="94"/>
        <item x="35"/>
        <item x="103"/>
        <item x="146"/>
        <item x="52"/>
        <item x="117"/>
        <item x="109"/>
        <item x="115"/>
        <item x="59"/>
        <item x="22"/>
        <item x="139"/>
        <item x="114"/>
        <item x="91"/>
        <item x="44"/>
        <item x="9"/>
        <item x="88"/>
        <item x="36"/>
        <item x="135"/>
        <item x="26"/>
        <item x="46"/>
        <item x="73"/>
        <item x="99"/>
        <item x="5"/>
        <item x="77"/>
        <item x="55"/>
        <item x="21"/>
        <item x="78"/>
        <item x="49"/>
        <item x="2"/>
        <item x="64"/>
        <item x="47"/>
        <item x="113"/>
        <item x="68"/>
        <item x="147"/>
        <item x="28"/>
        <item x="54"/>
        <item x="8"/>
        <item x="86"/>
        <item x="62"/>
        <item x="123"/>
        <item x="127"/>
        <item x="141"/>
        <item x="32"/>
        <item x="145"/>
        <item x="12"/>
        <item x="58"/>
        <item x="120"/>
        <item x="56"/>
        <item x="100"/>
        <item x="60"/>
        <item x="97"/>
        <item x="41"/>
        <item x="72"/>
        <item x="14"/>
        <item x="1"/>
        <item x="96"/>
        <item x="43"/>
        <item x="122"/>
        <item x="65"/>
        <item x="79"/>
        <item x="40"/>
        <item x="92"/>
        <item x="48"/>
        <item x="53"/>
        <item x="19"/>
        <item x="130"/>
        <item x="39"/>
        <item x="136"/>
        <item x="105"/>
        <item x="87"/>
        <item x="81"/>
        <item x="20"/>
        <item x="142"/>
        <item x="128"/>
        <item x="10"/>
        <item x="42"/>
        <item x="38"/>
        <item x="69"/>
        <item x="126"/>
        <item x="90"/>
        <item x="25"/>
        <item x="111"/>
        <item x="116"/>
        <item x="106"/>
        <item x="6"/>
        <item x="134"/>
        <item x="50"/>
        <item x="107"/>
        <item x="74"/>
        <item x="23"/>
        <item x="82"/>
        <item x="129"/>
        <item x="143"/>
        <item x="121"/>
        <item x="89"/>
        <item x="17"/>
        <item x="29"/>
        <item x="61"/>
        <item x="57"/>
        <item x="80"/>
        <item x="66"/>
        <item x="75"/>
        <item x="3"/>
        <item x="140"/>
        <item x="71"/>
        <item x="112"/>
        <item x="83"/>
        <item x="45"/>
        <item x="102"/>
        <item x="131"/>
        <item x="124"/>
        <item x="24"/>
        <item x="119"/>
        <item x="16"/>
        <item x="27"/>
        <item x="15"/>
        <item x="132"/>
        <item x="33"/>
        <item x="4"/>
        <item x="67"/>
        <item x="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axis="axisRow" compact="0" showAll="0">
      <items count="5">
        <item x="1"/>
        <item x="2"/>
        <item x="0"/>
        <item x="3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6"/>
  </pageFields>
  <dataFields count="1">
    <dataField name="Average of Survived" fld="1" subtotal="average" baseField="0" baseItem="0" numFmtId="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0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97:E103" firstHeaderRow="1" firstDataRow="2" firstDataCol="1"/>
  <pivotFields count="20">
    <pivotField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668">
        <item x="642"/>
        <item x="243"/>
        <item x="267"/>
        <item x="309"/>
        <item x="334"/>
        <item x="38"/>
        <item x="645"/>
        <item x="182"/>
        <item x="618"/>
        <item x="637"/>
        <item x="185"/>
        <item x="4"/>
        <item x="260"/>
        <item x="631"/>
        <item x="171"/>
        <item x="380"/>
        <item x="13"/>
        <item x="86"/>
        <item x="132"/>
        <item x="240"/>
        <item x="424"/>
        <item x="461"/>
        <item x="47"/>
        <item x="404"/>
        <item x="308"/>
        <item x="24"/>
        <item x="547"/>
        <item x="108"/>
        <item x="313"/>
        <item x="630"/>
        <item x="602"/>
        <item x="81"/>
        <item x="369"/>
        <item x="519"/>
        <item x="584"/>
        <item x="654"/>
        <item x="283"/>
        <item x="662"/>
        <item x="589"/>
        <item x="307"/>
        <item x="253"/>
        <item x="501"/>
        <item x="106"/>
        <item x="136"/>
        <item x="151"/>
        <item x="111"/>
        <item x="193"/>
        <item x="441"/>
        <item x="316"/>
        <item x="162"/>
        <item x="217"/>
        <item x="21"/>
        <item x="665"/>
        <item x="147"/>
        <item x="199"/>
        <item x="567"/>
        <item x="320"/>
        <item x="321"/>
        <item x="70"/>
        <item x="339"/>
        <item x="254"/>
        <item x="234"/>
        <item x="357"/>
        <item x="290"/>
        <item x="184"/>
        <item x="11"/>
        <item x="499"/>
        <item x="128"/>
        <item x="167"/>
        <item x="495"/>
        <item x="302"/>
        <item x="195"/>
        <item x="415"/>
        <item x="0"/>
        <item x="592"/>
        <item x="489"/>
        <item x="172"/>
        <item x="563"/>
        <item x="131"/>
        <item x="288"/>
        <item x="326"/>
        <item x="522"/>
        <item x="436"/>
        <item x="135"/>
        <item x="650"/>
        <item x="390"/>
        <item x="235"/>
        <item x="550"/>
        <item x="74"/>
        <item x="148"/>
        <item x="186"/>
        <item x="386"/>
        <item x="410"/>
        <item x="36"/>
        <item x="465"/>
        <item x="170"/>
        <item x="533"/>
        <item x="583"/>
        <item x="183"/>
        <item x="79"/>
        <item x="218"/>
        <item x="573"/>
        <item x="84"/>
        <item x="87"/>
        <item x="561"/>
        <item x="477"/>
        <item x="349"/>
        <item x="225"/>
        <item x="150"/>
        <item x="635"/>
        <item x="85"/>
        <item x="466"/>
        <item x="69"/>
        <item x="353"/>
        <item x="551"/>
        <item x="393"/>
        <item x="120"/>
        <item x="180"/>
        <item x="420"/>
        <item x="212"/>
        <item x="291"/>
        <item x="520"/>
        <item x="208"/>
        <item x="632"/>
        <item x="578"/>
        <item x="252"/>
        <item x="110"/>
        <item x="524"/>
        <item x="510"/>
        <item x="142"/>
        <item x="295"/>
        <item x="89"/>
        <item x="65"/>
        <item x="145"/>
        <item x="440"/>
        <item x="641"/>
        <item x="1"/>
        <item x="341"/>
        <item x="289"/>
        <item x="661"/>
        <item x="537"/>
        <item x="417"/>
        <item x="351"/>
        <item x="485"/>
        <item x="279"/>
        <item x="609"/>
        <item x="526"/>
        <item x="325"/>
        <item x="505"/>
        <item x="294"/>
        <item x="452"/>
        <item x="249"/>
        <item x="246"/>
        <item x="88"/>
        <item x="306"/>
        <item x="287"/>
        <item x="278"/>
        <item x="42"/>
        <item x="540"/>
        <item x="296"/>
        <item x="367"/>
        <item x="459"/>
        <item x="93"/>
        <item x="666"/>
        <item x="247"/>
        <item x="442"/>
        <item x="75"/>
        <item x="467"/>
        <item x="119"/>
        <item x="344"/>
        <item x="244"/>
        <item x="450"/>
        <item x="651"/>
        <item x="530"/>
        <item x="518"/>
        <item x="590"/>
        <item x="118"/>
        <item x="299"/>
        <item x="476"/>
        <item x="599"/>
        <item x="25"/>
        <item x="556"/>
        <item x="407"/>
        <item x="202"/>
        <item x="430"/>
        <item x="432"/>
        <item x="51"/>
        <item x="538"/>
        <item x="265"/>
        <item x="355"/>
        <item x="509"/>
        <item x="82"/>
        <item x="372"/>
        <item x="26"/>
        <item x="293"/>
        <item x="268"/>
        <item x="286"/>
        <item x="439"/>
        <item x="471"/>
        <item x="397"/>
        <item x="622"/>
        <item x="303"/>
        <item x="3"/>
        <item x="20"/>
        <item x="336"/>
        <item x="549"/>
        <item x="587"/>
        <item x="464"/>
        <item x="608"/>
        <item x="491"/>
        <item x="382"/>
        <item x="348"/>
        <item x="127"/>
        <item x="647"/>
        <item x="472"/>
        <item x="649"/>
        <item x="559"/>
        <item x="141"/>
        <item x="188"/>
        <item x="31"/>
        <item x="373"/>
        <item x="91"/>
        <item x="149"/>
        <item x="385"/>
        <item x="57"/>
        <item x="233"/>
        <item x="196"/>
        <item x="554"/>
        <item x="92"/>
        <item x="594"/>
        <item x="607"/>
        <item x="99"/>
        <item x="256"/>
        <item x="371"/>
        <item x="130"/>
        <item x="159"/>
        <item x="216"/>
        <item x="363"/>
        <item x="259"/>
        <item x="494"/>
        <item x="314"/>
        <item x="206"/>
        <item x="605"/>
        <item x="50"/>
        <item x="480"/>
        <item x="60"/>
        <item x="229"/>
        <item x="273"/>
        <item x="535"/>
        <item x="565"/>
        <item x="572"/>
        <item x="269"/>
        <item x="239"/>
        <item x="616"/>
        <item x="516"/>
        <item x="2"/>
        <item x="623"/>
        <item x="272"/>
        <item x="230"/>
        <item x="490"/>
        <item x="15"/>
        <item x="112"/>
        <item x="284"/>
        <item x="396"/>
        <item x="434"/>
        <item x="560"/>
        <item x="591"/>
        <item x="207"/>
        <item x="625"/>
        <item x="34"/>
        <item x="482"/>
        <item x="191"/>
        <item x="68"/>
        <item x="488"/>
        <item x="251"/>
        <item x="198"/>
        <item x="546"/>
        <item x="210"/>
        <item x="613"/>
        <item x="59"/>
        <item x="80"/>
        <item x="564"/>
        <item x="158"/>
        <item x="570"/>
        <item x="192"/>
        <item x="375"/>
        <item x="329"/>
        <item x="487"/>
        <item x="470"/>
        <item x="67"/>
        <item x="507"/>
        <item x="312"/>
        <item x="391"/>
        <item x="366"/>
        <item x="178"/>
        <item x="98"/>
        <item x="8"/>
        <item x="604"/>
        <item x="582"/>
        <item x="460"/>
        <item x="107"/>
        <item x="360"/>
        <item x="514"/>
        <item x="94"/>
        <item x="484"/>
        <item x="395"/>
        <item x="541"/>
        <item x="429"/>
        <item x="264"/>
        <item x="389"/>
        <item x="262"/>
        <item x="400"/>
        <item x="377"/>
        <item x="189"/>
        <item x="600"/>
        <item x="493"/>
        <item x="66"/>
        <item x="163"/>
        <item x="497"/>
        <item x="553"/>
        <item x="156"/>
        <item x="566"/>
        <item x="40"/>
        <item x="362"/>
        <item x="428"/>
        <item x="271"/>
        <item x="412"/>
        <item x="657"/>
        <item x="542"/>
        <item x="318"/>
        <item x="416"/>
        <item x="41"/>
        <item x="203"/>
        <item x="611"/>
        <item x="447"/>
        <item x="157"/>
        <item x="328"/>
        <item x="506"/>
        <item x="478"/>
        <item x="640"/>
        <item x="422"/>
        <item x="44"/>
        <item x="160"/>
        <item x="437"/>
        <item x="619"/>
        <item x="569"/>
        <item x="255"/>
        <item x="258"/>
        <item x="205"/>
        <item x="595"/>
        <item x="215"/>
        <item x="241"/>
        <item x="483"/>
        <item x="521"/>
        <item x="644"/>
        <item x="152"/>
        <item x="221"/>
        <item x="603"/>
        <item x="498"/>
        <item x="359"/>
        <item x="201"/>
        <item x="626"/>
        <item x="502"/>
        <item x="173"/>
        <item x="596"/>
        <item x="175"/>
        <item x="539"/>
        <item x="116"/>
        <item x="213"/>
        <item x="413"/>
        <item x="384"/>
        <item x="624"/>
        <item x="35"/>
        <item x="593"/>
        <item x="562"/>
        <item x="636"/>
        <item x="643"/>
        <item x="660"/>
        <item x="577"/>
        <item x="19"/>
        <item x="346"/>
        <item x="552"/>
        <item x="6"/>
        <item x="628"/>
        <item x="263"/>
        <item x="78"/>
        <item x="558"/>
        <item x="418"/>
        <item x="304"/>
        <item x="22"/>
        <item x="330"/>
        <item x="115"/>
        <item x="574"/>
        <item x="457"/>
        <item x="343"/>
        <item x="237"/>
        <item x="200"/>
        <item x="138"/>
        <item x="174"/>
        <item x="33"/>
        <item x="376"/>
        <item x="383"/>
        <item x="214"/>
        <item x="257"/>
        <item x="100"/>
        <item x="527"/>
        <item x="513"/>
        <item x="305"/>
        <item x="71"/>
        <item x="403"/>
        <item x="664"/>
        <item x="580"/>
        <item x="113"/>
        <item x="5"/>
        <item x="275"/>
        <item x="381"/>
        <item x="453"/>
        <item x="102"/>
        <item x="63"/>
        <item x="311"/>
        <item x="73"/>
        <item x="638"/>
        <item x="545"/>
        <item x="473"/>
        <item x="211"/>
        <item x="597"/>
        <item x="250"/>
        <item x="656"/>
        <item x="322"/>
        <item x="571"/>
        <item x="9"/>
        <item x="238"/>
        <item x="134"/>
        <item x="197"/>
        <item x="190"/>
        <item x="125"/>
        <item x="133"/>
        <item x="443"/>
        <item x="37"/>
        <item x="274"/>
        <item x="588"/>
        <item x="333"/>
        <item x="455"/>
        <item x="49"/>
        <item x="55"/>
        <item x="64"/>
        <item x="129"/>
        <item x="282"/>
        <item x="165"/>
        <item x="500"/>
        <item x="379"/>
        <item x="297"/>
        <item x="45"/>
        <item x="27"/>
        <item x="448"/>
        <item x="515"/>
        <item x="140"/>
        <item x="245"/>
        <item x="536"/>
        <item x="335"/>
        <item x="126"/>
        <item x="612"/>
        <item x="52"/>
        <item x="411"/>
        <item x="610"/>
        <item x="444"/>
        <item x="331"/>
        <item x="7"/>
        <item x="48"/>
        <item x="242"/>
        <item x="504"/>
        <item x="227"/>
        <item x="285"/>
        <item x="633"/>
        <item x="463"/>
        <item x="469"/>
        <item x="425"/>
        <item x="137"/>
        <item x="374"/>
        <item x="109"/>
        <item x="266"/>
        <item x="209"/>
        <item x="187"/>
        <item x="161"/>
        <item x="426"/>
        <item x="232"/>
        <item x="117"/>
        <item x="534"/>
        <item x="95"/>
        <item x="96"/>
        <item x="364"/>
        <item x="617"/>
        <item x="370"/>
        <item x="354"/>
        <item x="356"/>
        <item x="169"/>
        <item x="324"/>
        <item x="614"/>
        <item x="104"/>
        <item x="658"/>
        <item x="414"/>
        <item x="517"/>
        <item x="646"/>
        <item x="219"/>
        <item x="231"/>
        <item x="103"/>
        <item x="394"/>
        <item x="627"/>
        <item x="365"/>
        <item x="16"/>
        <item x="124"/>
        <item x="338"/>
        <item x="431"/>
        <item x="317"/>
        <item x="474"/>
        <item x="438"/>
        <item x="451"/>
        <item x="601"/>
        <item x="121"/>
        <item x="652"/>
        <item x="43"/>
        <item x="166"/>
        <item x="523"/>
        <item x="164"/>
        <item x="222"/>
        <item x="468"/>
        <item x="586"/>
        <item x="419"/>
        <item x="398"/>
        <item x="54"/>
        <item x="462"/>
        <item x="423"/>
        <item x="270"/>
        <item x="543"/>
        <item x="261"/>
        <item x="327"/>
        <item x="144"/>
        <item x="508"/>
        <item x="101"/>
        <item x="433"/>
        <item x="46"/>
        <item x="10"/>
        <item x="12"/>
        <item x="531"/>
        <item x="388"/>
        <item x="340"/>
        <item x="292"/>
        <item x="639"/>
        <item x="368"/>
        <item x="446"/>
        <item x="77"/>
        <item x="408"/>
        <item x="659"/>
        <item x="90"/>
        <item x="486"/>
        <item x="345"/>
        <item x="548"/>
        <item x="361"/>
        <item x="456"/>
        <item x="511"/>
        <item x="576"/>
        <item x="58"/>
        <item x="634"/>
        <item x="454"/>
        <item x="154"/>
        <item x="606"/>
        <item x="204"/>
        <item x="61"/>
        <item x="479"/>
        <item x="280"/>
        <item x="620"/>
        <item x="83"/>
        <item x="23"/>
        <item x="387"/>
        <item x="143"/>
        <item x="155"/>
        <item x="123"/>
        <item x="555"/>
        <item x="401"/>
        <item x="277"/>
        <item x="30"/>
        <item x="503"/>
        <item x="72"/>
        <item x="248"/>
        <item x="405"/>
        <item x="220"/>
        <item x="475"/>
        <item x="62"/>
        <item x="629"/>
        <item x="458"/>
        <item x="392"/>
        <item x="575"/>
        <item x="181"/>
        <item x="194"/>
        <item x="342"/>
        <item x="663"/>
        <item x="496"/>
        <item x="409"/>
        <item x="648"/>
        <item x="228"/>
        <item x="525"/>
        <item x="445"/>
        <item x="585"/>
        <item x="615"/>
        <item x="224"/>
        <item x="358"/>
        <item x="323"/>
        <item x="598"/>
        <item x="28"/>
        <item x="621"/>
        <item x="378"/>
        <item x="481"/>
        <item x="236"/>
        <item x="435"/>
        <item x="223"/>
        <item x="568"/>
        <item x="332"/>
        <item x="557"/>
        <item x="168"/>
        <item x="532"/>
        <item x="399"/>
        <item x="39"/>
        <item x="29"/>
        <item x="139"/>
        <item x="153"/>
        <item x="347"/>
        <item x="653"/>
        <item x="581"/>
        <item x="177"/>
        <item x="301"/>
        <item x="655"/>
        <item x="18"/>
        <item x="14"/>
        <item x="427"/>
        <item x="76"/>
        <item x="421"/>
        <item x="226"/>
        <item x="310"/>
        <item x="529"/>
        <item x="146"/>
        <item x="114"/>
        <item x="544"/>
        <item x="122"/>
        <item x="579"/>
        <item x="56"/>
        <item x="32"/>
        <item x="97"/>
        <item x="276"/>
        <item x="337"/>
        <item x="319"/>
        <item x="315"/>
        <item x="528"/>
        <item x="512"/>
        <item x="17"/>
        <item x="298"/>
        <item x="402"/>
        <item x="352"/>
        <item x="53"/>
        <item x="449"/>
        <item x="492"/>
        <item x="281"/>
        <item x="179"/>
        <item x="300"/>
        <item x="406"/>
        <item x="176"/>
        <item x="105"/>
        <item x="350"/>
        <item t="default"/>
      </items>
    </pivotField>
    <pivotField compact="0" showAll="0">
      <items count="800">
        <item x="313"/>
        <item x="481"/>
        <item x="738"/>
        <item x="348"/>
        <item x="163"/>
        <item x="262"/>
        <item x="65"/>
        <item x="452"/>
        <item x="775"/>
        <item x="516"/>
        <item x="252"/>
        <item x="352"/>
        <item x="522"/>
        <item x="14"/>
        <item x="695"/>
        <item x="186"/>
        <item x="707"/>
        <item x="78"/>
        <item x="784"/>
        <item x="349"/>
        <item x="634"/>
        <item x="285"/>
        <item x="240"/>
        <item x="316"/>
        <item x="206"/>
        <item x="732"/>
        <item x="63"/>
        <item x="629"/>
        <item x="704"/>
        <item x="309"/>
        <item x="105"/>
        <item x="214"/>
        <item x="77"/>
        <item x="261"/>
        <item x="129"/>
        <item x="34"/>
        <item x="365"/>
        <item x="272"/>
        <item x="149"/>
        <item x="378"/>
        <item x="391"/>
        <item x="529"/>
        <item x="523"/>
        <item x="785"/>
        <item x="574"/>
        <item x="631"/>
        <item x="561"/>
        <item x="715"/>
        <item x="327"/>
        <item x="230"/>
        <item x="281"/>
        <item x="71"/>
        <item x="260"/>
        <item x="331"/>
        <item x="60"/>
        <item x="746"/>
        <item x="442"/>
        <item x="591"/>
        <item x="12"/>
        <item x="557"/>
        <item x="102"/>
        <item x="741"/>
        <item x="710"/>
        <item x="706"/>
        <item x="173"/>
        <item x="125"/>
        <item x="21"/>
        <item x="287"/>
        <item x="104"/>
        <item x="138"/>
        <item x="484"/>
        <item x="353"/>
        <item x="343"/>
        <item x="652"/>
        <item x="757"/>
        <item x="450"/>
        <item x="565"/>
        <item x="744"/>
        <item x="579"/>
        <item x="169"/>
        <item x="72"/>
        <item x="497"/>
        <item x="223"/>
        <item x="167"/>
        <item x="505"/>
        <item x="424"/>
        <item x="434"/>
        <item x="690"/>
        <item x="599"/>
        <item x="721"/>
        <item x="776"/>
        <item x="726"/>
        <item x="143"/>
        <item x="681"/>
        <item x="646"/>
        <item x="754"/>
        <item x="266"/>
        <item x="37"/>
        <item x="359"/>
        <item x="317"/>
        <item x="150"/>
        <item x="703"/>
        <item x="226"/>
        <item x="301"/>
        <item x="415"/>
        <item x="427"/>
        <item x="404"/>
        <item x="288"/>
        <item x="419"/>
        <item x="82"/>
        <item x="643"/>
        <item x="91"/>
        <item x="709"/>
        <item x="626"/>
        <item x="46"/>
        <item x="468"/>
        <item x="80"/>
        <item x="526"/>
        <item x="371"/>
        <item x="24"/>
        <item x="385"/>
        <item x="188"/>
        <item x="648"/>
        <item x="396"/>
        <item x="495"/>
        <item x="797"/>
        <item x="780"/>
        <item x="750"/>
        <item x="613"/>
        <item x="26"/>
        <item x="407"/>
        <item x="152"/>
        <item x="622"/>
        <item x="16"/>
        <item x="329"/>
        <item x="263"/>
        <item x="183"/>
        <item x="367"/>
        <item x="93"/>
        <item x="570"/>
        <item x="735"/>
        <item x="402"/>
        <item x="586"/>
        <item x="219"/>
        <item x="178"/>
        <item x="770"/>
        <item x="207"/>
        <item x="176"/>
        <item x="57"/>
        <item x="547"/>
        <item x="390"/>
        <item x="92"/>
        <item x="692"/>
        <item x="691"/>
        <item x="675"/>
        <item x="249"/>
        <item x="256"/>
        <item x="109"/>
        <item x="569"/>
        <item x="255"/>
        <item x="45"/>
        <item x="696"/>
        <item x="453"/>
        <item x="279"/>
        <item x="128"/>
        <item x="411"/>
        <item x="773"/>
        <item x="758"/>
        <item x="729"/>
        <item x="627"/>
        <item x="458"/>
        <item x="33"/>
        <item x="358"/>
        <item x="141"/>
        <item x="326"/>
        <item x="112"/>
        <item x="552"/>
        <item x="254"/>
        <item x="503"/>
        <item x="506"/>
        <item x="665"/>
        <item x="273"/>
        <item x="456"/>
        <item x="527"/>
        <item x="673"/>
        <item x="32"/>
        <item x="641"/>
        <item x="602"/>
        <item x="463"/>
        <item x="702"/>
        <item x="566"/>
        <item x="649"/>
        <item x="425"/>
        <item x="441"/>
        <item x="460"/>
        <item x="161"/>
        <item x="604"/>
        <item x="533"/>
        <item x="168"/>
        <item x="122"/>
        <item x="542"/>
        <item x="212"/>
        <item x="376"/>
        <item x="660"/>
        <item x="191"/>
        <item x="11"/>
        <item x="697"/>
        <item x="323"/>
        <item x="464"/>
        <item x="556"/>
        <item x="432"/>
        <item x="27"/>
        <item x="725"/>
        <item x="116"/>
        <item x="645"/>
        <item x="609"/>
        <item x="593"/>
        <item x="342"/>
        <item x="88"/>
        <item x="517"/>
        <item x="132"/>
        <item x="55"/>
        <item x="298"/>
        <item x="584"/>
        <item x="418"/>
        <item x="53"/>
        <item x="614"/>
        <item x="268"/>
        <item x="375"/>
        <item x="328"/>
        <item x="67"/>
        <item x="304"/>
        <item x="36"/>
        <item x="243"/>
        <item x="764"/>
        <item x="66"/>
        <item x="730"/>
        <item x="257"/>
        <item x="227"/>
        <item x="562"/>
        <item x="399"/>
        <item x="258"/>
        <item x="550"/>
        <item x="282"/>
        <item x="530"/>
        <item x="15"/>
        <item x="476"/>
        <item x="587"/>
        <item x="496"/>
        <item x="513"/>
        <item x="475"/>
        <item x="488"/>
        <item x="25"/>
        <item x="18"/>
        <item x="337"/>
        <item x="640"/>
        <item x="87"/>
        <item x="267"/>
        <item x="430"/>
        <item x="457"/>
        <item x="81"/>
        <item x="270"/>
        <item x="508"/>
        <item x="314"/>
        <item x="162"/>
        <item x="351"/>
        <item x="782"/>
        <item x="422"/>
        <item x="306"/>
        <item x="197"/>
        <item x="617"/>
        <item x="616"/>
        <item x="472"/>
        <item x="771"/>
        <item x="792"/>
        <item x="772"/>
        <item x="220"/>
        <item x="455"/>
        <item x="431"/>
        <item x="233"/>
        <item x="124"/>
        <item x="515"/>
        <item x="473"/>
        <item x="355"/>
        <item x="94"/>
        <item x="766"/>
        <item x="318"/>
        <item x="598"/>
        <item x="218"/>
        <item x="708"/>
        <item x="310"/>
        <item x="743"/>
        <item x="444"/>
        <item x="745"/>
        <item x="628"/>
        <item x="791"/>
        <item x="64"/>
        <item x="199"/>
        <item x="250"/>
        <item x="251"/>
        <item x="7"/>
        <item x="571"/>
        <item x="572"/>
        <item x="518"/>
        <item x="200"/>
        <item x="615"/>
        <item x="101"/>
        <item x="666"/>
        <item x="642"/>
        <item x="620"/>
        <item x="35"/>
        <item x="686"/>
        <item x="264"/>
        <item x="595"/>
        <item x="209"/>
        <item x="688"/>
        <item x="387"/>
        <item x="583"/>
        <item x="62"/>
        <item x="779"/>
        <item x="449"/>
        <item x="500"/>
        <item x="154"/>
        <item x="551"/>
        <item x="360"/>
        <item x="461"/>
        <item x="580"/>
        <item x="719"/>
        <item x="499"/>
        <item x="204"/>
        <item x="284"/>
        <item x="345"/>
        <item x="133"/>
        <item x="439"/>
        <item x="302"/>
        <item x="195"/>
        <item x="638"/>
        <item x="205"/>
        <item x="61"/>
        <item x="225"/>
        <item x="568"/>
        <item x="172"/>
        <item x="793"/>
        <item x="474"/>
        <item x="612"/>
        <item x="654"/>
        <item x="639"/>
        <item x="588"/>
        <item x="51"/>
        <item x="600"/>
        <item x="320"/>
        <item x="90"/>
        <item x="644"/>
        <item x="308"/>
        <item x="448"/>
        <item x="108"/>
        <item x="374"/>
        <item x="661"/>
        <item x="291"/>
        <item x="465"/>
        <item x="292"/>
        <item x="54"/>
        <item x="181"/>
        <item x="13"/>
        <item x="520"/>
        <item x="388"/>
        <item x="443"/>
        <item x="300"/>
        <item x="685"/>
        <item x="524"/>
        <item x="752"/>
        <item x="501"/>
        <item x="426"/>
        <item x="75"/>
        <item x="625"/>
        <item x="608"/>
        <item x="435"/>
        <item x="134"/>
        <item x="3"/>
        <item x="749"/>
        <item x="198"/>
        <item x="5"/>
        <item x="158"/>
        <item x="286"/>
        <item x="170"/>
        <item x="244"/>
        <item x="217"/>
        <item x="190"/>
        <item x="477"/>
        <item x="394"/>
        <item x="38"/>
        <item x="79"/>
        <item x="485"/>
        <item x="545"/>
        <item x="718"/>
        <item x="315"/>
        <item x="454"/>
        <item x="140"/>
        <item x="756"/>
        <item x="546"/>
        <item x="676"/>
        <item x="126"/>
        <item x="39"/>
        <item x="372"/>
        <item x="417"/>
        <item x="312"/>
        <item x="414"/>
        <item x="392"/>
        <item x="575"/>
        <item x="490"/>
        <item x="790"/>
        <item x="594"/>
        <item x="678"/>
        <item x="184"/>
        <item x="597"/>
        <item x="633"/>
        <item x="535"/>
        <item x="510"/>
        <item x="1"/>
        <item x="689"/>
        <item x="165"/>
        <item x="540"/>
        <item x="733"/>
        <item x="737"/>
        <item x="222"/>
        <item x="157"/>
        <item x="208"/>
        <item x="537"/>
        <item x="528"/>
        <item x="635"/>
        <item x="438"/>
        <item x="509"/>
        <item x="96"/>
        <item x="159"/>
        <item x="774"/>
        <item x="558"/>
        <item x="339"/>
        <item x="48"/>
        <item x="429"/>
        <item x="555"/>
        <item x="532"/>
        <item x="137"/>
        <item x="142"/>
        <item x="19"/>
        <item x="494"/>
        <item x="624"/>
        <item x="335"/>
        <item x="160"/>
        <item x="127"/>
        <item x="380"/>
        <item x="581"/>
        <item x="49"/>
        <item x="364"/>
        <item x="507"/>
        <item x="534"/>
        <item x="17"/>
        <item x="795"/>
        <item x="667"/>
        <item x="202"/>
        <item x="83"/>
        <item x="324"/>
        <item x="361"/>
        <item x="798"/>
        <item x="221"/>
        <item x="723"/>
        <item x="193"/>
        <item x="734"/>
        <item x="278"/>
        <item x="403"/>
        <item x="235"/>
        <item x="153"/>
        <item x="619"/>
        <item x="110"/>
        <item x="632"/>
        <item x="171"/>
        <item x="607"/>
        <item x="459"/>
        <item x="265"/>
        <item x="469"/>
        <item x="787"/>
        <item x="658"/>
        <item x="2"/>
        <item x="28"/>
        <item x="296"/>
        <item x="20"/>
        <item x="73"/>
        <item x="740"/>
        <item x="398"/>
        <item x="319"/>
        <item x="341"/>
        <item x="416"/>
        <item x="118"/>
        <item x="596"/>
        <item x="354"/>
        <item x="130"/>
        <item x="664"/>
        <item x="605"/>
        <item x="446"/>
        <item x="70"/>
        <item x="228"/>
        <item x="175"/>
        <item x="589"/>
        <item x="52"/>
        <item x="487"/>
        <item x="410"/>
        <item x="489"/>
        <item x="180"/>
        <item x="440"/>
        <item x="395"/>
        <item x="578"/>
        <item x="86"/>
        <item x="211"/>
        <item x="421"/>
        <item x="111"/>
        <item x="651"/>
        <item x="630"/>
        <item x="56"/>
        <item x="283"/>
        <item x="29"/>
        <item x="437"/>
        <item x="716"/>
        <item x="293"/>
        <item x="194"/>
        <item x="297"/>
        <item x="43"/>
        <item x="796"/>
        <item x="559"/>
        <item x="657"/>
        <item x="585"/>
        <item x="10"/>
        <item x="381"/>
        <item x="363"/>
        <item x="423"/>
        <item x="311"/>
        <item x="383"/>
        <item x="759"/>
        <item x="332"/>
        <item x="564"/>
        <item x="373"/>
        <item x="232"/>
        <item x="413"/>
        <item x="123"/>
        <item x="478"/>
        <item x="344"/>
        <item x="31"/>
        <item x="763"/>
        <item x="305"/>
        <item x="277"/>
        <item x="224"/>
        <item x="98"/>
        <item x="369"/>
        <item x="543"/>
        <item x="237"/>
        <item x="433"/>
        <item x="405"/>
        <item x="350"/>
        <item x="576"/>
        <item x="541"/>
        <item x="677"/>
        <item x="650"/>
        <item x="145"/>
        <item x="189"/>
        <item x="553"/>
        <item x="155"/>
        <item x="705"/>
        <item x="668"/>
        <item x="592"/>
        <item x="321"/>
        <item x="601"/>
        <item x="663"/>
        <item x="493"/>
        <item x="203"/>
        <item x="672"/>
        <item x="786"/>
        <item x="196"/>
        <item x="119"/>
        <item x="9"/>
        <item x="694"/>
        <item x="736"/>
        <item x="408"/>
        <item x="525"/>
        <item x="447"/>
        <item x="271"/>
        <item x="336"/>
        <item x="290"/>
        <item x="655"/>
        <item x="727"/>
        <item x="762"/>
        <item x="590"/>
        <item x="684"/>
        <item x="135"/>
        <item x="151"/>
        <item x="466"/>
        <item x="59"/>
        <item x="8"/>
        <item x="722"/>
        <item x="747"/>
        <item x="0"/>
        <item x="99"/>
        <item x="113"/>
        <item x="573"/>
        <item x="89"/>
        <item x="698"/>
        <item x="603"/>
        <item x="382"/>
        <item x="139"/>
        <item x="276"/>
        <item x="582"/>
        <item x="406"/>
        <item x="511"/>
        <item x="121"/>
        <item x="682"/>
        <item x="467"/>
        <item x="549"/>
        <item x="647"/>
        <item x="377"/>
        <item x="767"/>
        <item x="445"/>
        <item x="656"/>
        <item x="755"/>
        <item x="778"/>
        <item x="210"/>
        <item x="401"/>
        <item x="492"/>
        <item x="751"/>
        <item x="659"/>
        <item x="115"/>
        <item x="76"/>
        <item x="769"/>
        <item x="462"/>
        <item x="174"/>
        <item x="236"/>
        <item x="606"/>
        <item x="177"/>
        <item x="693"/>
        <item x="280"/>
        <item x="714"/>
        <item x="50"/>
        <item x="179"/>
        <item x="100"/>
        <item x="491"/>
        <item x="451"/>
        <item x="728"/>
        <item x="242"/>
        <item x="781"/>
        <item x="274"/>
        <item x="713"/>
        <item x="192"/>
        <item x="521"/>
        <item x="662"/>
        <item x="147"/>
        <item x="229"/>
        <item x="554"/>
        <item x="470"/>
        <item x="144"/>
        <item x="699"/>
        <item x="362"/>
        <item x="674"/>
        <item x="539"/>
        <item x="567"/>
        <item x="637"/>
        <item x="765"/>
        <item x="295"/>
        <item x="783"/>
        <item x="679"/>
        <item x="498"/>
        <item x="131"/>
        <item x="428"/>
        <item x="760"/>
        <item x="356"/>
        <item x="748"/>
        <item x="486"/>
        <item x="479"/>
        <item x="347"/>
        <item x="85"/>
        <item x="384"/>
        <item x="412"/>
        <item x="368"/>
        <item x="213"/>
        <item x="548"/>
        <item x="502"/>
        <item x="74"/>
        <item x="761"/>
        <item x="436"/>
        <item x="42"/>
        <item x="97"/>
        <item x="303"/>
        <item x="238"/>
        <item x="768"/>
        <item x="636"/>
        <item x="397"/>
        <item x="117"/>
        <item x="330"/>
        <item x="269"/>
        <item x="483"/>
        <item x="711"/>
        <item x="231"/>
        <item x="69"/>
        <item x="325"/>
        <item x="357"/>
        <item x="185"/>
        <item x="103"/>
        <item x="120"/>
        <item x="671"/>
        <item x="653"/>
        <item x="338"/>
        <item x="201"/>
        <item x="234"/>
        <item x="41"/>
        <item x="275"/>
        <item x="253"/>
        <item x="393"/>
        <item x="148"/>
        <item x="182"/>
        <item x="753"/>
        <item x="322"/>
        <item x="618"/>
        <item x="156"/>
        <item x="333"/>
        <item x="701"/>
        <item x="742"/>
        <item x="724"/>
        <item x="788"/>
        <item x="683"/>
        <item x="146"/>
        <item x="519"/>
        <item x="623"/>
        <item x="610"/>
        <item x="621"/>
        <item x="611"/>
        <item x="106"/>
        <item x="512"/>
        <item x="6"/>
        <item x="389"/>
        <item x="23"/>
        <item x="670"/>
        <item x="739"/>
        <item x="538"/>
        <item x="366"/>
        <item x="514"/>
        <item x="136"/>
        <item x="471"/>
        <item x="294"/>
        <item x="216"/>
        <item x="248"/>
        <item x="400"/>
        <item x="680"/>
        <item x="68"/>
        <item x="700"/>
        <item x="215"/>
        <item x="544"/>
        <item x="107"/>
        <item x="504"/>
        <item x="669"/>
        <item x="420"/>
        <item x="777"/>
        <item x="340"/>
        <item x="731"/>
        <item x="346"/>
        <item x="245"/>
        <item x="187"/>
        <item x="164"/>
        <item x="299"/>
        <item x="241"/>
        <item x="789"/>
        <item x="794"/>
        <item x="482"/>
        <item x="560"/>
        <item x="480"/>
        <item x="247"/>
        <item x="563"/>
        <item x="30"/>
        <item x="409"/>
        <item x="531"/>
        <item x="95"/>
        <item x="289"/>
        <item x="239"/>
        <item x="370"/>
        <item x="687"/>
        <item x="712"/>
        <item x="58"/>
        <item x="379"/>
        <item x="4"/>
        <item x="577"/>
        <item x="536"/>
        <item x="44"/>
        <item x="114"/>
        <item x="40"/>
        <item x="334"/>
        <item x="84"/>
        <item x="386"/>
        <item x="246"/>
        <item x="22"/>
        <item x="259"/>
        <item x="720"/>
        <item x="166"/>
        <item x="307"/>
        <item x="47"/>
        <item x="717"/>
        <item t="default"/>
      </items>
    </pivotField>
    <pivotField compact="0" showAll="0">
      <items count="18">
        <item x="14"/>
        <item x="13"/>
        <item x="4"/>
        <item x="6"/>
        <item x="16"/>
        <item x="10"/>
        <item x="9"/>
        <item x="3"/>
        <item x="2"/>
        <item x="12"/>
        <item x="7"/>
        <item x="0"/>
        <item x="1"/>
        <item x="8"/>
        <item x="5"/>
        <item x="11"/>
        <item x="15"/>
        <item t="default"/>
      </items>
    </pivotField>
    <pivotField compact="0" showAll="0">
      <items count="4">
        <item x="1"/>
        <item h="1" x="0"/>
        <item h="1" x="2"/>
        <item t="default"/>
      </items>
    </pivotField>
    <pivotField compact="0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x="4"/>
        <item t="default"/>
      </items>
    </pivotField>
    <pivotField compact="0" showAll="0">
      <items count="6">
        <item x="0"/>
        <item x="4"/>
        <item x="2"/>
        <item x="3"/>
        <item x="1"/>
        <item t="default"/>
      </items>
    </pivotField>
    <pivotField compact="0" showAll="0">
      <items count="8">
        <item x="1"/>
        <item x="0"/>
        <item x="4"/>
        <item x="2"/>
        <item x="3"/>
        <item x="5"/>
        <item x="6"/>
        <item t="default"/>
      </items>
    </pivotField>
    <pivotField compact="0" showAll="0">
      <items count="8">
        <item x="0"/>
        <item x="1"/>
        <item x="2"/>
        <item x="4"/>
        <item x="5"/>
        <item x="3"/>
        <item x="6"/>
        <item t="default"/>
      </items>
    </pivotField>
    <pivotField compact="0" showAll="0">
      <items count="10">
        <item x="1"/>
        <item x="0"/>
        <item x="3"/>
        <item x="6"/>
        <item x="2"/>
        <item x="5"/>
        <item x="4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682">
        <item x="453"/>
        <item x="668"/>
        <item x="72"/>
        <item x="363"/>
        <item x="644"/>
        <item x="457"/>
        <item x="530"/>
        <item x="437"/>
        <item x="625"/>
        <item x="317"/>
        <item x="111"/>
        <item x="182"/>
        <item x="658"/>
        <item x="25"/>
        <item x="444"/>
        <item x="307"/>
        <item x="325"/>
        <item x="19"/>
        <item x="228"/>
        <item x="38"/>
        <item x="328"/>
        <item x="505"/>
        <item x="64"/>
        <item x="47"/>
        <item x="599"/>
        <item x="492"/>
        <item x="108"/>
        <item x="379"/>
        <item x="670"/>
        <item x="119"/>
        <item x="59"/>
        <item x="642"/>
        <item x="553"/>
        <item x="607"/>
        <item x="35"/>
        <item x="130"/>
        <item x="71"/>
        <item x="650"/>
        <item x="624"/>
        <item x="469"/>
        <item x="612"/>
        <item x="478"/>
        <item x="445"/>
        <item x="313"/>
        <item x="265"/>
        <item x="218"/>
        <item x="306"/>
        <item x="56"/>
        <item x="185"/>
        <item x="438"/>
        <item x="452"/>
        <item x="52"/>
        <item x="482"/>
        <item x="403"/>
        <item x="631"/>
        <item x="160"/>
        <item x="408"/>
        <item x="422"/>
        <item x="110"/>
        <item x="344"/>
        <item x="545"/>
        <item x="177"/>
        <item x="531"/>
        <item x="547"/>
        <item x="304"/>
        <item x="128"/>
        <item x="100"/>
        <item x="566"/>
        <item x="39"/>
        <item x="674"/>
        <item x="401"/>
        <item x="294"/>
        <item x="603"/>
        <item x="525"/>
        <item x="268"/>
        <item x="40"/>
        <item x="222"/>
        <item x="127"/>
        <item x="506"/>
        <item x="460"/>
        <item x="320"/>
        <item x="276"/>
        <item x="472"/>
        <item x="409"/>
        <item x="648"/>
        <item x="196"/>
        <item x="260"/>
        <item x="573"/>
        <item x="618"/>
        <item x="435"/>
        <item x="481"/>
        <item x="521"/>
        <item x="515"/>
        <item x="245"/>
        <item x="371"/>
        <item x="386"/>
        <item x="484"/>
        <item x="450"/>
        <item x="46"/>
        <item x="474"/>
        <item x="318"/>
        <item x="485"/>
        <item x="284"/>
        <item x="585"/>
        <item x="272"/>
        <item x="383"/>
        <item x="6"/>
        <item x="387"/>
        <item x="622"/>
        <item x="661"/>
        <item x="551"/>
        <item x="158"/>
        <item x="259"/>
        <item x="219"/>
        <item x="202"/>
        <item x="54"/>
        <item x="26"/>
        <item x="390"/>
        <item x="639"/>
        <item x="267"/>
        <item x="537"/>
        <item x="200"/>
        <item x="550"/>
        <item x="423"/>
        <item x="211"/>
        <item x="513"/>
        <item x="116"/>
        <item x="331"/>
        <item x="660"/>
        <item x="632"/>
        <item x="621"/>
        <item x="354"/>
        <item x="356"/>
        <item x="339"/>
        <item x="173"/>
        <item x="581"/>
        <item x="289"/>
        <item x="346"/>
        <item x="213"/>
        <item x="282"/>
        <item x="591"/>
        <item x="443"/>
        <item x="608"/>
        <item x="348"/>
        <item x="596"/>
        <item x="538"/>
        <item x="529"/>
        <item x="402"/>
        <item x="504"/>
        <item x="300"/>
        <item x="377"/>
        <item x="569"/>
        <item x="193"/>
        <item x="99"/>
        <item x="145"/>
        <item x="557"/>
        <item x="397"/>
        <item x="570"/>
        <item x="560"/>
        <item x="611"/>
        <item x="577"/>
        <item x="283"/>
        <item x="416"/>
        <item x="509"/>
        <item x="431"/>
        <item x="61"/>
        <item x="508"/>
        <item x="381"/>
        <item x="411"/>
        <item x="376"/>
        <item x="230"/>
        <item x="234"/>
        <item x="107"/>
        <item x="367"/>
        <item x="316"/>
        <item x="156"/>
        <item x="392"/>
        <item x="290"/>
        <item x="679"/>
        <item x="496"/>
        <item x="424"/>
        <item x="169"/>
        <item x="628"/>
        <item x="516"/>
        <item x="678"/>
        <item x="634"/>
        <item x="235"/>
        <item x="187"/>
        <item x="601"/>
        <item x="565"/>
        <item x="291"/>
        <item x="447"/>
        <item x="382"/>
        <item x="657"/>
        <item x="253"/>
        <item x="81"/>
        <item x="613"/>
        <item x="324"/>
        <item x="154"/>
        <item x="53"/>
        <item x="305"/>
        <item x="225"/>
        <item x="60"/>
        <item x="334"/>
        <item x="167"/>
        <item x="589"/>
        <item x="140"/>
        <item x="266"/>
        <item x="11"/>
        <item x="295"/>
        <item x="380"/>
        <item x="413"/>
        <item x="23"/>
        <item x="34"/>
        <item x="396"/>
        <item x="378"/>
        <item x="494"/>
        <item x="241"/>
        <item x="554"/>
        <item x="3"/>
        <item x="499"/>
        <item x="575"/>
        <item x="459"/>
        <item x="677"/>
        <item x="464"/>
        <item x="510"/>
        <item x="199"/>
        <item x="503"/>
        <item x="562"/>
        <item x="270"/>
        <item x="433"/>
        <item x="124"/>
        <item x="298"/>
        <item x="137"/>
        <item x="165"/>
        <item x="232"/>
        <item x="375"/>
        <item x="95"/>
        <item x="134"/>
        <item x="582"/>
        <item x="662"/>
        <item x="393"/>
        <item x="172"/>
        <item x="534"/>
        <item x="287"/>
        <item x="206"/>
        <item x="663"/>
        <item x="578"/>
        <item x="208"/>
        <item x="483"/>
        <item x="517"/>
        <item x="309"/>
        <item x="9"/>
        <item x="480"/>
        <item x="257"/>
        <item x="247"/>
        <item x="406"/>
        <item x="580"/>
        <item x="542"/>
        <item x="20"/>
        <item x="341"/>
        <item x="195"/>
        <item x="477"/>
        <item x="223"/>
        <item x="541"/>
        <item x="340"/>
        <item x="138"/>
        <item x="455"/>
        <item x="297"/>
        <item x="96"/>
        <item x="17"/>
        <item x="21"/>
        <item x="15"/>
        <item x="630"/>
        <item x="491"/>
        <item x="555"/>
        <item x="299"/>
        <item x="76"/>
        <item x="296"/>
        <item x="179"/>
        <item x="574"/>
        <item x="242"/>
        <item x="191"/>
        <item x="567"/>
        <item x="588"/>
        <item x="221"/>
        <item x="278"/>
        <item x="355"/>
        <item x="162"/>
        <item x="364"/>
        <item x="104"/>
        <item x="349"/>
        <item x="535"/>
        <item x="147"/>
        <item x="360"/>
        <item x="446"/>
        <item x="419"/>
        <item x="303"/>
        <item x="399"/>
        <item x="651"/>
        <item x="152"/>
        <item x="576"/>
        <item x="345"/>
        <item x="646"/>
        <item x="638"/>
        <item x="68"/>
        <item x="166"/>
        <item x="398"/>
        <item x="322"/>
        <item x="109"/>
        <item x="5"/>
        <item x="421"/>
        <item x="526"/>
        <item x="22"/>
        <item x="310"/>
        <item x="80"/>
        <item x="546"/>
        <item x="43"/>
        <item x="27"/>
        <item x="456"/>
        <item x="311"/>
        <item x="512"/>
        <item x="590"/>
        <item x="31"/>
        <item x="249"/>
        <item x="343"/>
        <item x="544"/>
        <item x="353"/>
        <item x="103"/>
        <item x="86"/>
        <item x="87"/>
        <item x="288"/>
        <item x="461"/>
        <item x="18"/>
        <item x="37"/>
        <item x="669"/>
        <item x="78"/>
        <item x="373"/>
        <item x="180"/>
        <item x="357"/>
        <item x="255"/>
        <item x="666"/>
        <item x="251"/>
        <item x="79"/>
        <item x="593"/>
        <item x="604"/>
        <item x="308"/>
        <item x="184"/>
        <item x="654"/>
        <item x="120"/>
        <item x="571"/>
        <item x="627"/>
        <item x="347"/>
        <item x="207"/>
        <item x="151"/>
        <item x="326"/>
        <item x="220"/>
        <item x="246"/>
        <item x="600"/>
        <item x="374"/>
        <item x="24"/>
        <item x="609"/>
        <item x="361"/>
        <item x="131"/>
        <item x="13"/>
        <item x="238"/>
        <item x="458"/>
        <item x="629"/>
        <item x="62"/>
        <item x="626"/>
        <item x="250"/>
        <item x="88"/>
        <item x="643"/>
        <item x="281"/>
        <item x="8"/>
        <item x="514"/>
        <item x="558"/>
        <item x="73"/>
        <item x="568"/>
        <item x="583"/>
        <item x="620"/>
        <item x="594"/>
        <item x="468"/>
        <item x="256"/>
        <item x="102"/>
        <item x="74"/>
        <item x="430"/>
        <item x="532"/>
        <item x="671"/>
        <item x="653"/>
        <item x="493"/>
        <item x="98"/>
        <item x="28"/>
        <item x="672"/>
        <item x="584"/>
        <item x="286"/>
        <item x="524"/>
        <item x="350"/>
        <item x="528"/>
        <item x="511"/>
        <item x="293"/>
        <item x="330"/>
        <item x="548"/>
        <item x="520"/>
        <item x="263"/>
        <item x="201"/>
        <item x="262"/>
        <item x="48"/>
        <item x="254"/>
        <item x="385"/>
        <item x="121"/>
        <item x="434"/>
        <item x="279"/>
        <item x="623"/>
        <item x="97"/>
        <item x="498"/>
        <item x="171"/>
        <item x="667"/>
        <item x="105"/>
        <item x="463"/>
        <item x="436"/>
        <item x="41"/>
        <item x="358"/>
        <item x="552"/>
        <item x="673"/>
        <item x="7"/>
        <item x="497"/>
        <item x="543"/>
        <item x="561"/>
        <item x="659"/>
        <item x="507"/>
        <item x="335"/>
        <item x="418"/>
        <item x="549"/>
        <item x="595"/>
        <item x="136"/>
        <item x="174"/>
        <item x="605"/>
        <item x="572"/>
        <item x="519"/>
        <item x="337"/>
        <item x="404"/>
        <item x="159"/>
        <item x="14"/>
        <item x="338"/>
        <item x="470"/>
        <item x="476"/>
        <item x="224"/>
        <item x="153"/>
        <item x="597"/>
        <item x="556"/>
        <item x="449"/>
        <item x="633"/>
        <item x="91"/>
        <item x="391"/>
        <item x="495"/>
        <item x="502"/>
        <item x="77"/>
        <item x="420"/>
        <item x="489"/>
        <item x="170"/>
        <item x="602"/>
        <item x="365"/>
        <item x="133"/>
        <item x="527"/>
        <item x="269"/>
        <item x="641"/>
        <item x="192"/>
        <item x="215"/>
        <item x="186"/>
        <item x="439"/>
        <item x="332"/>
        <item x="640"/>
        <item x="176"/>
        <item x="227"/>
        <item x="168"/>
        <item x="113"/>
        <item x="178"/>
        <item x="45"/>
        <item x="117"/>
        <item x="258"/>
        <item x="244"/>
        <item x="680"/>
        <item x="501"/>
        <item x="389"/>
        <item x="106"/>
        <item x="149"/>
        <item x="462"/>
        <item x="4"/>
        <item x="75"/>
        <item x="616"/>
        <item x="92"/>
        <item x="368"/>
        <item x="586"/>
        <item x="236"/>
        <item x="426"/>
        <item x="16"/>
        <item x="610"/>
        <item x="233"/>
        <item x="301"/>
        <item x="656"/>
        <item x="647"/>
        <item x="592"/>
        <item x="351"/>
        <item x="181"/>
        <item x="617"/>
        <item x="321"/>
        <item x="101"/>
        <item x="336"/>
        <item x="83"/>
        <item x="67"/>
        <item x="49"/>
        <item x="442"/>
        <item x="405"/>
        <item x="36"/>
        <item x="486"/>
        <item x="141"/>
        <item x="410"/>
        <item x="415"/>
        <item x="467"/>
        <item x="475"/>
        <item x="362"/>
        <item x="50"/>
        <item x="0"/>
        <item x="285"/>
        <item x="205"/>
        <item x="190"/>
        <item x="271"/>
        <item x="384"/>
        <item x="536"/>
        <item x="183"/>
        <item x="407"/>
        <item x="488"/>
        <item x="252"/>
        <item x="359"/>
        <item x="12"/>
        <item x="226"/>
        <item x="123"/>
        <item x="142"/>
        <item x="394"/>
        <item x="115"/>
        <item x="118"/>
        <item x="425"/>
        <item x="637"/>
        <item x="315"/>
        <item x="323"/>
        <item x="237"/>
        <item x="372"/>
        <item x="90"/>
        <item x="32"/>
        <item x="540"/>
        <item x="248"/>
        <item x="125"/>
        <item x="65"/>
        <item x="209"/>
        <item x="55"/>
        <item x="212"/>
        <item x="69"/>
        <item x="135"/>
        <item x="150"/>
        <item x="432"/>
        <item x="57"/>
        <item x="302"/>
        <item x="652"/>
        <item x="417"/>
        <item x="675"/>
        <item x="58"/>
        <item x="523"/>
        <item x="148"/>
        <item x="539"/>
        <item x="189"/>
        <item x="280"/>
        <item x="388"/>
        <item x="143"/>
        <item x="163"/>
        <item x="274"/>
        <item x="155"/>
        <item x="428"/>
        <item x="473"/>
        <item x="559"/>
        <item x="563"/>
        <item x="319"/>
        <item x="564"/>
        <item x="441"/>
        <item x="275"/>
        <item x="114"/>
        <item x="30"/>
        <item x="51"/>
        <item x="239"/>
        <item x="229"/>
        <item x="665"/>
        <item x="655"/>
        <item x="129"/>
        <item x="161"/>
        <item x="243"/>
        <item x="144"/>
        <item x="1"/>
        <item x="619"/>
        <item x="29"/>
        <item x="429"/>
        <item x="33"/>
        <item x="63"/>
        <item x="277"/>
        <item x="414"/>
        <item x="175"/>
        <item x="292"/>
        <item x="264"/>
        <item x="93"/>
        <item x="231"/>
        <item x="645"/>
        <item x="327"/>
        <item x="273"/>
        <item x="94"/>
        <item x="240"/>
        <item x="448"/>
        <item x="203"/>
        <item x="10"/>
        <item x="44"/>
        <item x="636"/>
        <item x="606"/>
        <item x="522"/>
        <item x="70"/>
        <item x="139"/>
        <item x="66"/>
        <item x="471"/>
        <item x="333"/>
        <item x="490"/>
        <item x="369"/>
        <item x="400"/>
        <item x="42"/>
        <item x="164"/>
        <item x="126"/>
        <item x="454"/>
        <item x="664"/>
        <item x="261"/>
        <item x="312"/>
        <item x="214"/>
        <item x="82"/>
        <item x="500"/>
        <item x="395"/>
        <item x="122"/>
        <item x="314"/>
        <item x="188"/>
        <item x="615"/>
        <item x="366"/>
        <item x="466"/>
        <item x="598"/>
        <item x="649"/>
        <item x="427"/>
        <item x="412"/>
        <item x="676"/>
        <item x="465"/>
        <item x="85"/>
        <item x="198"/>
        <item x="146"/>
        <item x="352"/>
        <item x="487"/>
        <item x="370"/>
        <item x="217"/>
        <item x="157"/>
        <item x="533"/>
        <item x="479"/>
        <item x="587"/>
        <item x="342"/>
        <item x="518"/>
        <item x="329"/>
        <item x="112"/>
        <item x="579"/>
        <item x="132"/>
        <item x="2"/>
        <item x="194"/>
        <item x="635"/>
        <item x="204"/>
        <item x="440"/>
        <item x="216"/>
        <item x="614"/>
        <item x="84"/>
        <item x="210"/>
        <item x="89"/>
        <item x="197"/>
        <item x="451"/>
        <item t="default"/>
      </items>
    </pivotField>
    <pivotField compact="0" showAll="0">
      <items count="249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t="default"/>
      </items>
    </pivotField>
    <pivotField axis="axisCol" compact="0" showAll="0">
      <items count="4">
        <item x="1"/>
        <item x="0"/>
        <item x="2"/>
        <item t="default"/>
      </items>
    </pivotField>
    <pivotField compact="0" showAll="0">
      <items count="149">
        <item x="101"/>
        <item x="84"/>
        <item x="98"/>
        <item x="51"/>
        <item x="104"/>
        <item x="108"/>
        <item x="144"/>
        <item x="110"/>
        <item x="37"/>
        <item x="34"/>
        <item x="76"/>
        <item x="137"/>
        <item x="18"/>
        <item x="7"/>
        <item x="31"/>
        <item x="125"/>
        <item x="138"/>
        <item x="63"/>
        <item x="30"/>
        <item x="118"/>
        <item x="95"/>
        <item x="13"/>
        <item x="133"/>
        <item x="11"/>
        <item x="70"/>
        <item x="85"/>
        <item x="93"/>
        <item x="94"/>
        <item x="35"/>
        <item x="103"/>
        <item x="146"/>
        <item x="52"/>
        <item x="117"/>
        <item x="109"/>
        <item x="115"/>
        <item x="59"/>
        <item x="22"/>
        <item x="139"/>
        <item x="114"/>
        <item x="91"/>
        <item x="44"/>
        <item x="9"/>
        <item x="88"/>
        <item x="36"/>
        <item x="135"/>
        <item x="26"/>
        <item x="46"/>
        <item x="73"/>
        <item x="99"/>
        <item x="5"/>
        <item x="77"/>
        <item x="55"/>
        <item x="21"/>
        <item x="78"/>
        <item x="49"/>
        <item x="2"/>
        <item x="64"/>
        <item x="47"/>
        <item x="113"/>
        <item x="68"/>
        <item x="147"/>
        <item x="28"/>
        <item x="54"/>
        <item x="8"/>
        <item x="86"/>
        <item x="62"/>
        <item x="123"/>
        <item x="127"/>
        <item x="141"/>
        <item x="32"/>
        <item x="145"/>
        <item x="12"/>
        <item x="58"/>
        <item x="120"/>
        <item x="56"/>
        <item x="100"/>
        <item x="60"/>
        <item x="97"/>
        <item x="41"/>
        <item x="72"/>
        <item x="14"/>
        <item x="1"/>
        <item x="96"/>
        <item x="43"/>
        <item x="122"/>
        <item x="65"/>
        <item x="79"/>
        <item x="40"/>
        <item x="92"/>
        <item x="48"/>
        <item x="53"/>
        <item x="19"/>
        <item x="130"/>
        <item x="39"/>
        <item x="136"/>
        <item x="105"/>
        <item x="87"/>
        <item x="81"/>
        <item x="20"/>
        <item x="142"/>
        <item x="128"/>
        <item x="10"/>
        <item x="42"/>
        <item x="38"/>
        <item x="69"/>
        <item x="126"/>
        <item x="90"/>
        <item x="25"/>
        <item x="111"/>
        <item x="116"/>
        <item x="106"/>
        <item x="6"/>
        <item x="134"/>
        <item x="50"/>
        <item x="107"/>
        <item x="74"/>
        <item x="23"/>
        <item x="82"/>
        <item x="129"/>
        <item x="143"/>
        <item x="121"/>
        <item x="89"/>
        <item x="17"/>
        <item x="29"/>
        <item x="61"/>
        <item x="57"/>
        <item x="80"/>
        <item x="66"/>
        <item x="75"/>
        <item x="3"/>
        <item x="140"/>
        <item x="71"/>
        <item x="112"/>
        <item x="83"/>
        <item x="45"/>
        <item x="102"/>
        <item x="131"/>
        <item x="124"/>
        <item x="24"/>
        <item x="119"/>
        <item x="16"/>
        <item x="27"/>
        <item x="15"/>
        <item x="132"/>
        <item x="33"/>
        <item x="4"/>
        <item x="67"/>
        <item x="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axis="axisRow" compact="0" showAll="0">
      <items count="5">
        <item x="1"/>
        <item x="2"/>
        <item x="0"/>
        <item x="3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Average of Survived" fld="1" subtotal="average" baseField="0" baseItem="0" numFmtId="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T892" totalsRowShown="0">
  <autoFilter xmlns:etc="http://www.wps.cn/officeDocument/2017/etCustomData" ref="A1:T892" etc:filterBottomFollowUsedRange="0"/>
  <tableColumns count="20">
    <tableColumn id="1" name="PassengerId" dataDxfId="0"/>
    <tableColumn id="2" name="Survived" dataDxfId="1"/>
    <tableColumn id="3" name="Pclass" dataDxfId="2"/>
    <tableColumn id="4" name="Last_Name" dataDxfId="3"/>
    <tableColumn id="5" name="First_Name" dataDxfId="4"/>
    <tableColumn id="6" name="Title" dataDxfId="5"/>
    <tableColumn id="7" name="Gender" dataDxfId="6">
      <calculatedColumnFormula>_xlfn.XLOOKUP(F2,notes!$B$12:$B$18,notes!$C$12:$C$18,"Unknown")</calculatedColumnFormula>
    </tableColumn>
    <tableColumn id="17" name="Age" dataDxfId="7"/>
    <tableColumn id="19" name="Age_Group" dataDxfId="8">
      <calculatedColumnFormula>_xlfn.XLOOKUP(H2,notes!$B$4:$B$8,notes!$C$4:$C$8,"Invalid",-1)</calculatedColumnFormula>
    </tableColumn>
    <tableColumn id="8" name="SibSp" dataDxfId="9"/>
    <tableColumn id="9" name="Parch" dataDxfId="10"/>
    <tableColumn id="10" name="Family_Size" dataDxfId="11">
      <calculatedColumnFormula>(J2+K2)+1</calculatedColumnFormula>
    </tableColumn>
    <tableColumn id="18" name="Survival_Status" dataDxfId="12">
      <calculatedColumnFormula>IF(C2=1,"Survived","Not Survived")</calculatedColumnFormula>
    </tableColumn>
    <tableColumn id="11" name="Family_Category" dataDxfId="13">
      <calculatedColumnFormula>_xlfn.XLOOKUP(M2,notes!$B$28:$B$30,notes!$C$28:$C$30,"Unknown",-1)</calculatedColumnFormula>
    </tableColumn>
    <tableColumn id="12" name="Ticket" dataDxfId="14"/>
    <tableColumn id="13" name="Fare" dataDxfId="15"/>
    <tableColumn id="14" name="Fare Fraction" dataDxfId="16">
      <calculatedColumnFormula>IF(P2&gt;=50,"High",IF(P2&gt;=10,"Mid",IF(P2&lt;10,"Low","invalid")))</calculatedColumnFormula>
    </tableColumn>
    <tableColumn id="15" name="Cabin" dataDxfId="17"/>
    <tableColumn id="16" name="Embarked" dataDxfId="18"/>
    <tableColumn id="20" name="Embark_Point" dataDxfId="19">
      <calculatedColumnFormula>IF(S2="Q","Queenstown",IF(S2="C","Cherbourg",IF(S2="S","Southampton","Unknown")))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92"/>
  <sheetViews>
    <sheetView workbookViewId="0">
      <selection activeCell="N10" sqref="N10"/>
    </sheetView>
  </sheetViews>
  <sheetFormatPr defaultColWidth="8.72727272727273" defaultRowHeight="14.5"/>
  <cols>
    <col min="4" max="4" width="26" customWidth="1"/>
    <col min="6" max="6" width="8.72727272727273" style="42"/>
    <col min="9" max="9" width="8.72727272727273" style="42"/>
  </cols>
  <sheetData>
    <row r="1" spans="1:12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</v>
      </c>
      <c r="G1" s="43" t="s">
        <v>6</v>
      </c>
      <c r="H1" s="43" t="s">
        <v>7</v>
      </c>
      <c r="I1" s="44" t="s">
        <v>8</v>
      </c>
      <c r="J1" s="43" t="s">
        <v>9</v>
      </c>
      <c r="K1" s="43" t="s">
        <v>10</v>
      </c>
      <c r="L1" s="43" t="s">
        <v>11</v>
      </c>
    </row>
    <row r="2" spans="1:12">
      <c r="A2" s="43">
        <v>1</v>
      </c>
      <c r="B2" s="43">
        <v>0</v>
      </c>
      <c r="C2" s="43">
        <v>3</v>
      </c>
      <c r="D2" s="43" t="s">
        <v>12</v>
      </c>
      <c r="E2" s="43" t="s">
        <v>13</v>
      </c>
      <c r="F2" s="44">
        <v>22</v>
      </c>
      <c r="G2" s="43">
        <v>1</v>
      </c>
      <c r="H2" s="43">
        <v>0</v>
      </c>
      <c r="I2" s="44" t="s">
        <v>14</v>
      </c>
      <c r="J2" s="43">
        <v>7.25</v>
      </c>
      <c r="K2" s="43"/>
      <c r="L2" s="43" t="s">
        <v>15</v>
      </c>
    </row>
    <row r="3" spans="1:12">
      <c r="A3" s="43">
        <v>2</v>
      </c>
      <c r="B3" s="43">
        <v>1</v>
      </c>
      <c r="C3" s="43">
        <v>1</v>
      </c>
      <c r="D3" s="43" t="s">
        <v>16</v>
      </c>
      <c r="E3" s="43" t="s">
        <v>17</v>
      </c>
      <c r="F3" s="44">
        <v>38</v>
      </c>
      <c r="G3" s="43">
        <v>1</v>
      </c>
      <c r="H3" s="43">
        <v>0</v>
      </c>
      <c r="I3" s="44" t="s">
        <v>18</v>
      </c>
      <c r="J3" s="43">
        <v>71.2833</v>
      </c>
      <c r="K3" s="43" t="s">
        <v>19</v>
      </c>
      <c r="L3" s="43" t="s">
        <v>20</v>
      </c>
    </row>
    <row r="4" spans="1:12">
      <c r="A4" s="43">
        <v>3</v>
      </c>
      <c r="B4" s="43">
        <v>1</v>
      </c>
      <c r="C4" s="43">
        <v>3</v>
      </c>
      <c r="D4" s="43" t="s">
        <v>21</v>
      </c>
      <c r="E4" s="43" t="s">
        <v>17</v>
      </c>
      <c r="F4" s="44">
        <v>26</v>
      </c>
      <c r="G4" s="43">
        <v>0</v>
      </c>
      <c r="H4" s="43">
        <v>0</v>
      </c>
      <c r="I4" s="44" t="s">
        <v>22</v>
      </c>
      <c r="J4" s="43">
        <v>7.925</v>
      </c>
      <c r="K4" s="43"/>
      <c r="L4" s="43" t="s">
        <v>15</v>
      </c>
    </row>
    <row r="5" spans="1:12">
      <c r="A5" s="43">
        <v>4</v>
      </c>
      <c r="B5" s="43">
        <v>1</v>
      </c>
      <c r="C5" s="43">
        <v>1</v>
      </c>
      <c r="D5" s="43" t="s">
        <v>23</v>
      </c>
      <c r="E5" s="43" t="s">
        <v>17</v>
      </c>
      <c r="F5" s="44">
        <v>35</v>
      </c>
      <c r="G5" s="43">
        <v>1</v>
      </c>
      <c r="H5" s="43">
        <v>0</v>
      </c>
      <c r="I5" s="44">
        <v>113803</v>
      </c>
      <c r="J5" s="43">
        <v>53.1</v>
      </c>
      <c r="K5" s="43" t="s">
        <v>24</v>
      </c>
      <c r="L5" s="43" t="s">
        <v>15</v>
      </c>
    </row>
    <row r="6" spans="1:12">
      <c r="A6" s="43">
        <v>5</v>
      </c>
      <c r="B6" s="43">
        <v>0</v>
      </c>
      <c r="C6" s="43">
        <v>3</v>
      </c>
      <c r="D6" s="43" t="s">
        <v>25</v>
      </c>
      <c r="E6" s="43" t="s">
        <v>13</v>
      </c>
      <c r="F6" s="44">
        <v>35</v>
      </c>
      <c r="G6" s="43">
        <v>0</v>
      </c>
      <c r="H6" s="43">
        <v>0</v>
      </c>
      <c r="I6" s="44">
        <v>373450</v>
      </c>
      <c r="J6" s="43">
        <v>8.05</v>
      </c>
      <c r="K6" s="43"/>
      <c r="L6" s="43" t="s">
        <v>15</v>
      </c>
    </row>
    <row r="7" spans="1:12">
      <c r="A7" s="43">
        <v>6</v>
      </c>
      <c r="B7" s="43">
        <v>0</v>
      </c>
      <c r="C7" s="43">
        <v>3</v>
      </c>
      <c r="D7" s="43" t="s">
        <v>26</v>
      </c>
      <c r="E7" s="43" t="s">
        <v>13</v>
      </c>
      <c r="F7" s="44" t="s">
        <v>27</v>
      </c>
      <c r="G7" s="43">
        <v>0</v>
      </c>
      <c r="H7" s="43">
        <v>0</v>
      </c>
      <c r="I7" s="44">
        <v>330877</v>
      </c>
      <c r="J7" s="43">
        <v>8.4583</v>
      </c>
      <c r="K7" s="43"/>
      <c r="L7" s="43" t="s">
        <v>28</v>
      </c>
    </row>
    <row r="8" spans="1:12">
      <c r="A8" s="43">
        <v>7</v>
      </c>
      <c r="B8" s="43">
        <v>0</v>
      </c>
      <c r="C8" s="43">
        <v>1</v>
      </c>
      <c r="D8" s="43" t="s">
        <v>29</v>
      </c>
      <c r="E8" s="43" t="s">
        <v>13</v>
      </c>
      <c r="F8" s="44">
        <v>54</v>
      </c>
      <c r="G8" s="43">
        <v>0</v>
      </c>
      <c r="H8" s="43">
        <v>0</v>
      </c>
      <c r="I8" s="44">
        <v>17463</v>
      </c>
      <c r="J8" s="43">
        <v>51.8625</v>
      </c>
      <c r="K8" s="43" t="s">
        <v>30</v>
      </c>
      <c r="L8" s="43" t="s">
        <v>15</v>
      </c>
    </row>
    <row r="9" spans="1:12">
      <c r="A9" s="43">
        <v>8</v>
      </c>
      <c r="B9" s="43">
        <v>0</v>
      </c>
      <c r="C9" s="43">
        <v>3</v>
      </c>
      <c r="D9" s="43" t="s">
        <v>31</v>
      </c>
      <c r="E9" s="43" t="s">
        <v>13</v>
      </c>
      <c r="F9" s="44">
        <v>2</v>
      </c>
      <c r="G9" s="43">
        <v>3</v>
      </c>
      <c r="H9" s="43">
        <v>1</v>
      </c>
      <c r="I9" s="44">
        <v>349909</v>
      </c>
      <c r="J9" s="43">
        <v>21.075</v>
      </c>
      <c r="K9" s="43"/>
      <c r="L9" s="43" t="s">
        <v>15</v>
      </c>
    </row>
    <row r="10" spans="1:12">
      <c r="A10" s="43">
        <v>9</v>
      </c>
      <c r="B10" s="43">
        <v>1</v>
      </c>
      <c r="C10" s="43">
        <v>3</v>
      </c>
      <c r="D10" s="43" t="s">
        <v>32</v>
      </c>
      <c r="E10" s="43" t="s">
        <v>17</v>
      </c>
      <c r="F10" s="44">
        <v>27</v>
      </c>
      <c r="G10" s="43">
        <v>0</v>
      </c>
      <c r="H10" s="43">
        <v>2</v>
      </c>
      <c r="I10" s="44">
        <v>347742</v>
      </c>
      <c r="J10" s="43">
        <v>11.1333</v>
      </c>
      <c r="K10" s="43"/>
      <c r="L10" s="43" t="s">
        <v>15</v>
      </c>
    </row>
    <row r="11" spans="1:12">
      <c r="A11" s="43">
        <v>10</v>
      </c>
      <c r="B11" s="43">
        <v>1</v>
      </c>
      <c r="C11" s="43">
        <v>2</v>
      </c>
      <c r="D11" s="43" t="s">
        <v>33</v>
      </c>
      <c r="E11" s="43" t="s">
        <v>17</v>
      </c>
      <c r="F11" s="44">
        <v>14</v>
      </c>
      <c r="G11" s="43">
        <v>1</v>
      </c>
      <c r="H11" s="43">
        <v>0</v>
      </c>
      <c r="I11" s="44">
        <v>237736</v>
      </c>
      <c r="J11" s="43">
        <v>30.0708</v>
      </c>
      <c r="K11" s="43"/>
      <c r="L11" s="43" t="s">
        <v>20</v>
      </c>
    </row>
    <row r="12" spans="1:12">
      <c r="A12" s="43">
        <v>11</v>
      </c>
      <c r="B12" s="43">
        <v>1</v>
      </c>
      <c r="C12" s="43">
        <v>3</v>
      </c>
      <c r="D12" s="43" t="s">
        <v>34</v>
      </c>
      <c r="E12" s="43" t="s">
        <v>17</v>
      </c>
      <c r="F12" s="44">
        <v>4</v>
      </c>
      <c r="G12" s="43">
        <v>1</v>
      </c>
      <c r="H12" s="43">
        <v>1</v>
      </c>
      <c r="I12" s="44" t="s">
        <v>35</v>
      </c>
      <c r="J12" s="43">
        <v>16.7</v>
      </c>
      <c r="K12" s="43" t="s">
        <v>36</v>
      </c>
      <c r="L12" s="43" t="s">
        <v>15</v>
      </c>
    </row>
    <row r="13" spans="1:12">
      <c r="A13" s="43">
        <v>12</v>
      </c>
      <c r="B13" s="43">
        <v>1</v>
      </c>
      <c r="C13" s="43">
        <v>1</v>
      </c>
      <c r="D13" s="43" t="s">
        <v>37</v>
      </c>
      <c r="E13" s="43" t="s">
        <v>17</v>
      </c>
      <c r="F13" s="44">
        <v>58</v>
      </c>
      <c r="G13" s="43">
        <v>0</v>
      </c>
      <c r="H13" s="43">
        <v>0</v>
      </c>
      <c r="I13" s="44">
        <v>113783</v>
      </c>
      <c r="J13" s="43">
        <v>26.55</v>
      </c>
      <c r="K13" s="43" t="s">
        <v>38</v>
      </c>
      <c r="L13" s="43" t="s">
        <v>15</v>
      </c>
    </row>
    <row r="14" spans="1:12">
      <c r="A14" s="43">
        <v>13</v>
      </c>
      <c r="B14" s="43">
        <v>0</v>
      </c>
      <c r="C14" s="43">
        <v>3</v>
      </c>
      <c r="D14" s="43" t="s">
        <v>39</v>
      </c>
      <c r="E14" s="43" t="s">
        <v>13</v>
      </c>
      <c r="F14" s="44">
        <v>20</v>
      </c>
      <c r="G14" s="43">
        <v>0</v>
      </c>
      <c r="H14" s="43">
        <v>0</v>
      </c>
      <c r="I14" s="44" t="s">
        <v>40</v>
      </c>
      <c r="J14" s="43">
        <v>8.05</v>
      </c>
      <c r="K14" s="43"/>
      <c r="L14" s="43" t="s">
        <v>15</v>
      </c>
    </row>
    <row r="15" spans="1:12">
      <c r="A15" s="43">
        <v>14</v>
      </c>
      <c r="B15" s="43">
        <v>0</v>
      </c>
      <c r="C15" s="43">
        <v>3</v>
      </c>
      <c r="D15" s="43" t="s">
        <v>41</v>
      </c>
      <c r="E15" s="43" t="s">
        <v>13</v>
      </c>
      <c r="F15" s="44">
        <v>39</v>
      </c>
      <c r="G15" s="43">
        <v>1</v>
      </c>
      <c r="H15" s="43">
        <v>5</v>
      </c>
      <c r="I15" s="44">
        <v>347082</v>
      </c>
      <c r="J15" s="43">
        <v>31.275</v>
      </c>
      <c r="K15" s="43"/>
      <c r="L15" s="43" t="s">
        <v>15</v>
      </c>
    </row>
    <row r="16" spans="1:12">
      <c r="A16" s="43">
        <v>15</v>
      </c>
      <c r="B16" s="43">
        <v>0</v>
      </c>
      <c r="C16" s="43">
        <v>3</v>
      </c>
      <c r="D16" s="43" t="s">
        <v>42</v>
      </c>
      <c r="E16" s="43" t="s">
        <v>17</v>
      </c>
      <c r="F16" s="44">
        <v>14</v>
      </c>
      <c r="G16" s="43">
        <v>0</v>
      </c>
      <c r="H16" s="43">
        <v>0</v>
      </c>
      <c r="I16" s="44">
        <v>350406</v>
      </c>
      <c r="J16" s="43">
        <v>7.8542</v>
      </c>
      <c r="K16" s="43"/>
      <c r="L16" s="43" t="s">
        <v>15</v>
      </c>
    </row>
    <row r="17" spans="1:12">
      <c r="A17" s="43">
        <v>16</v>
      </c>
      <c r="B17" s="43">
        <v>1</v>
      </c>
      <c r="C17" s="43">
        <v>2</v>
      </c>
      <c r="D17" s="43" t="s">
        <v>43</v>
      </c>
      <c r="E17" s="43" t="s">
        <v>17</v>
      </c>
      <c r="F17" s="44">
        <v>55</v>
      </c>
      <c r="G17" s="43">
        <v>0</v>
      </c>
      <c r="H17" s="43">
        <v>0</v>
      </c>
      <c r="I17" s="44">
        <v>248706</v>
      </c>
      <c r="J17" s="43">
        <v>16</v>
      </c>
      <c r="K17" s="43"/>
      <c r="L17" s="43" t="s">
        <v>15</v>
      </c>
    </row>
    <row r="18" spans="1:12">
      <c r="A18" s="43">
        <v>17</v>
      </c>
      <c r="B18" s="43">
        <v>0</v>
      </c>
      <c r="C18" s="43">
        <v>3</v>
      </c>
      <c r="D18" s="43" t="s">
        <v>44</v>
      </c>
      <c r="E18" s="43" t="s">
        <v>13</v>
      </c>
      <c r="F18" s="44">
        <v>2</v>
      </c>
      <c r="G18" s="43">
        <v>4</v>
      </c>
      <c r="H18" s="43">
        <v>1</v>
      </c>
      <c r="I18" s="44">
        <v>382652</v>
      </c>
      <c r="J18" s="43">
        <v>29.125</v>
      </c>
      <c r="K18" s="43"/>
      <c r="L18" s="43" t="s">
        <v>28</v>
      </c>
    </row>
    <row r="19" spans="1:12">
      <c r="A19" s="43">
        <v>18</v>
      </c>
      <c r="B19" s="43">
        <v>1</v>
      </c>
      <c r="C19" s="43">
        <v>2</v>
      </c>
      <c r="D19" s="43" t="s">
        <v>45</v>
      </c>
      <c r="E19" s="43" t="s">
        <v>13</v>
      </c>
      <c r="F19" s="44" t="s">
        <v>27</v>
      </c>
      <c r="G19" s="43">
        <v>0</v>
      </c>
      <c r="H19" s="43">
        <v>0</v>
      </c>
      <c r="I19" s="44">
        <v>244373</v>
      </c>
      <c r="J19" s="43">
        <v>13</v>
      </c>
      <c r="K19" s="43"/>
      <c r="L19" s="43" t="s">
        <v>15</v>
      </c>
    </row>
    <row r="20" spans="1:12">
      <c r="A20" s="43">
        <v>19</v>
      </c>
      <c r="B20" s="43">
        <v>0</v>
      </c>
      <c r="C20" s="43">
        <v>3</v>
      </c>
      <c r="D20" s="43" t="s">
        <v>46</v>
      </c>
      <c r="E20" s="43" t="s">
        <v>17</v>
      </c>
      <c r="F20" s="44">
        <v>31</v>
      </c>
      <c r="G20" s="43">
        <v>1</v>
      </c>
      <c r="H20" s="43">
        <v>0</v>
      </c>
      <c r="I20" s="44">
        <v>345763</v>
      </c>
      <c r="J20" s="43">
        <v>18</v>
      </c>
      <c r="K20" s="43"/>
      <c r="L20" s="43" t="s">
        <v>15</v>
      </c>
    </row>
    <row r="21" spans="1:12">
      <c r="A21" s="43">
        <v>20</v>
      </c>
      <c r="B21" s="43">
        <v>1</v>
      </c>
      <c r="C21" s="43">
        <v>3</v>
      </c>
      <c r="D21" s="43" t="s">
        <v>47</v>
      </c>
      <c r="E21" s="43" t="s">
        <v>17</v>
      </c>
      <c r="F21" s="44" t="s">
        <v>27</v>
      </c>
      <c r="G21" s="43">
        <v>0</v>
      </c>
      <c r="H21" s="43">
        <v>0</v>
      </c>
      <c r="I21" s="44">
        <v>2649</v>
      </c>
      <c r="J21" s="43">
        <v>7.225</v>
      </c>
      <c r="K21" s="43"/>
      <c r="L21" s="43" t="s">
        <v>20</v>
      </c>
    </row>
    <row r="22" spans="1:12">
      <c r="A22" s="43">
        <v>21</v>
      </c>
      <c r="B22" s="43">
        <v>0</v>
      </c>
      <c r="C22" s="43">
        <v>2</v>
      </c>
      <c r="D22" s="43" t="s">
        <v>48</v>
      </c>
      <c r="E22" s="43" t="s">
        <v>13</v>
      </c>
      <c r="F22" s="44">
        <v>35</v>
      </c>
      <c r="G22" s="43">
        <v>0</v>
      </c>
      <c r="H22" s="43">
        <v>0</v>
      </c>
      <c r="I22" s="44">
        <v>239865</v>
      </c>
      <c r="J22" s="43">
        <v>26</v>
      </c>
      <c r="K22" s="43"/>
      <c r="L22" s="43" t="s">
        <v>15</v>
      </c>
    </row>
    <row r="23" spans="1:12">
      <c r="A23" s="43">
        <v>22</v>
      </c>
      <c r="B23" s="43">
        <v>1</v>
      </c>
      <c r="C23" s="43">
        <v>2</v>
      </c>
      <c r="D23" s="43" t="s">
        <v>49</v>
      </c>
      <c r="E23" s="43" t="s">
        <v>13</v>
      </c>
      <c r="F23" s="44">
        <v>34</v>
      </c>
      <c r="G23" s="43">
        <v>0</v>
      </c>
      <c r="H23" s="43">
        <v>0</v>
      </c>
      <c r="I23" s="44">
        <v>248698</v>
      </c>
      <c r="J23" s="43">
        <v>13</v>
      </c>
      <c r="K23" s="43" t="s">
        <v>50</v>
      </c>
      <c r="L23" s="43" t="s">
        <v>15</v>
      </c>
    </row>
    <row r="24" spans="1:12">
      <c r="A24" s="43">
        <v>23</v>
      </c>
      <c r="B24" s="43">
        <v>1</v>
      </c>
      <c r="C24" s="43">
        <v>3</v>
      </c>
      <c r="D24" s="43" t="s">
        <v>51</v>
      </c>
      <c r="E24" s="43" t="s">
        <v>17</v>
      </c>
      <c r="F24" s="44">
        <v>15</v>
      </c>
      <c r="G24" s="43">
        <v>0</v>
      </c>
      <c r="H24" s="43">
        <v>0</v>
      </c>
      <c r="I24" s="44">
        <v>330923</v>
      </c>
      <c r="J24" s="43">
        <v>8.0292</v>
      </c>
      <c r="K24" s="43"/>
      <c r="L24" s="43" t="s">
        <v>28</v>
      </c>
    </row>
    <row r="25" spans="1:12">
      <c r="A25" s="43">
        <v>24</v>
      </c>
      <c r="B25" s="43">
        <v>1</v>
      </c>
      <c r="C25" s="43">
        <v>1</v>
      </c>
      <c r="D25" s="43" t="s">
        <v>52</v>
      </c>
      <c r="E25" s="43" t="s">
        <v>13</v>
      </c>
      <c r="F25" s="44">
        <v>28</v>
      </c>
      <c r="G25" s="43">
        <v>0</v>
      </c>
      <c r="H25" s="43">
        <v>0</v>
      </c>
      <c r="I25" s="44">
        <v>113788</v>
      </c>
      <c r="J25" s="43">
        <v>35.5</v>
      </c>
      <c r="K25" s="43" t="s">
        <v>53</v>
      </c>
      <c r="L25" s="43" t="s">
        <v>15</v>
      </c>
    </row>
    <row r="26" spans="1:12">
      <c r="A26" s="43">
        <v>25</v>
      </c>
      <c r="B26" s="43">
        <v>0</v>
      </c>
      <c r="C26" s="43">
        <v>3</v>
      </c>
      <c r="D26" s="43" t="s">
        <v>54</v>
      </c>
      <c r="E26" s="43" t="s">
        <v>17</v>
      </c>
      <c r="F26" s="44">
        <v>8</v>
      </c>
      <c r="G26" s="43">
        <v>3</v>
      </c>
      <c r="H26" s="43">
        <v>1</v>
      </c>
      <c r="I26" s="44">
        <v>349909</v>
      </c>
      <c r="J26" s="43">
        <v>21.075</v>
      </c>
      <c r="K26" s="43"/>
      <c r="L26" s="43" t="s">
        <v>15</v>
      </c>
    </row>
    <row r="27" spans="1:12">
      <c r="A27" s="43">
        <v>26</v>
      </c>
      <c r="B27" s="43">
        <v>1</v>
      </c>
      <c r="C27" s="43">
        <v>3</v>
      </c>
      <c r="D27" s="43" t="s">
        <v>55</v>
      </c>
      <c r="E27" s="43" t="s">
        <v>17</v>
      </c>
      <c r="F27" s="44">
        <v>38</v>
      </c>
      <c r="G27" s="43">
        <v>1</v>
      </c>
      <c r="H27" s="43">
        <v>5</v>
      </c>
      <c r="I27" s="44">
        <v>347077</v>
      </c>
      <c r="J27" s="43">
        <v>31.3875</v>
      </c>
      <c r="K27" s="43"/>
      <c r="L27" s="43" t="s">
        <v>15</v>
      </c>
    </row>
    <row r="28" spans="1:12">
      <c r="A28" s="43">
        <v>27</v>
      </c>
      <c r="B28" s="43">
        <v>0</v>
      </c>
      <c r="C28" s="43">
        <v>3</v>
      </c>
      <c r="D28" s="43" t="s">
        <v>56</v>
      </c>
      <c r="E28" s="43" t="s">
        <v>13</v>
      </c>
      <c r="F28" s="44" t="s">
        <v>27</v>
      </c>
      <c r="G28" s="43">
        <v>0</v>
      </c>
      <c r="H28" s="43">
        <v>0</v>
      </c>
      <c r="I28" s="44">
        <v>2631</v>
      </c>
      <c r="J28" s="43">
        <v>7.225</v>
      </c>
      <c r="K28" s="43"/>
      <c r="L28" s="43" t="s">
        <v>20</v>
      </c>
    </row>
    <row r="29" spans="1:12">
      <c r="A29" s="43">
        <v>28</v>
      </c>
      <c r="B29" s="43">
        <v>0</v>
      </c>
      <c r="C29" s="43">
        <v>1</v>
      </c>
      <c r="D29" s="43" t="s">
        <v>57</v>
      </c>
      <c r="E29" s="43" t="s">
        <v>13</v>
      </c>
      <c r="F29" s="44">
        <v>19</v>
      </c>
      <c r="G29" s="43">
        <v>3</v>
      </c>
      <c r="H29" s="43">
        <v>2</v>
      </c>
      <c r="I29" s="44">
        <v>19950</v>
      </c>
      <c r="J29" s="43">
        <v>263</v>
      </c>
      <c r="K29" s="43" t="s">
        <v>58</v>
      </c>
      <c r="L29" s="43" t="s">
        <v>15</v>
      </c>
    </row>
    <row r="30" spans="1:12">
      <c r="A30" s="43">
        <v>29</v>
      </c>
      <c r="B30" s="43">
        <v>1</v>
      </c>
      <c r="C30" s="43">
        <v>3</v>
      </c>
      <c r="D30" s="43" t="s">
        <v>59</v>
      </c>
      <c r="E30" s="43" t="s">
        <v>17</v>
      </c>
      <c r="F30" s="44" t="s">
        <v>27</v>
      </c>
      <c r="G30" s="43">
        <v>0</v>
      </c>
      <c r="H30" s="43">
        <v>0</v>
      </c>
      <c r="I30" s="44">
        <v>330959</v>
      </c>
      <c r="J30" s="43">
        <v>7.8792</v>
      </c>
      <c r="K30" s="43"/>
      <c r="L30" s="43" t="s">
        <v>28</v>
      </c>
    </row>
    <row r="31" spans="1:12">
      <c r="A31" s="43">
        <v>30</v>
      </c>
      <c r="B31" s="43">
        <v>0</v>
      </c>
      <c r="C31" s="43">
        <v>3</v>
      </c>
      <c r="D31" s="43" t="s">
        <v>60</v>
      </c>
      <c r="E31" s="43" t="s">
        <v>13</v>
      </c>
      <c r="F31" s="44" t="s">
        <v>27</v>
      </c>
      <c r="G31" s="43">
        <v>0</v>
      </c>
      <c r="H31" s="43">
        <v>0</v>
      </c>
      <c r="I31" s="44">
        <v>349216</v>
      </c>
      <c r="J31" s="43">
        <v>7.8958</v>
      </c>
      <c r="K31" s="43"/>
      <c r="L31" s="43" t="s">
        <v>15</v>
      </c>
    </row>
    <row r="32" spans="1:12">
      <c r="A32" s="43">
        <v>31</v>
      </c>
      <c r="B32" s="43">
        <v>0</v>
      </c>
      <c r="C32" s="43">
        <v>1</v>
      </c>
      <c r="D32" s="43" t="s">
        <v>61</v>
      </c>
      <c r="E32" s="43" t="s">
        <v>13</v>
      </c>
      <c r="F32" s="44">
        <v>40</v>
      </c>
      <c r="G32" s="43">
        <v>0</v>
      </c>
      <c r="H32" s="43">
        <v>0</v>
      </c>
      <c r="I32" s="44" t="s">
        <v>62</v>
      </c>
      <c r="J32" s="43">
        <v>27.7208</v>
      </c>
      <c r="K32" s="43"/>
      <c r="L32" s="43" t="s">
        <v>20</v>
      </c>
    </row>
    <row r="33" spans="1:12">
      <c r="A33" s="43">
        <v>32</v>
      </c>
      <c r="B33" s="43">
        <v>1</v>
      </c>
      <c r="C33" s="43">
        <v>1</v>
      </c>
      <c r="D33" s="43" t="s">
        <v>63</v>
      </c>
      <c r="E33" s="43" t="s">
        <v>17</v>
      </c>
      <c r="F33" s="44" t="s">
        <v>27</v>
      </c>
      <c r="G33" s="43">
        <v>1</v>
      </c>
      <c r="H33" s="43">
        <v>0</v>
      </c>
      <c r="I33" s="44" t="s">
        <v>64</v>
      </c>
      <c r="J33" s="43">
        <v>146.5208</v>
      </c>
      <c r="K33" s="43" t="s">
        <v>65</v>
      </c>
      <c r="L33" s="43" t="s">
        <v>20</v>
      </c>
    </row>
    <row r="34" spans="1:12">
      <c r="A34" s="43">
        <v>33</v>
      </c>
      <c r="B34" s="43">
        <v>1</v>
      </c>
      <c r="C34" s="43">
        <v>3</v>
      </c>
      <c r="D34" s="43" t="s">
        <v>66</v>
      </c>
      <c r="E34" s="43" t="s">
        <v>17</v>
      </c>
      <c r="F34" s="44" t="s">
        <v>27</v>
      </c>
      <c r="G34" s="43">
        <v>0</v>
      </c>
      <c r="H34" s="43">
        <v>0</v>
      </c>
      <c r="I34" s="44">
        <v>335677</v>
      </c>
      <c r="J34" s="43">
        <v>7.75</v>
      </c>
      <c r="K34" s="43"/>
      <c r="L34" s="43" t="s">
        <v>28</v>
      </c>
    </row>
    <row r="35" spans="1:12">
      <c r="A35" s="43">
        <v>34</v>
      </c>
      <c r="B35" s="43">
        <v>0</v>
      </c>
      <c r="C35" s="43">
        <v>2</v>
      </c>
      <c r="D35" s="43" t="s">
        <v>67</v>
      </c>
      <c r="E35" s="43" t="s">
        <v>13</v>
      </c>
      <c r="F35" s="44">
        <v>66</v>
      </c>
      <c r="G35" s="43">
        <v>0</v>
      </c>
      <c r="H35" s="43">
        <v>0</v>
      </c>
      <c r="I35" s="44" t="s">
        <v>68</v>
      </c>
      <c r="J35" s="43">
        <v>10.5</v>
      </c>
      <c r="K35" s="43"/>
      <c r="L35" s="43" t="s">
        <v>15</v>
      </c>
    </row>
    <row r="36" spans="1:12">
      <c r="A36" s="43">
        <v>35</v>
      </c>
      <c r="B36" s="43">
        <v>0</v>
      </c>
      <c r="C36" s="43">
        <v>1</v>
      </c>
      <c r="D36" s="43" t="s">
        <v>69</v>
      </c>
      <c r="E36" s="43" t="s">
        <v>13</v>
      </c>
      <c r="F36" s="44">
        <v>28</v>
      </c>
      <c r="G36" s="43">
        <v>1</v>
      </c>
      <c r="H36" s="43">
        <v>0</v>
      </c>
      <c r="I36" s="44" t="s">
        <v>70</v>
      </c>
      <c r="J36" s="43">
        <v>82.1708</v>
      </c>
      <c r="K36" s="43"/>
      <c r="L36" s="43" t="s">
        <v>20</v>
      </c>
    </row>
    <row r="37" spans="1:12">
      <c r="A37" s="43">
        <v>36</v>
      </c>
      <c r="B37" s="43">
        <v>0</v>
      </c>
      <c r="C37" s="43">
        <v>1</v>
      </c>
      <c r="D37" s="43" t="s">
        <v>71</v>
      </c>
      <c r="E37" s="43" t="s">
        <v>13</v>
      </c>
      <c r="F37" s="44">
        <v>42</v>
      </c>
      <c r="G37" s="43">
        <v>1</v>
      </c>
      <c r="H37" s="43">
        <v>0</v>
      </c>
      <c r="I37" s="44">
        <v>113789</v>
      </c>
      <c r="J37" s="43">
        <v>52</v>
      </c>
      <c r="K37" s="43"/>
      <c r="L37" s="43" t="s">
        <v>15</v>
      </c>
    </row>
    <row r="38" spans="1:12">
      <c r="A38" s="43">
        <v>37</v>
      </c>
      <c r="B38" s="43">
        <v>1</v>
      </c>
      <c r="C38" s="43">
        <v>3</v>
      </c>
      <c r="D38" s="43" t="s">
        <v>72</v>
      </c>
      <c r="E38" s="43" t="s">
        <v>13</v>
      </c>
      <c r="F38" s="44" t="s">
        <v>27</v>
      </c>
      <c r="G38" s="43">
        <v>0</v>
      </c>
      <c r="H38" s="43">
        <v>0</v>
      </c>
      <c r="I38" s="44">
        <v>2677</v>
      </c>
      <c r="J38" s="43">
        <v>7.2292</v>
      </c>
      <c r="K38" s="43"/>
      <c r="L38" s="43" t="s">
        <v>20</v>
      </c>
    </row>
    <row r="39" spans="1:12">
      <c r="A39" s="43">
        <v>38</v>
      </c>
      <c r="B39" s="43">
        <v>0</v>
      </c>
      <c r="C39" s="43">
        <v>3</v>
      </c>
      <c r="D39" s="43" t="s">
        <v>73</v>
      </c>
      <c r="E39" s="43" t="s">
        <v>13</v>
      </c>
      <c r="F39" s="44">
        <v>21</v>
      </c>
      <c r="G39" s="43">
        <v>0</v>
      </c>
      <c r="H39" s="43">
        <v>0</v>
      </c>
      <c r="I39" s="44" t="s">
        <v>74</v>
      </c>
      <c r="J39" s="43">
        <v>8.05</v>
      </c>
      <c r="K39" s="43"/>
      <c r="L39" s="43" t="s">
        <v>15</v>
      </c>
    </row>
    <row r="40" spans="1:12">
      <c r="A40" s="43">
        <v>39</v>
      </c>
      <c r="B40" s="43">
        <v>0</v>
      </c>
      <c r="C40" s="43">
        <v>3</v>
      </c>
      <c r="D40" s="43" t="s">
        <v>75</v>
      </c>
      <c r="E40" s="43" t="s">
        <v>17</v>
      </c>
      <c r="F40" s="44">
        <v>18</v>
      </c>
      <c r="G40" s="43">
        <v>2</v>
      </c>
      <c r="H40" s="43">
        <v>0</v>
      </c>
      <c r="I40" s="44">
        <v>345764</v>
      </c>
      <c r="J40" s="43">
        <v>18</v>
      </c>
      <c r="K40" s="43"/>
      <c r="L40" s="43" t="s">
        <v>15</v>
      </c>
    </row>
    <row r="41" spans="1:12">
      <c r="A41" s="43">
        <v>40</v>
      </c>
      <c r="B41" s="43">
        <v>1</v>
      </c>
      <c r="C41" s="43">
        <v>3</v>
      </c>
      <c r="D41" s="43" t="s">
        <v>76</v>
      </c>
      <c r="E41" s="43" t="s">
        <v>17</v>
      </c>
      <c r="F41" s="44">
        <v>14</v>
      </c>
      <c r="G41" s="43">
        <v>1</v>
      </c>
      <c r="H41" s="43">
        <v>0</v>
      </c>
      <c r="I41" s="44">
        <v>2651</v>
      </c>
      <c r="J41" s="43">
        <v>11.2417</v>
      </c>
      <c r="K41" s="43"/>
      <c r="L41" s="43" t="s">
        <v>20</v>
      </c>
    </row>
    <row r="42" spans="1:12">
      <c r="A42" s="43">
        <v>41</v>
      </c>
      <c r="B42" s="43">
        <v>0</v>
      </c>
      <c r="C42" s="43">
        <v>3</v>
      </c>
      <c r="D42" s="43" t="s">
        <v>77</v>
      </c>
      <c r="E42" s="43" t="s">
        <v>17</v>
      </c>
      <c r="F42" s="44">
        <v>40</v>
      </c>
      <c r="G42" s="43">
        <v>1</v>
      </c>
      <c r="H42" s="43">
        <v>0</v>
      </c>
      <c r="I42" s="44">
        <v>7546</v>
      </c>
      <c r="J42" s="43">
        <v>9.475</v>
      </c>
      <c r="K42" s="43"/>
      <c r="L42" s="43" t="s">
        <v>15</v>
      </c>
    </row>
    <row r="43" spans="1:12">
      <c r="A43" s="43">
        <v>42</v>
      </c>
      <c r="B43" s="43">
        <v>0</v>
      </c>
      <c r="C43" s="43">
        <v>2</v>
      </c>
      <c r="D43" s="43" t="s">
        <v>78</v>
      </c>
      <c r="E43" s="43" t="s">
        <v>17</v>
      </c>
      <c r="F43" s="44">
        <v>27</v>
      </c>
      <c r="G43" s="43">
        <v>1</v>
      </c>
      <c r="H43" s="43">
        <v>0</v>
      </c>
      <c r="I43" s="44">
        <v>11668</v>
      </c>
      <c r="J43" s="43">
        <v>21</v>
      </c>
      <c r="K43" s="43"/>
      <c r="L43" s="43" t="s">
        <v>15</v>
      </c>
    </row>
    <row r="44" spans="1:12">
      <c r="A44" s="43">
        <v>43</v>
      </c>
      <c r="B44" s="43">
        <v>0</v>
      </c>
      <c r="C44" s="43">
        <v>3</v>
      </c>
      <c r="D44" s="43" t="s">
        <v>79</v>
      </c>
      <c r="E44" s="43" t="s">
        <v>13</v>
      </c>
      <c r="F44" s="44" t="s">
        <v>27</v>
      </c>
      <c r="G44" s="43">
        <v>0</v>
      </c>
      <c r="H44" s="43">
        <v>0</v>
      </c>
      <c r="I44" s="44">
        <v>349253</v>
      </c>
      <c r="J44" s="43">
        <v>7.8958</v>
      </c>
      <c r="K44" s="43"/>
      <c r="L44" s="43" t="s">
        <v>20</v>
      </c>
    </row>
    <row r="45" spans="1:12">
      <c r="A45" s="43">
        <v>44</v>
      </c>
      <c r="B45" s="43">
        <v>1</v>
      </c>
      <c r="C45" s="43">
        <v>2</v>
      </c>
      <c r="D45" s="43" t="s">
        <v>80</v>
      </c>
      <c r="E45" s="43" t="s">
        <v>17</v>
      </c>
      <c r="F45" s="44">
        <v>3</v>
      </c>
      <c r="G45" s="43">
        <v>1</v>
      </c>
      <c r="H45" s="43">
        <v>2</v>
      </c>
      <c r="I45" s="44" t="s">
        <v>81</v>
      </c>
      <c r="J45" s="43">
        <v>41.5792</v>
      </c>
      <c r="K45" s="43"/>
      <c r="L45" s="43" t="s">
        <v>20</v>
      </c>
    </row>
    <row r="46" spans="1:12">
      <c r="A46" s="43">
        <v>45</v>
      </c>
      <c r="B46" s="43">
        <v>1</v>
      </c>
      <c r="C46" s="43">
        <v>3</v>
      </c>
      <c r="D46" s="43" t="s">
        <v>82</v>
      </c>
      <c r="E46" s="43" t="s">
        <v>17</v>
      </c>
      <c r="F46" s="44">
        <v>19</v>
      </c>
      <c r="G46" s="43">
        <v>0</v>
      </c>
      <c r="H46" s="43">
        <v>0</v>
      </c>
      <c r="I46" s="44">
        <v>330958</v>
      </c>
      <c r="J46" s="43">
        <v>7.8792</v>
      </c>
      <c r="K46" s="43"/>
      <c r="L46" s="43" t="s">
        <v>28</v>
      </c>
    </row>
    <row r="47" spans="1:12">
      <c r="A47" s="43">
        <v>46</v>
      </c>
      <c r="B47" s="43">
        <v>0</v>
      </c>
      <c r="C47" s="43">
        <v>3</v>
      </c>
      <c r="D47" s="43" t="s">
        <v>83</v>
      </c>
      <c r="E47" s="43" t="s">
        <v>13</v>
      </c>
      <c r="F47" s="44" t="s">
        <v>27</v>
      </c>
      <c r="G47" s="43">
        <v>0</v>
      </c>
      <c r="H47" s="43">
        <v>0</v>
      </c>
      <c r="I47" s="44" t="s">
        <v>84</v>
      </c>
      <c r="J47" s="43">
        <v>8.05</v>
      </c>
      <c r="K47" s="43"/>
      <c r="L47" s="43" t="s">
        <v>15</v>
      </c>
    </row>
    <row r="48" spans="1:12">
      <c r="A48" s="43">
        <v>47</v>
      </c>
      <c r="B48" s="43">
        <v>0</v>
      </c>
      <c r="C48" s="43">
        <v>3</v>
      </c>
      <c r="D48" s="43" t="s">
        <v>85</v>
      </c>
      <c r="E48" s="43" t="s">
        <v>13</v>
      </c>
      <c r="F48" s="44" t="s">
        <v>27</v>
      </c>
      <c r="G48" s="43">
        <v>1</v>
      </c>
      <c r="H48" s="43">
        <v>0</v>
      </c>
      <c r="I48" s="44">
        <v>370371</v>
      </c>
      <c r="J48" s="43">
        <v>15.5</v>
      </c>
      <c r="K48" s="43"/>
      <c r="L48" s="43" t="s">
        <v>28</v>
      </c>
    </row>
    <row r="49" spans="1:12">
      <c r="A49" s="43">
        <v>48</v>
      </c>
      <c r="B49" s="43">
        <v>1</v>
      </c>
      <c r="C49" s="43">
        <v>3</v>
      </c>
      <c r="D49" s="43" t="s">
        <v>86</v>
      </c>
      <c r="E49" s="43" t="s">
        <v>17</v>
      </c>
      <c r="F49" s="44" t="s">
        <v>27</v>
      </c>
      <c r="G49" s="43">
        <v>0</v>
      </c>
      <c r="H49" s="43">
        <v>0</v>
      </c>
      <c r="I49" s="44">
        <v>14311</v>
      </c>
      <c r="J49" s="43">
        <v>7.75</v>
      </c>
      <c r="K49" s="43"/>
      <c r="L49" s="43" t="s">
        <v>28</v>
      </c>
    </row>
    <row r="50" spans="1:12">
      <c r="A50" s="43">
        <v>49</v>
      </c>
      <c r="B50" s="43">
        <v>0</v>
      </c>
      <c r="C50" s="43">
        <v>3</v>
      </c>
      <c r="D50" s="43" t="s">
        <v>87</v>
      </c>
      <c r="E50" s="43" t="s">
        <v>13</v>
      </c>
      <c r="F50" s="44" t="s">
        <v>27</v>
      </c>
      <c r="G50" s="43">
        <v>2</v>
      </c>
      <c r="H50" s="43">
        <v>0</v>
      </c>
      <c r="I50" s="44">
        <v>2662</v>
      </c>
      <c r="J50" s="43">
        <v>21.6792</v>
      </c>
      <c r="K50" s="43"/>
      <c r="L50" s="43" t="s">
        <v>20</v>
      </c>
    </row>
    <row r="51" spans="1:12">
      <c r="A51" s="43">
        <v>50</v>
      </c>
      <c r="B51" s="43">
        <v>0</v>
      </c>
      <c r="C51" s="43">
        <v>3</v>
      </c>
      <c r="D51" s="43" t="s">
        <v>88</v>
      </c>
      <c r="E51" s="43" t="s">
        <v>17</v>
      </c>
      <c r="F51" s="44">
        <v>18</v>
      </c>
      <c r="G51" s="43">
        <v>1</v>
      </c>
      <c r="H51" s="43">
        <v>0</v>
      </c>
      <c r="I51" s="44">
        <v>349237</v>
      </c>
      <c r="J51" s="43">
        <v>17.8</v>
      </c>
      <c r="K51" s="43"/>
      <c r="L51" s="43" t="s">
        <v>15</v>
      </c>
    </row>
    <row r="52" spans="1:12">
      <c r="A52" s="43">
        <v>51</v>
      </c>
      <c r="B52" s="43">
        <v>0</v>
      </c>
      <c r="C52" s="43">
        <v>3</v>
      </c>
      <c r="D52" s="43" t="s">
        <v>89</v>
      </c>
      <c r="E52" s="43" t="s">
        <v>13</v>
      </c>
      <c r="F52" s="44">
        <v>7</v>
      </c>
      <c r="G52" s="43">
        <v>4</v>
      </c>
      <c r="H52" s="43">
        <v>1</v>
      </c>
      <c r="I52" s="44">
        <v>3101295</v>
      </c>
      <c r="J52" s="43">
        <v>39.6875</v>
      </c>
      <c r="K52" s="43"/>
      <c r="L52" s="43" t="s">
        <v>15</v>
      </c>
    </row>
    <row r="53" spans="1:12">
      <c r="A53" s="43">
        <v>52</v>
      </c>
      <c r="B53" s="43">
        <v>0</v>
      </c>
      <c r="C53" s="43">
        <v>3</v>
      </c>
      <c r="D53" s="43" t="s">
        <v>90</v>
      </c>
      <c r="E53" s="43" t="s">
        <v>13</v>
      </c>
      <c r="F53" s="44">
        <v>21</v>
      </c>
      <c r="G53" s="43">
        <v>0</v>
      </c>
      <c r="H53" s="43">
        <v>0</v>
      </c>
      <c r="I53" s="44" t="s">
        <v>91</v>
      </c>
      <c r="J53" s="43">
        <v>7.8</v>
      </c>
      <c r="K53" s="43"/>
      <c r="L53" s="43" t="s">
        <v>15</v>
      </c>
    </row>
    <row r="54" spans="1:12">
      <c r="A54" s="43">
        <v>53</v>
      </c>
      <c r="B54" s="43">
        <v>1</v>
      </c>
      <c r="C54" s="43">
        <v>1</v>
      </c>
      <c r="D54" s="43" t="s">
        <v>92</v>
      </c>
      <c r="E54" s="43" t="s">
        <v>17</v>
      </c>
      <c r="F54" s="44">
        <v>49</v>
      </c>
      <c r="G54" s="43">
        <v>1</v>
      </c>
      <c r="H54" s="43">
        <v>0</v>
      </c>
      <c r="I54" s="44" t="s">
        <v>93</v>
      </c>
      <c r="J54" s="43">
        <v>76.7292</v>
      </c>
      <c r="K54" s="43" t="s">
        <v>94</v>
      </c>
      <c r="L54" s="43" t="s">
        <v>20</v>
      </c>
    </row>
    <row r="55" spans="1:12">
      <c r="A55" s="43">
        <v>54</v>
      </c>
      <c r="B55" s="43">
        <v>1</v>
      </c>
      <c r="C55" s="43">
        <v>2</v>
      </c>
      <c r="D55" s="43" t="s">
        <v>95</v>
      </c>
      <c r="E55" s="43" t="s">
        <v>17</v>
      </c>
      <c r="F55" s="44">
        <v>29</v>
      </c>
      <c r="G55" s="43">
        <v>1</v>
      </c>
      <c r="H55" s="43">
        <v>0</v>
      </c>
      <c r="I55" s="44">
        <v>2926</v>
      </c>
      <c r="J55" s="43">
        <v>26</v>
      </c>
      <c r="K55" s="43"/>
      <c r="L55" s="43" t="s">
        <v>15</v>
      </c>
    </row>
    <row r="56" spans="1:12">
      <c r="A56" s="43">
        <v>55</v>
      </c>
      <c r="B56" s="43">
        <v>0</v>
      </c>
      <c r="C56" s="43">
        <v>1</v>
      </c>
      <c r="D56" s="43" t="s">
        <v>96</v>
      </c>
      <c r="E56" s="43" t="s">
        <v>13</v>
      </c>
      <c r="F56" s="44">
        <v>65</v>
      </c>
      <c r="G56" s="43">
        <v>0</v>
      </c>
      <c r="H56" s="43">
        <v>1</v>
      </c>
      <c r="I56" s="44">
        <v>113509</v>
      </c>
      <c r="J56" s="43">
        <v>61.9792</v>
      </c>
      <c r="K56" s="43" t="s">
        <v>97</v>
      </c>
      <c r="L56" s="43" t="s">
        <v>20</v>
      </c>
    </row>
    <row r="57" spans="1:12">
      <c r="A57" s="43">
        <v>56</v>
      </c>
      <c r="B57" s="43">
        <v>1</v>
      </c>
      <c r="C57" s="43">
        <v>1</v>
      </c>
      <c r="D57" s="43" t="s">
        <v>98</v>
      </c>
      <c r="E57" s="43" t="s">
        <v>13</v>
      </c>
      <c r="F57" s="44" t="s">
        <v>27</v>
      </c>
      <c r="G57" s="43">
        <v>0</v>
      </c>
      <c r="H57" s="43">
        <v>0</v>
      </c>
      <c r="I57" s="44">
        <v>19947</v>
      </c>
      <c r="J57" s="43">
        <v>35.5</v>
      </c>
      <c r="K57" s="43" t="s">
        <v>99</v>
      </c>
      <c r="L57" s="43" t="s">
        <v>15</v>
      </c>
    </row>
    <row r="58" spans="1:12">
      <c r="A58" s="43">
        <v>57</v>
      </c>
      <c r="B58" s="43">
        <v>1</v>
      </c>
      <c r="C58" s="43">
        <v>2</v>
      </c>
      <c r="D58" s="43" t="s">
        <v>100</v>
      </c>
      <c r="E58" s="43" t="s">
        <v>17</v>
      </c>
      <c r="F58" s="44">
        <v>21</v>
      </c>
      <c r="G58" s="43">
        <v>0</v>
      </c>
      <c r="H58" s="43">
        <v>0</v>
      </c>
      <c r="I58" s="44" t="s">
        <v>101</v>
      </c>
      <c r="J58" s="43">
        <v>10.5</v>
      </c>
      <c r="K58" s="43"/>
      <c r="L58" s="43" t="s">
        <v>15</v>
      </c>
    </row>
    <row r="59" spans="1:12">
      <c r="A59" s="43">
        <v>58</v>
      </c>
      <c r="B59" s="43">
        <v>0</v>
      </c>
      <c r="C59" s="43">
        <v>3</v>
      </c>
      <c r="D59" s="43" t="s">
        <v>102</v>
      </c>
      <c r="E59" s="43" t="s">
        <v>13</v>
      </c>
      <c r="F59" s="44">
        <v>28.5</v>
      </c>
      <c r="G59" s="43">
        <v>0</v>
      </c>
      <c r="H59" s="43">
        <v>0</v>
      </c>
      <c r="I59" s="44">
        <v>2697</v>
      </c>
      <c r="J59" s="43">
        <v>7.2292</v>
      </c>
      <c r="K59" s="43"/>
      <c r="L59" s="43" t="s">
        <v>20</v>
      </c>
    </row>
    <row r="60" spans="1:12">
      <c r="A60" s="43">
        <v>59</v>
      </c>
      <c r="B60" s="43">
        <v>1</v>
      </c>
      <c r="C60" s="43">
        <v>2</v>
      </c>
      <c r="D60" s="43" t="s">
        <v>103</v>
      </c>
      <c r="E60" s="43" t="s">
        <v>17</v>
      </c>
      <c r="F60" s="44">
        <v>5</v>
      </c>
      <c r="G60" s="43">
        <v>1</v>
      </c>
      <c r="H60" s="43">
        <v>2</v>
      </c>
      <c r="I60" s="44" t="s">
        <v>104</v>
      </c>
      <c r="J60" s="43">
        <v>27.75</v>
      </c>
      <c r="K60" s="43"/>
      <c r="L60" s="43" t="s">
        <v>15</v>
      </c>
    </row>
    <row r="61" spans="1:12">
      <c r="A61" s="43">
        <v>60</v>
      </c>
      <c r="B61" s="43">
        <v>0</v>
      </c>
      <c r="C61" s="43">
        <v>3</v>
      </c>
      <c r="D61" s="43" t="s">
        <v>105</v>
      </c>
      <c r="E61" s="43" t="s">
        <v>13</v>
      </c>
      <c r="F61" s="44">
        <v>11</v>
      </c>
      <c r="G61" s="43">
        <v>5</v>
      </c>
      <c r="H61" s="43">
        <v>2</v>
      </c>
      <c r="I61" s="44" t="s">
        <v>106</v>
      </c>
      <c r="J61" s="43">
        <v>46.9</v>
      </c>
      <c r="K61" s="43"/>
      <c r="L61" s="43" t="s">
        <v>15</v>
      </c>
    </row>
    <row r="62" spans="1:12">
      <c r="A62" s="43">
        <v>61</v>
      </c>
      <c r="B62" s="43">
        <v>0</v>
      </c>
      <c r="C62" s="43">
        <v>3</v>
      </c>
      <c r="D62" s="43" t="s">
        <v>107</v>
      </c>
      <c r="E62" s="43" t="s">
        <v>13</v>
      </c>
      <c r="F62" s="44">
        <v>22</v>
      </c>
      <c r="G62" s="43">
        <v>0</v>
      </c>
      <c r="H62" s="43">
        <v>0</v>
      </c>
      <c r="I62" s="44">
        <v>2669</v>
      </c>
      <c r="J62" s="43">
        <v>7.2292</v>
      </c>
      <c r="K62" s="43"/>
      <c r="L62" s="43" t="s">
        <v>20</v>
      </c>
    </row>
    <row r="63" spans="1:12">
      <c r="A63" s="43">
        <v>62</v>
      </c>
      <c r="B63" s="43">
        <v>1</v>
      </c>
      <c r="C63" s="43">
        <v>1</v>
      </c>
      <c r="D63" s="43" t="s">
        <v>108</v>
      </c>
      <c r="E63" s="43" t="s">
        <v>17</v>
      </c>
      <c r="F63" s="44">
        <v>38</v>
      </c>
      <c r="G63" s="43">
        <v>0</v>
      </c>
      <c r="H63" s="43">
        <v>0</v>
      </c>
      <c r="I63" s="44">
        <v>113572</v>
      </c>
      <c r="J63" s="43">
        <v>80</v>
      </c>
      <c r="K63" s="43" t="s">
        <v>109</v>
      </c>
      <c r="L63" s="43"/>
    </row>
    <row r="64" spans="1:12">
      <c r="A64" s="43">
        <v>63</v>
      </c>
      <c r="B64" s="43">
        <v>0</v>
      </c>
      <c r="C64" s="43">
        <v>1</v>
      </c>
      <c r="D64" s="43" t="s">
        <v>110</v>
      </c>
      <c r="E64" s="43" t="s">
        <v>13</v>
      </c>
      <c r="F64" s="44">
        <v>45</v>
      </c>
      <c r="G64" s="43">
        <v>1</v>
      </c>
      <c r="H64" s="43">
        <v>0</v>
      </c>
      <c r="I64" s="44">
        <v>36973</v>
      </c>
      <c r="J64" s="43">
        <v>83.475</v>
      </c>
      <c r="K64" s="43" t="s">
        <v>111</v>
      </c>
      <c r="L64" s="43" t="s">
        <v>15</v>
      </c>
    </row>
    <row r="65" spans="1:12">
      <c r="A65" s="43">
        <v>64</v>
      </c>
      <c r="B65" s="43">
        <v>0</v>
      </c>
      <c r="C65" s="43">
        <v>3</v>
      </c>
      <c r="D65" s="43" t="s">
        <v>112</v>
      </c>
      <c r="E65" s="43" t="s">
        <v>13</v>
      </c>
      <c r="F65" s="44">
        <v>4</v>
      </c>
      <c r="G65" s="43">
        <v>3</v>
      </c>
      <c r="H65" s="43">
        <v>2</v>
      </c>
      <c r="I65" s="44">
        <v>347088</v>
      </c>
      <c r="J65" s="43">
        <v>27.9</v>
      </c>
      <c r="K65" s="43"/>
      <c r="L65" s="43" t="s">
        <v>15</v>
      </c>
    </row>
    <row r="66" spans="1:12">
      <c r="A66" s="43">
        <v>65</v>
      </c>
      <c r="B66" s="43">
        <v>0</v>
      </c>
      <c r="C66" s="43">
        <v>1</v>
      </c>
      <c r="D66" s="43" t="s">
        <v>113</v>
      </c>
      <c r="E66" s="43" t="s">
        <v>13</v>
      </c>
      <c r="F66" s="44" t="s">
        <v>27</v>
      </c>
      <c r="G66" s="43">
        <v>0</v>
      </c>
      <c r="H66" s="43">
        <v>0</v>
      </c>
      <c r="I66" s="44" t="s">
        <v>114</v>
      </c>
      <c r="J66" s="43">
        <v>27.7208</v>
      </c>
      <c r="K66" s="43"/>
      <c r="L66" s="43" t="s">
        <v>20</v>
      </c>
    </row>
    <row r="67" spans="1:12">
      <c r="A67" s="43">
        <v>66</v>
      </c>
      <c r="B67" s="43">
        <v>1</v>
      </c>
      <c r="C67" s="43">
        <v>3</v>
      </c>
      <c r="D67" s="43" t="s">
        <v>115</v>
      </c>
      <c r="E67" s="43" t="s">
        <v>13</v>
      </c>
      <c r="F67" s="44" t="s">
        <v>27</v>
      </c>
      <c r="G67" s="43">
        <v>1</v>
      </c>
      <c r="H67" s="43">
        <v>1</v>
      </c>
      <c r="I67" s="44">
        <v>2661</v>
      </c>
      <c r="J67" s="43">
        <v>15.2458</v>
      </c>
      <c r="K67" s="43"/>
      <c r="L67" s="43" t="s">
        <v>20</v>
      </c>
    </row>
    <row r="68" spans="1:12">
      <c r="A68" s="43">
        <v>67</v>
      </c>
      <c r="B68" s="43">
        <v>1</v>
      </c>
      <c r="C68" s="43">
        <v>2</v>
      </c>
      <c r="D68" s="43" t="s">
        <v>116</v>
      </c>
      <c r="E68" s="43" t="s">
        <v>17</v>
      </c>
      <c r="F68" s="44">
        <v>29</v>
      </c>
      <c r="G68" s="43">
        <v>0</v>
      </c>
      <c r="H68" s="43">
        <v>0</v>
      </c>
      <c r="I68" s="44" t="s">
        <v>117</v>
      </c>
      <c r="J68" s="43">
        <v>10.5</v>
      </c>
      <c r="K68" s="43" t="s">
        <v>118</v>
      </c>
      <c r="L68" s="43" t="s">
        <v>15</v>
      </c>
    </row>
    <row r="69" spans="1:12">
      <c r="A69" s="43">
        <v>68</v>
      </c>
      <c r="B69" s="43">
        <v>0</v>
      </c>
      <c r="C69" s="43">
        <v>3</v>
      </c>
      <c r="D69" s="43" t="s">
        <v>119</v>
      </c>
      <c r="E69" s="43" t="s">
        <v>13</v>
      </c>
      <c r="F69" s="44">
        <v>19</v>
      </c>
      <c r="G69" s="43">
        <v>0</v>
      </c>
      <c r="H69" s="43">
        <v>0</v>
      </c>
      <c r="I69" s="44" t="s">
        <v>120</v>
      </c>
      <c r="J69" s="43">
        <v>8.1583</v>
      </c>
      <c r="K69" s="43"/>
      <c r="L69" s="43" t="s">
        <v>15</v>
      </c>
    </row>
    <row r="70" spans="1:12">
      <c r="A70" s="43">
        <v>69</v>
      </c>
      <c r="B70" s="43">
        <v>1</v>
      </c>
      <c r="C70" s="43">
        <v>3</v>
      </c>
      <c r="D70" s="43" t="s">
        <v>121</v>
      </c>
      <c r="E70" s="43" t="s">
        <v>17</v>
      </c>
      <c r="F70" s="44">
        <v>17</v>
      </c>
      <c r="G70" s="43">
        <v>4</v>
      </c>
      <c r="H70" s="43">
        <v>2</v>
      </c>
      <c r="I70" s="44">
        <v>3101281</v>
      </c>
      <c r="J70" s="43">
        <v>7.925</v>
      </c>
      <c r="K70" s="43"/>
      <c r="L70" s="43" t="s">
        <v>15</v>
      </c>
    </row>
    <row r="71" spans="1:12">
      <c r="A71" s="43">
        <v>70</v>
      </c>
      <c r="B71" s="43">
        <v>0</v>
      </c>
      <c r="C71" s="43">
        <v>3</v>
      </c>
      <c r="D71" s="43" t="s">
        <v>122</v>
      </c>
      <c r="E71" s="43" t="s">
        <v>13</v>
      </c>
      <c r="F71" s="44">
        <v>26</v>
      </c>
      <c r="G71" s="43">
        <v>2</v>
      </c>
      <c r="H71" s="43">
        <v>0</v>
      </c>
      <c r="I71" s="44">
        <v>315151</v>
      </c>
      <c r="J71" s="43">
        <v>8.6625</v>
      </c>
      <c r="K71" s="43"/>
      <c r="L71" s="43" t="s">
        <v>15</v>
      </c>
    </row>
    <row r="72" spans="1:12">
      <c r="A72" s="43">
        <v>71</v>
      </c>
      <c r="B72" s="43">
        <v>0</v>
      </c>
      <c r="C72" s="43">
        <v>2</v>
      </c>
      <c r="D72" s="43" t="s">
        <v>123</v>
      </c>
      <c r="E72" s="43" t="s">
        <v>13</v>
      </c>
      <c r="F72" s="44">
        <v>32</v>
      </c>
      <c r="G72" s="43">
        <v>0</v>
      </c>
      <c r="H72" s="43">
        <v>0</v>
      </c>
      <c r="I72" s="44" t="s">
        <v>124</v>
      </c>
      <c r="J72" s="43">
        <v>10.5</v>
      </c>
      <c r="K72" s="43"/>
      <c r="L72" s="43" t="s">
        <v>15</v>
      </c>
    </row>
    <row r="73" spans="1:12">
      <c r="A73" s="43">
        <v>72</v>
      </c>
      <c r="B73" s="43">
        <v>0</v>
      </c>
      <c r="C73" s="43">
        <v>3</v>
      </c>
      <c r="D73" s="43" t="s">
        <v>125</v>
      </c>
      <c r="E73" s="43" t="s">
        <v>17</v>
      </c>
      <c r="F73" s="44">
        <v>16</v>
      </c>
      <c r="G73" s="43">
        <v>5</v>
      </c>
      <c r="H73" s="43">
        <v>2</v>
      </c>
      <c r="I73" s="44" t="s">
        <v>106</v>
      </c>
      <c r="J73" s="43">
        <v>46.9</v>
      </c>
      <c r="K73" s="43"/>
      <c r="L73" s="43" t="s">
        <v>15</v>
      </c>
    </row>
    <row r="74" spans="1:12">
      <c r="A74" s="43">
        <v>73</v>
      </c>
      <c r="B74" s="43">
        <v>0</v>
      </c>
      <c r="C74" s="43">
        <v>2</v>
      </c>
      <c r="D74" s="43" t="s">
        <v>126</v>
      </c>
      <c r="E74" s="43" t="s">
        <v>13</v>
      </c>
      <c r="F74" s="44">
        <v>21</v>
      </c>
      <c r="G74" s="43">
        <v>0</v>
      </c>
      <c r="H74" s="43">
        <v>0</v>
      </c>
      <c r="I74" s="44" t="s">
        <v>127</v>
      </c>
      <c r="J74" s="43">
        <v>73.5</v>
      </c>
      <c r="K74" s="43"/>
      <c r="L74" s="43" t="s">
        <v>15</v>
      </c>
    </row>
    <row r="75" spans="1:12">
      <c r="A75" s="43">
        <v>74</v>
      </c>
      <c r="B75" s="43">
        <v>0</v>
      </c>
      <c r="C75" s="43">
        <v>3</v>
      </c>
      <c r="D75" s="43" t="s">
        <v>128</v>
      </c>
      <c r="E75" s="43" t="s">
        <v>13</v>
      </c>
      <c r="F75" s="44">
        <v>26</v>
      </c>
      <c r="G75" s="43">
        <v>1</v>
      </c>
      <c r="H75" s="43">
        <v>0</v>
      </c>
      <c r="I75" s="44">
        <v>2680</v>
      </c>
      <c r="J75" s="43">
        <v>14.4542</v>
      </c>
      <c r="K75" s="43"/>
      <c r="L75" s="43" t="s">
        <v>20</v>
      </c>
    </row>
    <row r="76" spans="1:12">
      <c r="A76" s="43">
        <v>75</v>
      </c>
      <c r="B76" s="43">
        <v>1</v>
      </c>
      <c r="C76" s="43">
        <v>3</v>
      </c>
      <c r="D76" s="43" t="s">
        <v>129</v>
      </c>
      <c r="E76" s="43" t="s">
        <v>13</v>
      </c>
      <c r="F76" s="44">
        <v>32</v>
      </c>
      <c r="G76" s="43">
        <v>0</v>
      </c>
      <c r="H76" s="43">
        <v>0</v>
      </c>
      <c r="I76" s="44">
        <v>1601</v>
      </c>
      <c r="J76" s="43">
        <v>56.4958</v>
      </c>
      <c r="K76" s="43"/>
      <c r="L76" s="43" t="s">
        <v>15</v>
      </c>
    </row>
    <row r="77" spans="1:12">
      <c r="A77" s="43">
        <v>76</v>
      </c>
      <c r="B77" s="43">
        <v>0</v>
      </c>
      <c r="C77" s="43">
        <v>3</v>
      </c>
      <c r="D77" s="43" t="s">
        <v>130</v>
      </c>
      <c r="E77" s="43" t="s">
        <v>13</v>
      </c>
      <c r="F77" s="44">
        <v>25</v>
      </c>
      <c r="G77" s="43">
        <v>0</v>
      </c>
      <c r="H77" s="43">
        <v>0</v>
      </c>
      <c r="I77" s="44">
        <v>348123</v>
      </c>
      <c r="J77" s="43">
        <v>7.65</v>
      </c>
      <c r="K77" s="43" t="s">
        <v>131</v>
      </c>
      <c r="L77" s="43" t="s">
        <v>15</v>
      </c>
    </row>
    <row r="78" spans="1:12">
      <c r="A78" s="43">
        <v>77</v>
      </c>
      <c r="B78" s="43">
        <v>0</v>
      </c>
      <c r="C78" s="43">
        <v>3</v>
      </c>
      <c r="D78" s="43" t="s">
        <v>132</v>
      </c>
      <c r="E78" s="43" t="s">
        <v>13</v>
      </c>
      <c r="F78" s="44" t="s">
        <v>27</v>
      </c>
      <c r="G78" s="43">
        <v>0</v>
      </c>
      <c r="H78" s="43">
        <v>0</v>
      </c>
      <c r="I78" s="44">
        <v>349208</v>
      </c>
      <c r="J78" s="43">
        <v>7.8958</v>
      </c>
      <c r="K78" s="43"/>
      <c r="L78" s="43" t="s">
        <v>15</v>
      </c>
    </row>
    <row r="79" spans="1:12">
      <c r="A79" s="43">
        <v>78</v>
      </c>
      <c r="B79" s="43">
        <v>0</v>
      </c>
      <c r="C79" s="43">
        <v>3</v>
      </c>
      <c r="D79" s="43" t="s">
        <v>133</v>
      </c>
      <c r="E79" s="43" t="s">
        <v>13</v>
      </c>
      <c r="F79" s="44" t="s">
        <v>27</v>
      </c>
      <c r="G79" s="43">
        <v>0</v>
      </c>
      <c r="H79" s="43">
        <v>0</v>
      </c>
      <c r="I79" s="44">
        <v>374746</v>
      </c>
      <c r="J79" s="43">
        <v>8.05</v>
      </c>
      <c r="K79" s="43"/>
      <c r="L79" s="43" t="s">
        <v>15</v>
      </c>
    </row>
    <row r="80" spans="1:12">
      <c r="A80" s="43">
        <v>79</v>
      </c>
      <c r="B80" s="43">
        <v>1</v>
      </c>
      <c r="C80" s="43">
        <v>2</v>
      </c>
      <c r="D80" s="43" t="s">
        <v>134</v>
      </c>
      <c r="E80" s="43" t="s">
        <v>13</v>
      </c>
      <c r="F80" s="44">
        <v>0.83</v>
      </c>
      <c r="G80" s="43">
        <v>0</v>
      </c>
      <c r="H80" s="43">
        <v>2</v>
      </c>
      <c r="I80" s="44">
        <v>248738</v>
      </c>
      <c r="J80" s="43">
        <v>29</v>
      </c>
      <c r="K80" s="43"/>
      <c r="L80" s="43" t="s">
        <v>15</v>
      </c>
    </row>
    <row r="81" spans="1:12">
      <c r="A81" s="43">
        <v>80</v>
      </c>
      <c r="B81" s="43">
        <v>1</v>
      </c>
      <c r="C81" s="43">
        <v>3</v>
      </c>
      <c r="D81" s="43" t="s">
        <v>135</v>
      </c>
      <c r="E81" s="43" t="s">
        <v>17</v>
      </c>
      <c r="F81" s="44">
        <v>30</v>
      </c>
      <c r="G81" s="43">
        <v>0</v>
      </c>
      <c r="H81" s="43">
        <v>0</v>
      </c>
      <c r="I81" s="44">
        <v>364516</v>
      </c>
      <c r="J81" s="43">
        <v>12.475</v>
      </c>
      <c r="K81" s="43"/>
      <c r="L81" s="43" t="s">
        <v>15</v>
      </c>
    </row>
    <row r="82" spans="1:12">
      <c r="A82" s="43">
        <v>81</v>
      </c>
      <c r="B82" s="43">
        <v>0</v>
      </c>
      <c r="C82" s="43">
        <v>3</v>
      </c>
      <c r="D82" s="43" t="s">
        <v>136</v>
      </c>
      <c r="E82" s="43" t="s">
        <v>13</v>
      </c>
      <c r="F82" s="44">
        <v>22</v>
      </c>
      <c r="G82" s="43">
        <v>0</v>
      </c>
      <c r="H82" s="43">
        <v>0</v>
      </c>
      <c r="I82" s="44">
        <v>345767</v>
      </c>
      <c r="J82" s="43">
        <v>9</v>
      </c>
      <c r="K82" s="43"/>
      <c r="L82" s="43" t="s">
        <v>15</v>
      </c>
    </row>
    <row r="83" spans="1:12">
      <c r="A83" s="43">
        <v>82</v>
      </c>
      <c r="B83" s="43">
        <v>1</v>
      </c>
      <c r="C83" s="43">
        <v>3</v>
      </c>
      <c r="D83" s="43" t="s">
        <v>137</v>
      </c>
      <c r="E83" s="43" t="s">
        <v>13</v>
      </c>
      <c r="F83" s="44">
        <v>29</v>
      </c>
      <c r="G83" s="43">
        <v>0</v>
      </c>
      <c r="H83" s="43">
        <v>0</v>
      </c>
      <c r="I83" s="44">
        <v>345779</v>
      </c>
      <c r="J83" s="43">
        <v>9.5</v>
      </c>
      <c r="K83" s="43"/>
      <c r="L83" s="43" t="s">
        <v>15</v>
      </c>
    </row>
    <row r="84" spans="1:12">
      <c r="A84" s="43">
        <v>83</v>
      </c>
      <c r="B84" s="43">
        <v>1</v>
      </c>
      <c r="C84" s="43">
        <v>3</v>
      </c>
      <c r="D84" s="43" t="s">
        <v>138</v>
      </c>
      <c r="E84" s="43" t="s">
        <v>17</v>
      </c>
      <c r="F84" s="44" t="s">
        <v>27</v>
      </c>
      <c r="G84" s="43">
        <v>0</v>
      </c>
      <c r="H84" s="43">
        <v>0</v>
      </c>
      <c r="I84" s="44">
        <v>330932</v>
      </c>
      <c r="J84" s="43">
        <v>7.7875</v>
      </c>
      <c r="K84" s="43"/>
      <c r="L84" s="43" t="s">
        <v>28</v>
      </c>
    </row>
    <row r="85" spans="1:12">
      <c r="A85" s="43">
        <v>84</v>
      </c>
      <c r="B85" s="43">
        <v>0</v>
      </c>
      <c r="C85" s="43">
        <v>1</v>
      </c>
      <c r="D85" s="43" t="s">
        <v>139</v>
      </c>
      <c r="E85" s="43" t="s">
        <v>13</v>
      </c>
      <c r="F85" s="44">
        <v>28</v>
      </c>
      <c r="G85" s="43">
        <v>0</v>
      </c>
      <c r="H85" s="43">
        <v>0</v>
      </c>
      <c r="I85" s="44">
        <v>113059</v>
      </c>
      <c r="J85" s="43">
        <v>47.1</v>
      </c>
      <c r="K85" s="43"/>
      <c r="L85" s="43" t="s">
        <v>15</v>
      </c>
    </row>
    <row r="86" spans="1:12">
      <c r="A86" s="43">
        <v>85</v>
      </c>
      <c r="B86" s="43">
        <v>1</v>
      </c>
      <c r="C86" s="43">
        <v>2</v>
      </c>
      <c r="D86" s="43" t="s">
        <v>140</v>
      </c>
      <c r="E86" s="43" t="s">
        <v>17</v>
      </c>
      <c r="F86" s="44">
        <v>17</v>
      </c>
      <c r="G86" s="43">
        <v>0</v>
      </c>
      <c r="H86" s="43">
        <v>0</v>
      </c>
      <c r="I86" s="44" t="s">
        <v>141</v>
      </c>
      <c r="J86" s="43">
        <v>10.5</v>
      </c>
      <c r="K86" s="43"/>
      <c r="L86" s="43" t="s">
        <v>15</v>
      </c>
    </row>
    <row r="87" spans="1:12">
      <c r="A87" s="43">
        <v>86</v>
      </c>
      <c r="B87" s="43">
        <v>1</v>
      </c>
      <c r="C87" s="43">
        <v>3</v>
      </c>
      <c r="D87" s="43" t="s">
        <v>142</v>
      </c>
      <c r="E87" s="43" t="s">
        <v>17</v>
      </c>
      <c r="F87" s="44">
        <v>33</v>
      </c>
      <c r="G87" s="43">
        <v>3</v>
      </c>
      <c r="H87" s="43">
        <v>0</v>
      </c>
      <c r="I87" s="44">
        <v>3101278</v>
      </c>
      <c r="J87" s="43">
        <v>15.85</v>
      </c>
      <c r="K87" s="43"/>
      <c r="L87" s="43" t="s">
        <v>15</v>
      </c>
    </row>
    <row r="88" spans="1:12">
      <c r="A88" s="43">
        <v>87</v>
      </c>
      <c r="B88" s="43">
        <v>0</v>
      </c>
      <c r="C88" s="43">
        <v>3</v>
      </c>
      <c r="D88" s="43" t="s">
        <v>143</v>
      </c>
      <c r="E88" s="43" t="s">
        <v>13</v>
      </c>
      <c r="F88" s="44">
        <v>16</v>
      </c>
      <c r="G88" s="43">
        <v>1</v>
      </c>
      <c r="H88" s="43">
        <v>3</v>
      </c>
      <c r="I88" s="44" t="s">
        <v>144</v>
      </c>
      <c r="J88" s="43">
        <v>34.375</v>
      </c>
      <c r="K88" s="43"/>
      <c r="L88" s="43" t="s">
        <v>15</v>
      </c>
    </row>
    <row r="89" spans="1:12">
      <c r="A89" s="43">
        <v>88</v>
      </c>
      <c r="B89" s="43">
        <v>0</v>
      </c>
      <c r="C89" s="43">
        <v>3</v>
      </c>
      <c r="D89" s="43" t="s">
        <v>145</v>
      </c>
      <c r="E89" s="43" t="s">
        <v>13</v>
      </c>
      <c r="F89" s="44" t="s">
        <v>27</v>
      </c>
      <c r="G89" s="43">
        <v>0</v>
      </c>
      <c r="H89" s="43">
        <v>0</v>
      </c>
      <c r="I89" s="44" t="s">
        <v>146</v>
      </c>
      <c r="J89" s="43">
        <v>8.05</v>
      </c>
      <c r="K89" s="43"/>
      <c r="L89" s="43" t="s">
        <v>15</v>
      </c>
    </row>
    <row r="90" spans="1:12">
      <c r="A90" s="43">
        <v>89</v>
      </c>
      <c r="B90" s="43">
        <v>1</v>
      </c>
      <c r="C90" s="43">
        <v>1</v>
      </c>
      <c r="D90" s="43" t="s">
        <v>147</v>
      </c>
      <c r="E90" s="43" t="s">
        <v>17</v>
      </c>
      <c r="F90" s="44">
        <v>23</v>
      </c>
      <c r="G90" s="43">
        <v>3</v>
      </c>
      <c r="H90" s="43">
        <v>2</v>
      </c>
      <c r="I90" s="44">
        <v>19950</v>
      </c>
      <c r="J90" s="43">
        <v>263</v>
      </c>
      <c r="K90" s="43" t="s">
        <v>58</v>
      </c>
      <c r="L90" s="43" t="s">
        <v>15</v>
      </c>
    </row>
    <row r="91" spans="1:12">
      <c r="A91" s="43">
        <v>90</v>
      </c>
      <c r="B91" s="43">
        <v>0</v>
      </c>
      <c r="C91" s="43">
        <v>3</v>
      </c>
      <c r="D91" s="43" t="s">
        <v>148</v>
      </c>
      <c r="E91" s="43" t="s">
        <v>13</v>
      </c>
      <c r="F91" s="44">
        <v>24</v>
      </c>
      <c r="G91" s="43">
        <v>0</v>
      </c>
      <c r="H91" s="43">
        <v>0</v>
      </c>
      <c r="I91" s="44">
        <v>343275</v>
      </c>
      <c r="J91" s="43">
        <v>8.05</v>
      </c>
      <c r="K91" s="43"/>
      <c r="L91" s="43" t="s">
        <v>15</v>
      </c>
    </row>
    <row r="92" spans="1:12">
      <c r="A92" s="43">
        <v>91</v>
      </c>
      <c r="B92" s="43">
        <v>0</v>
      </c>
      <c r="C92" s="43">
        <v>3</v>
      </c>
      <c r="D92" s="43" t="s">
        <v>149</v>
      </c>
      <c r="E92" s="43" t="s">
        <v>13</v>
      </c>
      <c r="F92" s="44">
        <v>29</v>
      </c>
      <c r="G92" s="43">
        <v>0</v>
      </c>
      <c r="H92" s="43">
        <v>0</v>
      </c>
      <c r="I92" s="44">
        <v>343276</v>
      </c>
      <c r="J92" s="43">
        <v>8.05</v>
      </c>
      <c r="K92" s="43"/>
      <c r="L92" s="43" t="s">
        <v>15</v>
      </c>
    </row>
    <row r="93" spans="1:12">
      <c r="A93" s="43">
        <v>92</v>
      </c>
      <c r="B93" s="43">
        <v>0</v>
      </c>
      <c r="C93" s="43">
        <v>3</v>
      </c>
      <c r="D93" s="43" t="s">
        <v>150</v>
      </c>
      <c r="E93" s="43" t="s">
        <v>13</v>
      </c>
      <c r="F93" s="44">
        <v>20</v>
      </c>
      <c r="G93" s="43">
        <v>0</v>
      </c>
      <c r="H93" s="43">
        <v>0</v>
      </c>
      <c r="I93" s="44">
        <v>347466</v>
      </c>
      <c r="J93" s="43">
        <v>7.8542</v>
      </c>
      <c r="K93" s="43"/>
      <c r="L93" s="43" t="s">
        <v>15</v>
      </c>
    </row>
    <row r="94" spans="1:12">
      <c r="A94" s="43">
        <v>93</v>
      </c>
      <c r="B94" s="43">
        <v>0</v>
      </c>
      <c r="C94" s="43">
        <v>1</v>
      </c>
      <c r="D94" s="43" t="s">
        <v>151</v>
      </c>
      <c r="E94" s="43" t="s">
        <v>13</v>
      </c>
      <c r="F94" s="44">
        <v>46</v>
      </c>
      <c r="G94" s="43">
        <v>1</v>
      </c>
      <c r="H94" s="43">
        <v>0</v>
      </c>
      <c r="I94" s="44" t="s">
        <v>152</v>
      </c>
      <c r="J94" s="43">
        <v>61.175</v>
      </c>
      <c r="K94" s="43" t="s">
        <v>153</v>
      </c>
      <c r="L94" s="43" t="s">
        <v>15</v>
      </c>
    </row>
    <row r="95" spans="1:12">
      <c r="A95" s="43">
        <v>94</v>
      </c>
      <c r="B95" s="43">
        <v>0</v>
      </c>
      <c r="C95" s="43">
        <v>3</v>
      </c>
      <c r="D95" s="43" t="s">
        <v>154</v>
      </c>
      <c r="E95" s="43" t="s">
        <v>13</v>
      </c>
      <c r="F95" s="44">
        <v>26</v>
      </c>
      <c r="G95" s="43">
        <v>1</v>
      </c>
      <c r="H95" s="43">
        <v>2</v>
      </c>
      <c r="I95" s="44" t="s">
        <v>155</v>
      </c>
      <c r="J95" s="43">
        <v>20.575</v>
      </c>
      <c r="K95" s="43"/>
      <c r="L95" s="43" t="s">
        <v>15</v>
      </c>
    </row>
    <row r="96" spans="1:12">
      <c r="A96" s="43">
        <v>95</v>
      </c>
      <c r="B96" s="43">
        <v>0</v>
      </c>
      <c r="C96" s="43">
        <v>3</v>
      </c>
      <c r="D96" s="43" t="s">
        <v>156</v>
      </c>
      <c r="E96" s="43" t="s">
        <v>13</v>
      </c>
      <c r="F96" s="44">
        <v>59</v>
      </c>
      <c r="G96" s="43">
        <v>0</v>
      </c>
      <c r="H96" s="43">
        <v>0</v>
      </c>
      <c r="I96" s="44">
        <v>364500</v>
      </c>
      <c r="J96" s="43">
        <v>7.25</v>
      </c>
      <c r="K96" s="43"/>
      <c r="L96" s="43" t="s">
        <v>15</v>
      </c>
    </row>
    <row r="97" spans="1:12">
      <c r="A97" s="43">
        <v>96</v>
      </c>
      <c r="B97" s="43">
        <v>0</v>
      </c>
      <c r="C97" s="43">
        <v>3</v>
      </c>
      <c r="D97" s="43" t="s">
        <v>157</v>
      </c>
      <c r="E97" s="43" t="s">
        <v>13</v>
      </c>
      <c r="F97" s="44" t="s">
        <v>27</v>
      </c>
      <c r="G97" s="43">
        <v>0</v>
      </c>
      <c r="H97" s="43">
        <v>0</v>
      </c>
      <c r="I97" s="44">
        <v>374910</v>
      </c>
      <c r="J97" s="43">
        <v>8.05</v>
      </c>
      <c r="K97" s="43"/>
      <c r="L97" s="43" t="s">
        <v>15</v>
      </c>
    </row>
    <row r="98" spans="1:12">
      <c r="A98" s="43">
        <v>97</v>
      </c>
      <c r="B98" s="43">
        <v>0</v>
      </c>
      <c r="C98" s="43">
        <v>1</v>
      </c>
      <c r="D98" s="43" t="s">
        <v>158</v>
      </c>
      <c r="E98" s="43" t="s">
        <v>13</v>
      </c>
      <c r="F98" s="44">
        <v>71</v>
      </c>
      <c r="G98" s="43">
        <v>0</v>
      </c>
      <c r="H98" s="43">
        <v>0</v>
      </c>
      <c r="I98" s="44" t="s">
        <v>159</v>
      </c>
      <c r="J98" s="43">
        <v>34.6542</v>
      </c>
      <c r="K98" s="43" t="s">
        <v>160</v>
      </c>
      <c r="L98" s="43" t="s">
        <v>20</v>
      </c>
    </row>
    <row r="99" spans="1:12">
      <c r="A99" s="43">
        <v>98</v>
      </c>
      <c r="B99" s="43">
        <v>1</v>
      </c>
      <c r="C99" s="43">
        <v>1</v>
      </c>
      <c r="D99" s="43" t="s">
        <v>161</v>
      </c>
      <c r="E99" s="43" t="s">
        <v>13</v>
      </c>
      <c r="F99" s="44">
        <v>23</v>
      </c>
      <c r="G99" s="43">
        <v>0</v>
      </c>
      <c r="H99" s="43">
        <v>1</v>
      </c>
      <c r="I99" s="44" t="s">
        <v>162</v>
      </c>
      <c r="J99" s="43">
        <v>63.3583</v>
      </c>
      <c r="K99" s="43" t="s">
        <v>163</v>
      </c>
      <c r="L99" s="43" t="s">
        <v>20</v>
      </c>
    </row>
    <row r="100" spans="1:12">
      <c r="A100" s="43">
        <v>99</v>
      </c>
      <c r="B100" s="43">
        <v>1</v>
      </c>
      <c r="C100" s="43">
        <v>2</v>
      </c>
      <c r="D100" s="43" t="s">
        <v>164</v>
      </c>
      <c r="E100" s="43" t="s">
        <v>17</v>
      </c>
      <c r="F100" s="44">
        <v>34</v>
      </c>
      <c r="G100" s="43">
        <v>0</v>
      </c>
      <c r="H100" s="43">
        <v>1</v>
      </c>
      <c r="I100" s="44">
        <v>231919</v>
      </c>
      <c r="J100" s="43">
        <v>23</v>
      </c>
      <c r="K100" s="43"/>
      <c r="L100" s="43" t="s">
        <v>15</v>
      </c>
    </row>
    <row r="101" spans="1:12">
      <c r="A101" s="43">
        <v>100</v>
      </c>
      <c r="B101" s="43">
        <v>0</v>
      </c>
      <c r="C101" s="43">
        <v>2</v>
      </c>
      <c r="D101" s="43" t="s">
        <v>165</v>
      </c>
      <c r="E101" s="43" t="s">
        <v>13</v>
      </c>
      <c r="F101" s="44">
        <v>34</v>
      </c>
      <c r="G101" s="43">
        <v>1</v>
      </c>
      <c r="H101" s="43">
        <v>0</v>
      </c>
      <c r="I101" s="44">
        <v>244367</v>
      </c>
      <c r="J101" s="43">
        <v>26</v>
      </c>
      <c r="K101" s="43"/>
      <c r="L101" s="43" t="s">
        <v>15</v>
      </c>
    </row>
    <row r="102" spans="1:12">
      <c r="A102" s="43">
        <v>101</v>
      </c>
      <c r="B102" s="43">
        <v>0</v>
      </c>
      <c r="C102" s="43">
        <v>3</v>
      </c>
      <c r="D102" s="43" t="s">
        <v>166</v>
      </c>
      <c r="E102" s="43" t="s">
        <v>17</v>
      </c>
      <c r="F102" s="44">
        <v>28</v>
      </c>
      <c r="G102" s="43">
        <v>0</v>
      </c>
      <c r="H102" s="43">
        <v>0</v>
      </c>
      <c r="I102" s="44">
        <v>349245</v>
      </c>
      <c r="J102" s="43">
        <v>7.8958</v>
      </c>
      <c r="K102" s="43"/>
      <c r="L102" s="43" t="s">
        <v>15</v>
      </c>
    </row>
    <row r="103" spans="1:12">
      <c r="A103" s="43">
        <v>102</v>
      </c>
      <c r="B103" s="43">
        <v>0</v>
      </c>
      <c r="C103" s="43">
        <v>3</v>
      </c>
      <c r="D103" s="43" t="s">
        <v>167</v>
      </c>
      <c r="E103" s="43" t="s">
        <v>13</v>
      </c>
      <c r="F103" s="44" t="s">
        <v>27</v>
      </c>
      <c r="G103" s="43">
        <v>0</v>
      </c>
      <c r="H103" s="43">
        <v>0</v>
      </c>
      <c r="I103" s="44">
        <v>349215</v>
      </c>
      <c r="J103" s="43">
        <v>7.8958</v>
      </c>
      <c r="K103" s="43"/>
      <c r="L103" s="43" t="s">
        <v>15</v>
      </c>
    </row>
    <row r="104" spans="1:12">
      <c r="A104" s="43">
        <v>103</v>
      </c>
      <c r="B104" s="43">
        <v>0</v>
      </c>
      <c r="C104" s="43">
        <v>1</v>
      </c>
      <c r="D104" s="43" t="s">
        <v>168</v>
      </c>
      <c r="E104" s="43" t="s">
        <v>13</v>
      </c>
      <c r="F104" s="44">
        <v>21</v>
      </c>
      <c r="G104" s="43">
        <v>0</v>
      </c>
      <c r="H104" s="43">
        <v>1</v>
      </c>
      <c r="I104" s="44">
        <v>35281</v>
      </c>
      <c r="J104" s="43">
        <v>77.2875</v>
      </c>
      <c r="K104" s="43" t="s">
        <v>169</v>
      </c>
      <c r="L104" s="43" t="s">
        <v>15</v>
      </c>
    </row>
    <row r="105" spans="1:12">
      <c r="A105" s="43">
        <v>104</v>
      </c>
      <c r="B105" s="43">
        <v>0</v>
      </c>
      <c r="C105" s="43">
        <v>3</v>
      </c>
      <c r="D105" s="43" t="s">
        <v>170</v>
      </c>
      <c r="E105" s="43" t="s">
        <v>13</v>
      </c>
      <c r="F105" s="44">
        <v>33</v>
      </c>
      <c r="G105" s="43">
        <v>0</v>
      </c>
      <c r="H105" s="43">
        <v>0</v>
      </c>
      <c r="I105" s="44">
        <v>7540</v>
      </c>
      <c r="J105" s="43">
        <v>8.6542</v>
      </c>
      <c r="K105" s="43"/>
      <c r="L105" s="43" t="s">
        <v>15</v>
      </c>
    </row>
    <row r="106" spans="1:12">
      <c r="A106" s="43">
        <v>105</v>
      </c>
      <c r="B106" s="43">
        <v>0</v>
      </c>
      <c r="C106" s="43">
        <v>3</v>
      </c>
      <c r="D106" s="43" t="s">
        <v>171</v>
      </c>
      <c r="E106" s="43" t="s">
        <v>13</v>
      </c>
      <c r="F106" s="44">
        <v>37</v>
      </c>
      <c r="G106" s="43">
        <v>2</v>
      </c>
      <c r="H106" s="43">
        <v>0</v>
      </c>
      <c r="I106" s="44">
        <v>3101276</v>
      </c>
      <c r="J106" s="43">
        <v>7.925</v>
      </c>
      <c r="K106" s="43"/>
      <c r="L106" s="43" t="s">
        <v>15</v>
      </c>
    </row>
    <row r="107" spans="1:12">
      <c r="A107" s="43">
        <v>106</v>
      </c>
      <c r="B107" s="43">
        <v>0</v>
      </c>
      <c r="C107" s="43">
        <v>3</v>
      </c>
      <c r="D107" s="43" t="s">
        <v>172</v>
      </c>
      <c r="E107" s="43" t="s">
        <v>13</v>
      </c>
      <c r="F107" s="44">
        <v>28</v>
      </c>
      <c r="G107" s="43">
        <v>0</v>
      </c>
      <c r="H107" s="43">
        <v>0</v>
      </c>
      <c r="I107" s="44">
        <v>349207</v>
      </c>
      <c r="J107" s="43">
        <v>7.8958</v>
      </c>
      <c r="K107" s="43"/>
      <c r="L107" s="43" t="s">
        <v>15</v>
      </c>
    </row>
    <row r="108" spans="1:12">
      <c r="A108" s="43">
        <v>107</v>
      </c>
      <c r="B108" s="43">
        <v>1</v>
      </c>
      <c r="C108" s="43">
        <v>3</v>
      </c>
      <c r="D108" s="43" t="s">
        <v>173</v>
      </c>
      <c r="E108" s="43" t="s">
        <v>17</v>
      </c>
      <c r="F108" s="44">
        <v>21</v>
      </c>
      <c r="G108" s="43">
        <v>0</v>
      </c>
      <c r="H108" s="43">
        <v>0</v>
      </c>
      <c r="I108" s="44">
        <v>343120</v>
      </c>
      <c r="J108" s="43">
        <v>7.65</v>
      </c>
      <c r="K108" s="43"/>
      <c r="L108" s="43" t="s">
        <v>15</v>
      </c>
    </row>
    <row r="109" spans="1:12">
      <c r="A109" s="43">
        <v>108</v>
      </c>
      <c r="B109" s="43">
        <v>1</v>
      </c>
      <c r="C109" s="43">
        <v>3</v>
      </c>
      <c r="D109" s="43" t="s">
        <v>174</v>
      </c>
      <c r="E109" s="43" t="s">
        <v>13</v>
      </c>
      <c r="F109" s="44" t="s">
        <v>27</v>
      </c>
      <c r="G109" s="43">
        <v>0</v>
      </c>
      <c r="H109" s="43">
        <v>0</v>
      </c>
      <c r="I109" s="44">
        <v>312991</v>
      </c>
      <c r="J109" s="43">
        <v>7.775</v>
      </c>
      <c r="K109" s="43"/>
      <c r="L109" s="43" t="s">
        <v>15</v>
      </c>
    </row>
    <row r="110" spans="1:12">
      <c r="A110" s="43">
        <v>109</v>
      </c>
      <c r="B110" s="43">
        <v>0</v>
      </c>
      <c r="C110" s="43">
        <v>3</v>
      </c>
      <c r="D110" s="43" t="s">
        <v>175</v>
      </c>
      <c r="E110" s="43" t="s">
        <v>13</v>
      </c>
      <c r="F110" s="44">
        <v>38</v>
      </c>
      <c r="G110" s="43">
        <v>0</v>
      </c>
      <c r="H110" s="43">
        <v>0</v>
      </c>
      <c r="I110" s="44">
        <v>349249</v>
      </c>
      <c r="J110" s="43">
        <v>7.8958</v>
      </c>
      <c r="K110" s="43"/>
      <c r="L110" s="43" t="s">
        <v>15</v>
      </c>
    </row>
    <row r="111" spans="1:12">
      <c r="A111" s="43">
        <v>110</v>
      </c>
      <c r="B111" s="43">
        <v>1</v>
      </c>
      <c r="C111" s="43">
        <v>3</v>
      </c>
      <c r="D111" s="43" t="s">
        <v>176</v>
      </c>
      <c r="E111" s="43" t="s">
        <v>17</v>
      </c>
      <c r="F111" s="44" t="s">
        <v>27</v>
      </c>
      <c r="G111" s="43">
        <v>1</v>
      </c>
      <c r="H111" s="43">
        <v>0</v>
      </c>
      <c r="I111" s="44">
        <v>371110</v>
      </c>
      <c r="J111" s="43">
        <v>24.15</v>
      </c>
      <c r="K111" s="43"/>
      <c r="L111" s="43" t="s">
        <v>28</v>
      </c>
    </row>
    <row r="112" spans="1:12">
      <c r="A112" s="43">
        <v>111</v>
      </c>
      <c r="B112" s="43">
        <v>0</v>
      </c>
      <c r="C112" s="43">
        <v>1</v>
      </c>
      <c r="D112" s="43" t="s">
        <v>177</v>
      </c>
      <c r="E112" s="43" t="s">
        <v>13</v>
      </c>
      <c r="F112" s="44">
        <v>47</v>
      </c>
      <c r="G112" s="43">
        <v>0</v>
      </c>
      <c r="H112" s="43">
        <v>0</v>
      </c>
      <c r="I112" s="44">
        <v>110465</v>
      </c>
      <c r="J112" s="43">
        <v>52</v>
      </c>
      <c r="K112" s="43" t="s">
        <v>178</v>
      </c>
      <c r="L112" s="43" t="s">
        <v>15</v>
      </c>
    </row>
    <row r="113" spans="1:12">
      <c r="A113" s="43">
        <v>112</v>
      </c>
      <c r="B113" s="43">
        <v>0</v>
      </c>
      <c r="C113" s="43">
        <v>3</v>
      </c>
      <c r="D113" s="43" t="s">
        <v>179</v>
      </c>
      <c r="E113" s="43" t="s">
        <v>17</v>
      </c>
      <c r="F113" s="44">
        <v>14.5</v>
      </c>
      <c r="G113" s="43">
        <v>1</v>
      </c>
      <c r="H113" s="43">
        <v>0</v>
      </c>
      <c r="I113" s="44">
        <v>2665</v>
      </c>
      <c r="J113" s="43">
        <v>14.4542</v>
      </c>
      <c r="K113" s="43"/>
      <c r="L113" s="43" t="s">
        <v>20</v>
      </c>
    </row>
    <row r="114" spans="1:12">
      <c r="A114" s="43">
        <v>113</v>
      </c>
      <c r="B114" s="43">
        <v>0</v>
      </c>
      <c r="C114" s="43">
        <v>3</v>
      </c>
      <c r="D114" s="43" t="s">
        <v>180</v>
      </c>
      <c r="E114" s="43" t="s">
        <v>13</v>
      </c>
      <c r="F114" s="44">
        <v>22</v>
      </c>
      <c r="G114" s="43">
        <v>0</v>
      </c>
      <c r="H114" s="43">
        <v>0</v>
      </c>
      <c r="I114" s="44">
        <v>324669</v>
      </c>
      <c r="J114" s="43">
        <v>8.05</v>
      </c>
      <c r="K114" s="43"/>
      <c r="L114" s="43" t="s">
        <v>15</v>
      </c>
    </row>
    <row r="115" spans="1:12">
      <c r="A115" s="43">
        <v>114</v>
      </c>
      <c r="B115" s="43">
        <v>0</v>
      </c>
      <c r="C115" s="43">
        <v>3</v>
      </c>
      <c r="D115" s="43" t="s">
        <v>181</v>
      </c>
      <c r="E115" s="43" t="s">
        <v>17</v>
      </c>
      <c r="F115" s="44">
        <v>20</v>
      </c>
      <c r="G115" s="43">
        <v>1</v>
      </c>
      <c r="H115" s="43">
        <v>0</v>
      </c>
      <c r="I115" s="44">
        <v>4136</v>
      </c>
      <c r="J115" s="43">
        <v>9.825</v>
      </c>
      <c r="K115" s="43"/>
      <c r="L115" s="43" t="s">
        <v>15</v>
      </c>
    </row>
    <row r="116" spans="1:12">
      <c r="A116" s="43">
        <v>115</v>
      </c>
      <c r="B116" s="43">
        <v>0</v>
      </c>
      <c r="C116" s="43">
        <v>3</v>
      </c>
      <c r="D116" s="43" t="s">
        <v>182</v>
      </c>
      <c r="E116" s="43" t="s">
        <v>17</v>
      </c>
      <c r="F116" s="44">
        <v>17</v>
      </c>
      <c r="G116" s="43">
        <v>0</v>
      </c>
      <c r="H116" s="43">
        <v>0</v>
      </c>
      <c r="I116" s="44">
        <v>2627</v>
      </c>
      <c r="J116" s="43">
        <v>14.4583</v>
      </c>
      <c r="K116" s="43"/>
      <c r="L116" s="43" t="s">
        <v>20</v>
      </c>
    </row>
    <row r="117" spans="1:12">
      <c r="A117" s="43">
        <v>116</v>
      </c>
      <c r="B117" s="43">
        <v>0</v>
      </c>
      <c r="C117" s="43">
        <v>3</v>
      </c>
      <c r="D117" s="43" t="s">
        <v>183</v>
      </c>
      <c r="E117" s="43" t="s">
        <v>13</v>
      </c>
      <c r="F117" s="44">
        <v>21</v>
      </c>
      <c r="G117" s="43">
        <v>0</v>
      </c>
      <c r="H117" s="43">
        <v>0</v>
      </c>
      <c r="I117" s="44" t="s">
        <v>184</v>
      </c>
      <c r="J117" s="43">
        <v>7.925</v>
      </c>
      <c r="K117" s="43"/>
      <c r="L117" s="43" t="s">
        <v>15</v>
      </c>
    </row>
    <row r="118" spans="1:12">
      <c r="A118" s="43">
        <v>117</v>
      </c>
      <c r="B118" s="43">
        <v>0</v>
      </c>
      <c r="C118" s="43">
        <v>3</v>
      </c>
      <c r="D118" s="43" t="s">
        <v>185</v>
      </c>
      <c r="E118" s="43" t="s">
        <v>13</v>
      </c>
      <c r="F118" s="44">
        <v>70.5</v>
      </c>
      <c r="G118" s="43">
        <v>0</v>
      </c>
      <c r="H118" s="43">
        <v>0</v>
      </c>
      <c r="I118" s="44">
        <v>370369</v>
      </c>
      <c r="J118" s="43">
        <v>7.75</v>
      </c>
      <c r="K118" s="43"/>
      <c r="L118" s="43" t="s">
        <v>28</v>
      </c>
    </row>
    <row r="119" spans="1:12">
      <c r="A119" s="43">
        <v>118</v>
      </c>
      <c r="B119" s="43">
        <v>0</v>
      </c>
      <c r="C119" s="43">
        <v>2</v>
      </c>
      <c r="D119" s="43" t="s">
        <v>186</v>
      </c>
      <c r="E119" s="43" t="s">
        <v>13</v>
      </c>
      <c r="F119" s="44">
        <v>29</v>
      </c>
      <c r="G119" s="43">
        <v>1</v>
      </c>
      <c r="H119" s="43">
        <v>0</v>
      </c>
      <c r="I119" s="44">
        <v>11668</v>
      </c>
      <c r="J119" s="43">
        <v>21</v>
      </c>
      <c r="K119" s="43"/>
      <c r="L119" s="43" t="s">
        <v>15</v>
      </c>
    </row>
    <row r="120" spans="1:12">
      <c r="A120" s="43">
        <v>119</v>
      </c>
      <c r="B120" s="43">
        <v>0</v>
      </c>
      <c r="C120" s="43">
        <v>1</v>
      </c>
      <c r="D120" s="43" t="s">
        <v>187</v>
      </c>
      <c r="E120" s="43" t="s">
        <v>13</v>
      </c>
      <c r="F120" s="44">
        <v>24</v>
      </c>
      <c r="G120" s="43">
        <v>0</v>
      </c>
      <c r="H120" s="43">
        <v>1</v>
      </c>
      <c r="I120" s="44" t="s">
        <v>188</v>
      </c>
      <c r="J120" s="43">
        <v>247.5208</v>
      </c>
      <c r="K120" s="43" t="s">
        <v>189</v>
      </c>
      <c r="L120" s="43" t="s">
        <v>20</v>
      </c>
    </row>
    <row r="121" spans="1:12">
      <c r="A121" s="43">
        <v>120</v>
      </c>
      <c r="B121" s="43">
        <v>0</v>
      </c>
      <c r="C121" s="43">
        <v>3</v>
      </c>
      <c r="D121" s="43" t="s">
        <v>190</v>
      </c>
      <c r="E121" s="43" t="s">
        <v>17</v>
      </c>
      <c r="F121" s="44">
        <v>2</v>
      </c>
      <c r="G121" s="43">
        <v>4</v>
      </c>
      <c r="H121" s="43">
        <v>2</v>
      </c>
      <c r="I121" s="44">
        <v>347082</v>
      </c>
      <c r="J121" s="43">
        <v>31.275</v>
      </c>
      <c r="K121" s="43"/>
      <c r="L121" s="43" t="s">
        <v>15</v>
      </c>
    </row>
    <row r="122" spans="1:12">
      <c r="A122" s="43">
        <v>121</v>
      </c>
      <c r="B122" s="43">
        <v>0</v>
      </c>
      <c r="C122" s="43">
        <v>2</v>
      </c>
      <c r="D122" s="43" t="s">
        <v>191</v>
      </c>
      <c r="E122" s="43" t="s">
        <v>13</v>
      </c>
      <c r="F122" s="44">
        <v>21</v>
      </c>
      <c r="G122" s="43">
        <v>2</v>
      </c>
      <c r="H122" s="43">
        <v>0</v>
      </c>
      <c r="I122" s="44" t="s">
        <v>127</v>
      </c>
      <c r="J122" s="43">
        <v>73.5</v>
      </c>
      <c r="K122" s="43"/>
      <c r="L122" s="43" t="s">
        <v>15</v>
      </c>
    </row>
    <row r="123" spans="1:12">
      <c r="A123" s="43">
        <v>122</v>
      </c>
      <c r="B123" s="43">
        <v>0</v>
      </c>
      <c r="C123" s="43">
        <v>3</v>
      </c>
      <c r="D123" s="43" t="s">
        <v>192</v>
      </c>
      <c r="E123" s="43" t="s">
        <v>13</v>
      </c>
      <c r="F123" s="44" t="s">
        <v>27</v>
      </c>
      <c r="G123" s="43">
        <v>0</v>
      </c>
      <c r="H123" s="43">
        <v>0</v>
      </c>
      <c r="I123" s="44" t="s">
        <v>193</v>
      </c>
      <c r="J123" s="43">
        <v>8.05</v>
      </c>
      <c r="K123" s="43"/>
      <c r="L123" s="43" t="s">
        <v>15</v>
      </c>
    </row>
    <row r="124" spans="1:12">
      <c r="A124" s="43">
        <v>123</v>
      </c>
      <c r="B124" s="43">
        <v>0</v>
      </c>
      <c r="C124" s="43">
        <v>2</v>
      </c>
      <c r="D124" s="43" t="s">
        <v>194</v>
      </c>
      <c r="E124" s="43" t="s">
        <v>13</v>
      </c>
      <c r="F124" s="44">
        <v>32.5</v>
      </c>
      <c r="G124" s="43">
        <v>1</v>
      </c>
      <c r="H124" s="43">
        <v>0</v>
      </c>
      <c r="I124" s="44">
        <v>237736</v>
      </c>
      <c r="J124" s="43">
        <v>30.0708</v>
      </c>
      <c r="K124" s="43"/>
      <c r="L124" s="43" t="s">
        <v>20</v>
      </c>
    </row>
    <row r="125" spans="1:12">
      <c r="A125" s="43">
        <v>124</v>
      </c>
      <c r="B125" s="43">
        <v>1</v>
      </c>
      <c r="C125" s="43">
        <v>2</v>
      </c>
      <c r="D125" s="43" t="s">
        <v>195</v>
      </c>
      <c r="E125" s="43" t="s">
        <v>17</v>
      </c>
      <c r="F125" s="44">
        <v>32.5</v>
      </c>
      <c r="G125" s="43">
        <v>0</v>
      </c>
      <c r="H125" s="43">
        <v>0</v>
      </c>
      <c r="I125" s="44">
        <v>27267</v>
      </c>
      <c r="J125" s="43">
        <v>13</v>
      </c>
      <c r="K125" s="43" t="s">
        <v>196</v>
      </c>
      <c r="L125" s="43" t="s">
        <v>15</v>
      </c>
    </row>
    <row r="126" spans="1:12">
      <c r="A126" s="43">
        <v>125</v>
      </c>
      <c r="B126" s="43">
        <v>0</v>
      </c>
      <c r="C126" s="43">
        <v>1</v>
      </c>
      <c r="D126" s="43" t="s">
        <v>197</v>
      </c>
      <c r="E126" s="43" t="s">
        <v>13</v>
      </c>
      <c r="F126" s="44">
        <v>54</v>
      </c>
      <c r="G126" s="43">
        <v>0</v>
      </c>
      <c r="H126" s="43">
        <v>1</v>
      </c>
      <c r="I126" s="44">
        <v>35281</v>
      </c>
      <c r="J126" s="43">
        <v>77.2875</v>
      </c>
      <c r="K126" s="43" t="s">
        <v>169</v>
      </c>
      <c r="L126" s="43" t="s">
        <v>15</v>
      </c>
    </row>
    <row r="127" spans="1:12">
      <c r="A127" s="43">
        <v>126</v>
      </c>
      <c r="B127" s="43">
        <v>1</v>
      </c>
      <c r="C127" s="43">
        <v>3</v>
      </c>
      <c r="D127" s="43" t="s">
        <v>198</v>
      </c>
      <c r="E127" s="43" t="s">
        <v>13</v>
      </c>
      <c r="F127" s="44">
        <v>12</v>
      </c>
      <c r="G127" s="43">
        <v>1</v>
      </c>
      <c r="H127" s="43">
        <v>0</v>
      </c>
      <c r="I127" s="44">
        <v>2651</v>
      </c>
      <c r="J127" s="43">
        <v>11.2417</v>
      </c>
      <c r="K127" s="43"/>
      <c r="L127" s="43" t="s">
        <v>20</v>
      </c>
    </row>
    <row r="128" spans="1:12">
      <c r="A128" s="43">
        <v>127</v>
      </c>
      <c r="B128" s="43">
        <v>0</v>
      </c>
      <c r="C128" s="43">
        <v>3</v>
      </c>
      <c r="D128" s="43" t="s">
        <v>199</v>
      </c>
      <c r="E128" s="43" t="s">
        <v>13</v>
      </c>
      <c r="F128" s="44" t="s">
        <v>27</v>
      </c>
      <c r="G128" s="43">
        <v>0</v>
      </c>
      <c r="H128" s="43">
        <v>0</v>
      </c>
      <c r="I128" s="44">
        <v>370372</v>
      </c>
      <c r="J128" s="43">
        <v>7.75</v>
      </c>
      <c r="K128" s="43"/>
      <c r="L128" s="43" t="s">
        <v>28</v>
      </c>
    </row>
    <row r="129" spans="1:12">
      <c r="A129" s="43">
        <v>128</v>
      </c>
      <c r="B129" s="43">
        <v>1</v>
      </c>
      <c r="C129" s="43">
        <v>3</v>
      </c>
      <c r="D129" s="43" t="s">
        <v>200</v>
      </c>
      <c r="E129" s="43" t="s">
        <v>13</v>
      </c>
      <c r="F129" s="44">
        <v>24</v>
      </c>
      <c r="G129" s="43">
        <v>0</v>
      </c>
      <c r="H129" s="43">
        <v>0</v>
      </c>
      <c r="I129" s="44" t="s">
        <v>201</v>
      </c>
      <c r="J129" s="43">
        <v>7.1417</v>
      </c>
      <c r="K129" s="43"/>
      <c r="L129" s="43" t="s">
        <v>15</v>
      </c>
    </row>
    <row r="130" spans="1:12">
      <c r="A130" s="43">
        <v>129</v>
      </c>
      <c r="B130" s="43">
        <v>1</v>
      </c>
      <c r="C130" s="43">
        <v>3</v>
      </c>
      <c r="D130" s="43" t="s">
        <v>202</v>
      </c>
      <c r="E130" s="43" t="s">
        <v>17</v>
      </c>
      <c r="F130" s="44" t="s">
        <v>27</v>
      </c>
      <c r="G130" s="43">
        <v>1</v>
      </c>
      <c r="H130" s="43">
        <v>1</v>
      </c>
      <c r="I130" s="44">
        <v>2668</v>
      </c>
      <c r="J130" s="43">
        <v>22.3583</v>
      </c>
      <c r="K130" s="43" t="s">
        <v>203</v>
      </c>
      <c r="L130" s="43" t="s">
        <v>20</v>
      </c>
    </row>
    <row r="131" spans="1:12">
      <c r="A131" s="43">
        <v>130</v>
      </c>
      <c r="B131" s="43">
        <v>0</v>
      </c>
      <c r="C131" s="43">
        <v>3</v>
      </c>
      <c r="D131" s="43" t="s">
        <v>204</v>
      </c>
      <c r="E131" s="43" t="s">
        <v>13</v>
      </c>
      <c r="F131" s="44">
        <v>45</v>
      </c>
      <c r="G131" s="43">
        <v>0</v>
      </c>
      <c r="H131" s="43">
        <v>0</v>
      </c>
      <c r="I131" s="44">
        <v>347061</v>
      </c>
      <c r="J131" s="43">
        <v>6.975</v>
      </c>
      <c r="K131" s="43"/>
      <c r="L131" s="43" t="s">
        <v>15</v>
      </c>
    </row>
    <row r="132" spans="1:12">
      <c r="A132" s="43">
        <v>131</v>
      </c>
      <c r="B132" s="43">
        <v>0</v>
      </c>
      <c r="C132" s="43">
        <v>3</v>
      </c>
      <c r="D132" s="43" t="s">
        <v>205</v>
      </c>
      <c r="E132" s="43" t="s">
        <v>13</v>
      </c>
      <c r="F132" s="44">
        <v>33</v>
      </c>
      <c r="G132" s="43">
        <v>0</v>
      </c>
      <c r="H132" s="43">
        <v>0</v>
      </c>
      <c r="I132" s="44">
        <v>349241</v>
      </c>
      <c r="J132" s="43">
        <v>7.8958</v>
      </c>
      <c r="K132" s="43"/>
      <c r="L132" s="43" t="s">
        <v>20</v>
      </c>
    </row>
    <row r="133" spans="1:12">
      <c r="A133" s="43">
        <v>132</v>
      </c>
      <c r="B133" s="43">
        <v>0</v>
      </c>
      <c r="C133" s="43">
        <v>3</v>
      </c>
      <c r="D133" s="43" t="s">
        <v>206</v>
      </c>
      <c r="E133" s="43" t="s">
        <v>13</v>
      </c>
      <c r="F133" s="44">
        <v>20</v>
      </c>
      <c r="G133" s="43">
        <v>0</v>
      </c>
      <c r="H133" s="43">
        <v>0</v>
      </c>
      <c r="I133" s="44" t="s">
        <v>207</v>
      </c>
      <c r="J133" s="43">
        <v>7.05</v>
      </c>
      <c r="K133" s="43"/>
      <c r="L133" s="43" t="s">
        <v>15</v>
      </c>
    </row>
    <row r="134" spans="1:12">
      <c r="A134" s="43">
        <v>133</v>
      </c>
      <c r="B134" s="43">
        <v>0</v>
      </c>
      <c r="C134" s="43">
        <v>3</v>
      </c>
      <c r="D134" s="43" t="s">
        <v>208</v>
      </c>
      <c r="E134" s="43" t="s">
        <v>17</v>
      </c>
      <c r="F134" s="44">
        <v>47</v>
      </c>
      <c r="G134" s="43">
        <v>1</v>
      </c>
      <c r="H134" s="43">
        <v>0</v>
      </c>
      <c r="I134" s="44" t="s">
        <v>209</v>
      </c>
      <c r="J134" s="43">
        <v>14.5</v>
      </c>
      <c r="K134" s="43"/>
      <c r="L134" s="43" t="s">
        <v>15</v>
      </c>
    </row>
    <row r="135" spans="1:12">
      <c r="A135" s="43">
        <v>134</v>
      </c>
      <c r="B135" s="43">
        <v>1</v>
      </c>
      <c r="C135" s="43">
        <v>2</v>
      </c>
      <c r="D135" s="43" t="s">
        <v>210</v>
      </c>
      <c r="E135" s="43" t="s">
        <v>17</v>
      </c>
      <c r="F135" s="44">
        <v>29</v>
      </c>
      <c r="G135" s="43">
        <v>1</v>
      </c>
      <c r="H135" s="43">
        <v>0</v>
      </c>
      <c r="I135" s="44">
        <v>228414</v>
      </c>
      <c r="J135" s="43">
        <v>26</v>
      </c>
      <c r="K135" s="43"/>
      <c r="L135" s="43" t="s">
        <v>15</v>
      </c>
    </row>
    <row r="136" spans="1:12">
      <c r="A136" s="43">
        <v>135</v>
      </c>
      <c r="B136" s="43">
        <v>0</v>
      </c>
      <c r="C136" s="43">
        <v>2</v>
      </c>
      <c r="D136" s="43" t="s">
        <v>211</v>
      </c>
      <c r="E136" s="43" t="s">
        <v>13</v>
      </c>
      <c r="F136" s="44">
        <v>25</v>
      </c>
      <c r="G136" s="43">
        <v>0</v>
      </c>
      <c r="H136" s="43">
        <v>0</v>
      </c>
      <c r="I136" s="44" t="s">
        <v>212</v>
      </c>
      <c r="J136" s="43">
        <v>13</v>
      </c>
      <c r="K136" s="43"/>
      <c r="L136" s="43" t="s">
        <v>15</v>
      </c>
    </row>
    <row r="137" spans="1:12">
      <c r="A137" s="43">
        <v>136</v>
      </c>
      <c r="B137" s="43">
        <v>0</v>
      </c>
      <c r="C137" s="43">
        <v>2</v>
      </c>
      <c r="D137" s="43" t="s">
        <v>213</v>
      </c>
      <c r="E137" s="43" t="s">
        <v>13</v>
      </c>
      <c r="F137" s="44">
        <v>23</v>
      </c>
      <c r="G137" s="43">
        <v>0</v>
      </c>
      <c r="H137" s="43">
        <v>0</v>
      </c>
      <c r="I137" s="44" t="s">
        <v>214</v>
      </c>
      <c r="J137" s="43">
        <v>15.0458</v>
      </c>
      <c r="K137" s="43"/>
      <c r="L137" s="43" t="s">
        <v>20</v>
      </c>
    </row>
    <row r="138" spans="1:12">
      <c r="A138" s="43">
        <v>137</v>
      </c>
      <c r="B138" s="43">
        <v>1</v>
      </c>
      <c r="C138" s="43">
        <v>1</v>
      </c>
      <c r="D138" s="43" t="s">
        <v>215</v>
      </c>
      <c r="E138" s="43" t="s">
        <v>17</v>
      </c>
      <c r="F138" s="44">
        <v>19</v>
      </c>
      <c r="G138" s="43">
        <v>0</v>
      </c>
      <c r="H138" s="43">
        <v>2</v>
      </c>
      <c r="I138" s="44">
        <v>11752</v>
      </c>
      <c r="J138" s="43">
        <v>26.2833</v>
      </c>
      <c r="K138" s="43" t="s">
        <v>216</v>
      </c>
      <c r="L138" s="43" t="s">
        <v>15</v>
      </c>
    </row>
    <row r="139" spans="1:12">
      <c r="A139" s="43">
        <v>138</v>
      </c>
      <c r="B139" s="43">
        <v>0</v>
      </c>
      <c r="C139" s="43">
        <v>1</v>
      </c>
      <c r="D139" s="43" t="s">
        <v>217</v>
      </c>
      <c r="E139" s="43" t="s">
        <v>13</v>
      </c>
      <c r="F139" s="44">
        <v>37</v>
      </c>
      <c r="G139" s="43">
        <v>1</v>
      </c>
      <c r="H139" s="43">
        <v>0</v>
      </c>
      <c r="I139" s="44">
        <v>113803</v>
      </c>
      <c r="J139" s="43">
        <v>53.1</v>
      </c>
      <c r="K139" s="43" t="s">
        <v>24</v>
      </c>
      <c r="L139" s="43" t="s">
        <v>15</v>
      </c>
    </row>
    <row r="140" spans="1:12">
      <c r="A140" s="43">
        <v>139</v>
      </c>
      <c r="B140" s="43">
        <v>0</v>
      </c>
      <c r="C140" s="43">
        <v>3</v>
      </c>
      <c r="D140" s="43" t="s">
        <v>218</v>
      </c>
      <c r="E140" s="43" t="s">
        <v>13</v>
      </c>
      <c r="F140" s="44">
        <v>16</v>
      </c>
      <c r="G140" s="43">
        <v>0</v>
      </c>
      <c r="H140" s="43">
        <v>0</v>
      </c>
      <c r="I140" s="44">
        <v>7534</v>
      </c>
      <c r="J140" s="43">
        <v>9.2167</v>
      </c>
      <c r="K140" s="43"/>
      <c r="L140" s="43" t="s">
        <v>15</v>
      </c>
    </row>
    <row r="141" spans="1:12">
      <c r="A141" s="43">
        <v>140</v>
      </c>
      <c r="B141" s="43">
        <v>0</v>
      </c>
      <c r="C141" s="43">
        <v>1</v>
      </c>
      <c r="D141" s="43" t="s">
        <v>219</v>
      </c>
      <c r="E141" s="43" t="s">
        <v>13</v>
      </c>
      <c r="F141" s="44">
        <v>24</v>
      </c>
      <c r="G141" s="43">
        <v>0</v>
      </c>
      <c r="H141" s="43">
        <v>0</v>
      </c>
      <c r="I141" s="44" t="s">
        <v>220</v>
      </c>
      <c r="J141" s="43">
        <v>79.2</v>
      </c>
      <c r="K141" s="43" t="s">
        <v>221</v>
      </c>
      <c r="L141" s="43" t="s">
        <v>20</v>
      </c>
    </row>
    <row r="142" spans="1:12">
      <c r="A142" s="43">
        <v>141</v>
      </c>
      <c r="B142" s="43">
        <v>0</v>
      </c>
      <c r="C142" s="43">
        <v>3</v>
      </c>
      <c r="D142" s="43" t="s">
        <v>222</v>
      </c>
      <c r="E142" s="43" t="s">
        <v>17</v>
      </c>
      <c r="F142" s="44" t="s">
        <v>27</v>
      </c>
      <c r="G142" s="43">
        <v>0</v>
      </c>
      <c r="H142" s="43">
        <v>2</v>
      </c>
      <c r="I142" s="44">
        <v>2678</v>
      </c>
      <c r="J142" s="43">
        <v>15.2458</v>
      </c>
      <c r="K142" s="43"/>
      <c r="L142" s="43" t="s">
        <v>20</v>
      </c>
    </row>
    <row r="143" spans="1:12">
      <c r="A143" s="43">
        <v>142</v>
      </c>
      <c r="B143" s="43">
        <v>1</v>
      </c>
      <c r="C143" s="43">
        <v>3</v>
      </c>
      <c r="D143" s="43" t="s">
        <v>223</v>
      </c>
      <c r="E143" s="43" t="s">
        <v>17</v>
      </c>
      <c r="F143" s="44">
        <v>22</v>
      </c>
      <c r="G143" s="43">
        <v>0</v>
      </c>
      <c r="H143" s="43">
        <v>0</v>
      </c>
      <c r="I143" s="44">
        <v>347081</v>
      </c>
      <c r="J143" s="43">
        <v>7.75</v>
      </c>
      <c r="K143" s="43"/>
      <c r="L143" s="43" t="s">
        <v>15</v>
      </c>
    </row>
    <row r="144" spans="1:12">
      <c r="A144" s="43">
        <v>143</v>
      </c>
      <c r="B144" s="43">
        <v>1</v>
      </c>
      <c r="C144" s="43">
        <v>3</v>
      </c>
      <c r="D144" s="43" t="s">
        <v>224</v>
      </c>
      <c r="E144" s="43" t="s">
        <v>17</v>
      </c>
      <c r="F144" s="44">
        <v>24</v>
      </c>
      <c r="G144" s="43">
        <v>1</v>
      </c>
      <c r="H144" s="43">
        <v>0</v>
      </c>
      <c r="I144" s="44" t="s">
        <v>225</v>
      </c>
      <c r="J144" s="43">
        <v>15.85</v>
      </c>
      <c r="K144" s="43"/>
      <c r="L144" s="43" t="s">
        <v>15</v>
      </c>
    </row>
    <row r="145" spans="1:12">
      <c r="A145" s="43">
        <v>144</v>
      </c>
      <c r="B145" s="43">
        <v>0</v>
      </c>
      <c r="C145" s="43">
        <v>3</v>
      </c>
      <c r="D145" s="43" t="s">
        <v>226</v>
      </c>
      <c r="E145" s="43" t="s">
        <v>13</v>
      </c>
      <c r="F145" s="44">
        <v>19</v>
      </c>
      <c r="G145" s="43">
        <v>0</v>
      </c>
      <c r="H145" s="43">
        <v>0</v>
      </c>
      <c r="I145" s="44">
        <v>365222</v>
      </c>
      <c r="J145" s="43">
        <v>6.75</v>
      </c>
      <c r="K145" s="43"/>
      <c r="L145" s="43" t="s">
        <v>28</v>
      </c>
    </row>
    <row r="146" spans="1:12">
      <c r="A146" s="43">
        <v>145</v>
      </c>
      <c r="B146" s="43">
        <v>0</v>
      </c>
      <c r="C146" s="43">
        <v>2</v>
      </c>
      <c r="D146" s="43" t="s">
        <v>227</v>
      </c>
      <c r="E146" s="43" t="s">
        <v>13</v>
      </c>
      <c r="F146" s="44">
        <v>18</v>
      </c>
      <c r="G146" s="43">
        <v>0</v>
      </c>
      <c r="H146" s="43">
        <v>0</v>
      </c>
      <c r="I146" s="44">
        <v>231945</v>
      </c>
      <c r="J146" s="43">
        <v>11.5</v>
      </c>
      <c r="K146" s="43"/>
      <c r="L146" s="43" t="s">
        <v>15</v>
      </c>
    </row>
    <row r="147" spans="1:12">
      <c r="A147" s="43">
        <v>146</v>
      </c>
      <c r="B147" s="43">
        <v>0</v>
      </c>
      <c r="C147" s="43">
        <v>2</v>
      </c>
      <c r="D147" s="43" t="s">
        <v>228</v>
      </c>
      <c r="E147" s="43" t="s">
        <v>13</v>
      </c>
      <c r="F147" s="44">
        <v>19</v>
      </c>
      <c r="G147" s="43">
        <v>1</v>
      </c>
      <c r="H147" s="43">
        <v>1</v>
      </c>
      <c r="I147" s="44" t="s">
        <v>229</v>
      </c>
      <c r="J147" s="43">
        <v>36.75</v>
      </c>
      <c r="K147" s="43"/>
      <c r="L147" s="43" t="s">
        <v>15</v>
      </c>
    </row>
    <row r="148" spans="1:12">
      <c r="A148" s="43">
        <v>147</v>
      </c>
      <c r="B148" s="43">
        <v>1</v>
      </c>
      <c r="C148" s="43">
        <v>3</v>
      </c>
      <c r="D148" s="43" t="s">
        <v>230</v>
      </c>
      <c r="E148" s="43" t="s">
        <v>13</v>
      </c>
      <c r="F148" s="44">
        <v>27</v>
      </c>
      <c r="G148" s="43">
        <v>0</v>
      </c>
      <c r="H148" s="43">
        <v>0</v>
      </c>
      <c r="I148" s="44">
        <v>350043</v>
      </c>
      <c r="J148" s="43">
        <v>7.7958</v>
      </c>
      <c r="K148" s="43"/>
      <c r="L148" s="43" t="s">
        <v>15</v>
      </c>
    </row>
    <row r="149" spans="1:12">
      <c r="A149" s="43">
        <v>148</v>
      </c>
      <c r="B149" s="43">
        <v>0</v>
      </c>
      <c r="C149" s="43">
        <v>3</v>
      </c>
      <c r="D149" s="43" t="s">
        <v>231</v>
      </c>
      <c r="E149" s="43" t="s">
        <v>17</v>
      </c>
      <c r="F149" s="44">
        <v>9</v>
      </c>
      <c r="G149" s="43">
        <v>2</v>
      </c>
      <c r="H149" s="43">
        <v>2</v>
      </c>
      <c r="I149" s="44" t="s">
        <v>144</v>
      </c>
      <c r="J149" s="43">
        <v>34.375</v>
      </c>
      <c r="K149" s="43"/>
      <c r="L149" s="43" t="s">
        <v>15</v>
      </c>
    </row>
    <row r="150" spans="1:12">
      <c r="A150" s="43">
        <v>149</v>
      </c>
      <c r="B150" s="43">
        <v>0</v>
      </c>
      <c r="C150" s="43">
        <v>2</v>
      </c>
      <c r="D150" s="43" t="s">
        <v>232</v>
      </c>
      <c r="E150" s="43" t="s">
        <v>13</v>
      </c>
      <c r="F150" s="44">
        <v>36.5</v>
      </c>
      <c r="G150" s="43">
        <v>0</v>
      </c>
      <c r="H150" s="43">
        <v>2</v>
      </c>
      <c r="I150" s="44">
        <v>230080</v>
      </c>
      <c r="J150" s="43">
        <v>26</v>
      </c>
      <c r="K150" s="43" t="s">
        <v>233</v>
      </c>
      <c r="L150" s="43" t="s">
        <v>15</v>
      </c>
    </row>
    <row r="151" spans="1:12">
      <c r="A151" s="43">
        <v>150</v>
      </c>
      <c r="B151" s="43">
        <v>0</v>
      </c>
      <c r="C151" s="43">
        <v>2</v>
      </c>
      <c r="D151" s="43" t="s">
        <v>234</v>
      </c>
      <c r="E151" s="43" t="s">
        <v>13</v>
      </c>
      <c r="F151" s="44">
        <v>42</v>
      </c>
      <c r="G151" s="43">
        <v>0</v>
      </c>
      <c r="H151" s="43">
        <v>0</v>
      </c>
      <c r="I151" s="44">
        <v>244310</v>
      </c>
      <c r="J151" s="43">
        <v>13</v>
      </c>
      <c r="K151" s="43"/>
      <c r="L151" s="43" t="s">
        <v>15</v>
      </c>
    </row>
    <row r="152" spans="1:12">
      <c r="A152" s="43">
        <v>151</v>
      </c>
      <c r="B152" s="43">
        <v>0</v>
      </c>
      <c r="C152" s="43">
        <v>2</v>
      </c>
      <c r="D152" s="43" t="s">
        <v>235</v>
      </c>
      <c r="E152" s="43" t="s">
        <v>13</v>
      </c>
      <c r="F152" s="44">
        <v>51</v>
      </c>
      <c r="G152" s="43">
        <v>0</v>
      </c>
      <c r="H152" s="43">
        <v>0</v>
      </c>
      <c r="I152" s="44" t="s">
        <v>236</v>
      </c>
      <c r="J152" s="43">
        <v>12.525</v>
      </c>
      <c r="K152" s="43"/>
      <c r="L152" s="43" t="s">
        <v>15</v>
      </c>
    </row>
    <row r="153" spans="1:12">
      <c r="A153" s="43">
        <v>152</v>
      </c>
      <c r="B153" s="43">
        <v>1</v>
      </c>
      <c r="C153" s="43">
        <v>1</v>
      </c>
      <c r="D153" s="43" t="s">
        <v>237</v>
      </c>
      <c r="E153" s="43" t="s">
        <v>17</v>
      </c>
      <c r="F153" s="44">
        <v>22</v>
      </c>
      <c r="G153" s="43">
        <v>1</v>
      </c>
      <c r="H153" s="43">
        <v>0</v>
      </c>
      <c r="I153" s="44">
        <v>113776</v>
      </c>
      <c r="J153" s="43">
        <v>66.6</v>
      </c>
      <c r="K153" s="43" t="s">
        <v>238</v>
      </c>
      <c r="L153" s="43" t="s">
        <v>15</v>
      </c>
    </row>
    <row r="154" spans="1:12">
      <c r="A154" s="43">
        <v>153</v>
      </c>
      <c r="B154" s="43">
        <v>0</v>
      </c>
      <c r="C154" s="43">
        <v>3</v>
      </c>
      <c r="D154" s="43" t="s">
        <v>239</v>
      </c>
      <c r="E154" s="43" t="s">
        <v>13</v>
      </c>
      <c r="F154" s="44">
        <v>55.5</v>
      </c>
      <c r="G154" s="43">
        <v>0</v>
      </c>
      <c r="H154" s="43">
        <v>0</v>
      </c>
      <c r="I154" s="44" t="s">
        <v>240</v>
      </c>
      <c r="J154" s="43">
        <v>8.05</v>
      </c>
      <c r="K154" s="43"/>
      <c r="L154" s="43" t="s">
        <v>15</v>
      </c>
    </row>
    <row r="155" spans="1:12">
      <c r="A155" s="43">
        <v>154</v>
      </c>
      <c r="B155" s="43">
        <v>0</v>
      </c>
      <c r="C155" s="43">
        <v>3</v>
      </c>
      <c r="D155" s="43" t="s">
        <v>241</v>
      </c>
      <c r="E155" s="43" t="s">
        <v>13</v>
      </c>
      <c r="F155" s="44">
        <v>40.5</v>
      </c>
      <c r="G155" s="43">
        <v>0</v>
      </c>
      <c r="H155" s="43">
        <v>2</v>
      </c>
      <c r="I155" s="44" t="s">
        <v>242</v>
      </c>
      <c r="J155" s="43">
        <v>14.5</v>
      </c>
      <c r="K155" s="43"/>
      <c r="L155" s="43" t="s">
        <v>15</v>
      </c>
    </row>
    <row r="156" spans="1:12">
      <c r="A156" s="43">
        <v>155</v>
      </c>
      <c r="B156" s="43">
        <v>0</v>
      </c>
      <c r="C156" s="43">
        <v>3</v>
      </c>
      <c r="D156" s="43" t="s">
        <v>243</v>
      </c>
      <c r="E156" s="43" t="s">
        <v>13</v>
      </c>
      <c r="F156" s="44" t="s">
        <v>27</v>
      </c>
      <c r="G156" s="43">
        <v>0</v>
      </c>
      <c r="H156" s="43">
        <v>0</v>
      </c>
      <c r="I156" s="44" t="s">
        <v>244</v>
      </c>
      <c r="J156" s="43">
        <v>7.3125</v>
      </c>
      <c r="K156" s="43"/>
      <c r="L156" s="43" t="s">
        <v>15</v>
      </c>
    </row>
    <row r="157" spans="1:12">
      <c r="A157" s="43">
        <v>156</v>
      </c>
      <c r="B157" s="43">
        <v>0</v>
      </c>
      <c r="C157" s="43">
        <v>1</v>
      </c>
      <c r="D157" s="43" t="s">
        <v>245</v>
      </c>
      <c r="E157" s="43" t="s">
        <v>13</v>
      </c>
      <c r="F157" s="44">
        <v>51</v>
      </c>
      <c r="G157" s="43">
        <v>0</v>
      </c>
      <c r="H157" s="43">
        <v>1</v>
      </c>
      <c r="I157" s="44" t="s">
        <v>246</v>
      </c>
      <c r="J157" s="43">
        <v>61.3792</v>
      </c>
      <c r="K157" s="43"/>
      <c r="L157" s="43" t="s">
        <v>20</v>
      </c>
    </row>
    <row r="158" spans="1:12">
      <c r="A158" s="43">
        <v>157</v>
      </c>
      <c r="B158" s="43">
        <v>1</v>
      </c>
      <c r="C158" s="43">
        <v>3</v>
      </c>
      <c r="D158" s="43" t="s">
        <v>247</v>
      </c>
      <c r="E158" s="43" t="s">
        <v>17</v>
      </c>
      <c r="F158" s="44">
        <v>16</v>
      </c>
      <c r="G158" s="43">
        <v>0</v>
      </c>
      <c r="H158" s="43">
        <v>0</v>
      </c>
      <c r="I158" s="44">
        <v>35851</v>
      </c>
      <c r="J158" s="43">
        <v>7.7333</v>
      </c>
      <c r="K158" s="43"/>
      <c r="L158" s="43" t="s">
        <v>28</v>
      </c>
    </row>
    <row r="159" spans="1:12">
      <c r="A159" s="43">
        <v>158</v>
      </c>
      <c r="B159" s="43">
        <v>0</v>
      </c>
      <c r="C159" s="43">
        <v>3</v>
      </c>
      <c r="D159" s="43" t="s">
        <v>248</v>
      </c>
      <c r="E159" s="43" t="s">
        <v>13</v>
      </c>
      <c r="F159" s="44">
        <v>30</v>
      </c>
      <c r="G159" s="43">
        <v>0</v>
      </c>
      <c r="H159" s="43">
        <v>0</v>
      </c>
      <c r="I159" s="44" t="s">
        <v>249</v>
      </c>
      <c r="J159" s="43">
        <v>8.05</v>
      </c>
      <c r="K159" s="43"/>
      <c r="L159" s="43" t="s">
        <v>15</v>
      </c>
    </row>
    <row r="160" spans="1:12">
      <c r="A160" s="43">
        <v>159</v>
      </c>
      <c r="B160" s="43">
        <v>0</v>
      </c>
      <c r="C160" s="43">
        <v>3</v>
      </c>
      <c r="D160" s="43" t="s">
        <v>250</v>
      </c>
      <c r="E160" s="43" t="s">
        <v>13</v>
      </c>
      <c r="F160" s="44" t="s">
        <v>27</v>
      </c>
      <c r="G160" s="43">
        <v>0</v>
      </c>
      <c r="H160" s="43">
        <v>0</v>
      </c>
      <c r="I160" s="44">
        <v>315037</v>
      </c>
      <c r="J160" s="43">
        <v>8.6625</v>
      </c>
      <c r="K160" s="43"/>
      <c r="L160" s="43" t="s">
        <v>15</v>
      </c>
    </row>
    <row r="161" spans="1:12">
      <c r="A161" s="43">
        <v>160</v>
      </c>
      <c r="B161" s="43">
        <v>0</v>
      </c>
      <c r="C161" s="43">
        <v>3</v>
      </c>
      <c r="D161" s="43" t="s">
        <v>251</v>
      </c>
      <c r="E161" s="43" t="s">
        <v>13</v>
      </c>
      <c r="F161" s="44" t="s">
        <v>27</v>
      </c>
      <c r="G161" s="43">
        <v>8</v>
      </c>
      <c r="H161" s="43">
        <v>2</v>
      </c>
      <c r="I161" s="44" t="s">
        <v>252</v>
      </c>
      <c r="J161" s="43">
        <v>69.55</v>
      </c>
      <c r="K161" s="43"/>
      <c r="L161" s="43" t="s">
        <v>15</v>
      </c>
    </row>
    <row r="162" spans="1:12">
      <c r="A162" s="43">
        <v>161</v>
      </c>
      <c r="B162" s="43">
        <v>0</v>
      </c>
      <c r="C162" s="43">
        <v>3</v>
      </c>
      <c r="D162" s="43" t="s">
        <v>253</v>
      </c>
      <c r="E162" s="43" t="s">
        <v>13</v>
      </c>
      <c r="F162" s="44">
        <v>44</v>
      </c>
      <c r="G162" s="43">
        <v>0</v>
      </c>
      <c r="H162" s="43">
        <v>1</v>
      </c>
      <c r="I162" s="44">
        <v>371362</v>
      </c>
      <c r="J162" s="43">
        <v>16.1</v>
      </c>
      <c r="K162" s="43"/>
      <c r="L162" s="43" t="s">
        <v>15</v>
      </c>
    </row>
    <row r="163" spans="1:12">
      <c r="A163" s="43">
        <v>162</v>
      </c>
      <c r="B163" s="43">
        <v>1</v>
      </c>
      <c r="C163" s="43">
        <v>2</v>
      </c>
      <c r="D163" s="43" t="s">
        <v>254</v>
      </c>
      <c r="E163" s="43" t="s">
        <v>17</v>
      </c>
      <c r="F163" s="44">
        <v>40</v>
      </c>
      <c r="G163" s="43">
        <v>0</v>
      </c>
      <c r="H163" s="43">
        <v>0</v>
      </c>
      <c r="I163" s="44" t="s">
        <v>255</v>
      </c>
      <c r="J163" s="43">
        <v>15.75</v>
      </c>
      <c r="K163" s="43"/>
      <c r="L163" s="43" t="s">
        <v>15</v>
      </c>
    </row>
    <row r="164" spans="1:12">
      <c r="A164" s="43">
        <v>163</v>
      </c>
      <c r="B164" s="43">
        <v>0</v>
      </c>
      <c r="C164" s="43">
        <v>3</v>
      </c>
      <c r="D164" s="43" t="s">
        <v>256</v>
      </c>
      <c r="E164" s="43" t="s">
        <v>13</v>
      </c>
      <c r="F164" s="44">
        <v>26</v>
      </c>
      <c r="G164" s="43">
        <v>0</v>
      </c>
      <c r="H164" s="43">
        <v>0</v>
      </c>
      <c r="I164" s="44">
        <v>347068</v>
      </c>
      <c r="J164" s="43">
        <v>7.775</v>
      </c>
      <c r="K164" s="43"/>
      <c r="L164" s="43" t="s">
        <v>15</v>
      </c>
    </row>
    <row r="165" spans="1:12">
      <c r="A165" s="43">
        <v>164</v>
      </c>
      <c r="B165" s="43">
        <v>0</v>
      </c>
      <c r="C165" s="43">
        <v>3</v>
      </c>
      <c r="D165" s="43" t="s">
        <v>257</v>
      </c>
      <c r="E165" s="43" t="s">
        <v>13</v>
      </c>
      <c r="F165" s="44">
        <v>17</v>
      </c>
      <c r="G165" s="43">
        <v>0</v>
      </c>
      <c r="H165" s="43">
        <v>0</v>
      </c>
      <c r="I165" s="44">
        <v>315093</v>
      </c>
      <c r="J165" s="43">
        <v>8.6625</v>
      </c>
      <c r="K165" s="43"/>
      <c r="L165" s="43" t="s">
        <v>15</v>
      </c>
    </row>
    <row r="166" spans="1:12">
      <c r="A166" s="43">
        <v>165</v>
      </c>
      <c r="B166" s="43">
        <v>0</v>
      </c>
      <c r="C166" s="43">
        <v>3</v>
      </c>
      <c r="D166" s="43" t="s">
        <v>258</v>
      </c>
      <c r="E166" s="43" t="s">
        <v>13</v>
      </c>
      <c r="F166" s="44">
        <v>1</v>
      </c>
      <c r="G166" s="43">
        <v>4</v>
      </c>
      <c r="H166" s="43">
        <v>1</v>
      </c>
      <c r="I166" s="44">
        <v>3101295</v>
      </c>
      <c r="J166" s="43">
        <v>39.6875</v>
      </c>
      <c r="K166" s="43"/>
      <c r="L166" s="43" t="s">
        <v>15</v>
      </c>
    </row>
    <row r="167" spans="1:12">
      <c r="A167" s="43">
        <v>166</v>
      </c>
      <c r="B167" s="43">
        <v>1</v>
      </c>
      <c r="C167" s="43">
        <v>3</v>
      </c>
      <c r="D167" s="43" t="s">
        <v>259</v>
      </c>
      <c r="E167" s="43" t="s">
        <v>13</v>
      </c>
      <c r="F167" s="44">
        <v>9</v>
      </c>
      <c r="G167" s="43">
        <v>0</v>
      </c>
      <c r="H167" s="43">
        <v>2</v>
      </c>
      <c r="I167" s="44">
        <v>363291</v>
      </c>
      <c r="J167" s="43">
        <v>20.525</v>
      </c>
      <c r="K167" s="43"/>
      <c r="L167" s="43" t="s">
        <v>15</v>
      </c>
    </row>
    <row r="168" spans="1:12">
      <c r="A168" s="43">
        <v>167</v>
      </c>
      <c r="B168" s="43">
        <v>1</v>
      </c>
      <c r="C168" s="43">
        <v>1</v>
      </c>
      <c r="D168" s="43" t="s">
        <v>260</v>
      </c>
      <c r="E168" s="43" t="s">
        <v>17</v>
      </c>
      <c r="F168" s="44" t="s">
        <v>27</v>
      </c>
      <c r="G168" s="43">
        <v>0</v>
      </c>
      <c r="H168" s="43">
        <v>1</v>
      </c>
      <c r="I168" s="44">
        <v>113505</v>
      </c>
      <c r="J168" s="43">
        <v>55</v>
      </c>
      <c r="K168" s="43" t="s">
        <v>261</v>
      </c>
      <c r="L168" s="43" t="s">
        <v>15</v>
      </c>
    </row>
    <row r="169" spans="1:12">
      <c r="A169" s="43">
        <v>168</v>
      </c>
      <c r="B169" s="43">
        <v>0</v>
      </c>
      <c r="C169" s="43">
        <v>3</v>
      </c>
      <c r="D169" s="43" t="s">
        <v>262</v>
      </c>
      <c r="E169" s="43" t="s">
        <v>17</v>
      </c>
      <c r="F169" s="44">
        <v>45</v>
      </c>
      <c r="G169" s="43">
        <v>1</v>
      </c>
      <c r="H169" s="43">
        <v>4</v>
      </c>
      <c r="I169" s="44">
        <v>347088</v>
      </c>
      <c r="J169" s="43">
        <v>27.9</v>
      </c>
      <c r="K169" s="43"/>
      <c r="L169" s="43" t="s">
        <v>15</v>
      </c>
    </row>
    <row r="170" spans="1:12">
      <c r="A170" s="43">
        <v>169</v>
      </c>
      <c r="B170" s="43">
        <v>0</v>
      </c>
      <c r="C170" s="43">
        <v>1</v>
      </c>
      <c r="D170" s="43" t="s">
        <v>263</v>
      </c>
      <c r="E170" s="43" t="s">
        <v>13</v>
      </c>
      <c r="F170" s="44" t="s">
        <v>27</v>
      </c>
      <c r="G170" s="43">
        <v>0</v>
      </c>
      <c r="H170" s="43">
        <v>0</v>
      </c>
      <c r="I170" s="44" t="s">
        <v>264</v>
      </c>
      <c r="J170" s="43">
        <v>25.925</v>
      </c>
      <c r="K170" s="43"/>
      <c r="L170" s="43" t="s">
        <v>15</v>
      </c>
    </row>
    <row r="171" spans="1:12">
      <c r="A171" s="43">
        <v>170</v>
      </c>
      <c r="B171" s="43">
        <v>0</v>
      </c>
      <c r="C171" s="43">
        <v>3</v>
      </c>
      <c r="D171" s="43" t="s">
        <v>265</v>
      </c>
      <c r="E171" s="43" t="s">
        <v>13</v>
      </c>
      <c r="F171" s="44">
        <v>28</v>
      </c>
      <c r="G171" s="43">
        <v>0</v>
      </c>
      <c r="H171" s="43">
        <v>0</v>
      </c>
      <c r="I171" s="44">
        <v>1601</v>
      </c>
      <c r="J171" s="43">
        <v>56.4958</v>
      </c>
      <c r="K171" s="43"/>
      <c r="L171" s="43" t="s">
        <v>15</v>
      </c>
    </row>
    <row r="172" spans="1:12">
      <c r="A172" s="43">
        <v>171</v>
      </c>
      <c r="B172" s="43">
        <v>0</v>
      </c>
      <c r="C172" s="43">
        <v>1</v>
      </c>
      <c r="D172" s="43" t="s">
        <v>266</v>
      </c>
      <c r="E172" s="43" t="s">
        <v>13</v>
      </c>
      <c r="F172" s="44">
        <v>61</v>
      </c>
      <c r="G172" s="43">
        <v>0</v>
      </c>
      <c r="H172" s="43">
        <v>0</v>
      </c>
      <c r="I172" s="44">
        <v>111240</v>
      </c>
      <c r="J172" s="43">
        <v>33.5</v>
      </c>
      <c r="K172" s="43" t="s">
        <v>267</v>
      </c>
      <c r="L172" s="43" t="s">
        <v>15</v>
      </c>
    </row>
    <row r="173" spans="1:12">
      <c r="A173" s="43">
        <v>172</v>
      </c>
      <c r="B173" s="43">
        <v>0</v>
      </c>
      <c r="C173" s="43">
        <v>3</v>
      </c>
      <c r="D173" s="43" t="s">
        <v>268</v>
      </c>
      <c r="E173" s="43" t="s">
        <v>13</v>
      </c>
      <c r="F173" s="44">
        <v>4</v>
      </c>
      <c r="G173" s="43">
        <v>4</v>
      </c>
      <c r="H173" s="43">
        <v>1</v>
      </c>
      <c r="I173" s="44">
        <v>382652</v>
      </c>
      <c r="J173" s="43">
        <v>29.125</v>
      </c>
      <c r="K173" s="43"/>
      <c r="L173" s="43" t="s">
        <v>28</v>
      </c>
    </row>
    <row r="174" spans="1:12">
      <c r="A174" s="43">
        <v>173</v>
      </c>
      <c r="B174" s="43">
        <v>1</v>
      </c>
      <c r="C174" s="43">
        <v>3</v>
      </c>
      <c r="D174" s="43" t="s">
        <v>269</v>
      </c>
      <c r="E174" s="43" t="s">
        <v>17</v>
      </c>
      <c r="F174" s="44">
        <v>1</v>
      </c>
      <c r="G174" s="43">
        <v>1</v>
      </c>
      <c r="H174" s="43">
        <v>1</v>
      </c>
      <c r="I174" s="44">
        <v>347742</v>
      </c>
      <c r="J174" s="43">
        <v>11.1333</v>
      </c>
      <c r="K174" s="43"/>
      <c r="L174" s="43" t="s">
        <v>15</v>
      </c>
    </row>
    <row r="175" spans="1:12">
      <c r="A175" s="43">
        <v>174</v>
      </c>
      <c r="B175" s="43">
        <v>0</v>
      </c>
      <c r="C175" s="43">
        <v>3</v>
      </c>
      <c r="D175" s="43" t="s">
        <v>270</v>
      </c>
      <c r="E175" s="43" t="s">
        <v>13</v>
      </c>
      <c r="F175" s="44">
        <v>21</v>
      </c>
      <c r="G175" s="43">
        <v>0</v>
      </c>
      <c r="H175" s="43">
        <v>0</v>
      </c>
      <c r="I175" s="44" t="s">
        <v>271</v>
      </c>
      <c r="J175" s="43">
        <v>7.925</v>
      </c>
      <c r="K175" s="43"/>
      <c r="L175" s="43" t="s">
        <v>15</v>
      </c>
    </row>
    <row r="176" spans="1:12">
      <c r="A176" s="43">
        <v>175</v>
      </c>
      <c r="B176" s="43">
        <v>0</v>
      </c>
      <c r="C176" s="43">
        <v>1</v>
      </c>
      <c r="D176" s="43" t="s">
        <v>272</v>
      </c>
      <c r="E176" s="43" t="s">
        <v>13</v>
      </c>
      <c r="F176" s="44">
        <v>56</v>
      </c>
      <c r="G176" s="43">
        <v>0</v>
      </c>
      <c r="H176" s="43">
        <v>0</v>
      </c>
      <c r="I176" s="44">
        <v>17764</v>
      </c>
      <c r="J176" s="43">
        <v>30.6958</v>
      </c>
      <c r="K176" s="43" t="s">
        <v>273</v>
      </c>
      <c r="L176" s="43" t="s">
        <v>20</v>
      </c>
    </row>
    <row r="177" spans="1:12">
      <c r="A177" s="43">
        <v>176</v>
      </c>
      <c r="B177" s="43">
        <v>0</v>
      </c>
      <c r="C177" s="43">
        <v>3</v>
      </c>
      <c r="D177" s="43" t="s">
        <v>274</v>
      </c>
      <c r="E177" s="43" t="s">
        <v>13</v>
      </c>
      <c r="F177" s="44">
        <v>18</v>
      </c>
      <c r="G177" s="43">
        <v>1</v>
      </c>
      <c r="H177" s="43">
        <v>1</v>
      </c>
      <c r="I177" s="44">
        <v>350404</v>
      </c>
      <c r="J177" s="43">
        <v>7.8542</v>
      </c>
      <c r="K177" s="43"/>
      <c r="L177" s="43" t="s">
        <v>15</v>
      </c>
    </row>
    <row r="178" spans="1:12">
      <c r="A178" s="43">
        <v>177</v>
      </c>
      <c r="B178" s="43">
        <v>0</v>
      </c>
      <c r="C178" s="43">
        <v>3</v>
      </c>
      <c r="D178" s="43" t="s">
        <v>275</v>
      </c>
      <c r="E178" s="43" t="s">
        <v>13</v>
      </c>
      <c r="F178" s="44" t="s">
        <v>27</v>
      </c>
      <c r="G178" s="43">
        <v>3</v>
      </c>
      <c r="H178" s="43">
        <v>1</v>
      </c>
      <c r="I178" s="44">
        <v>4133</v>
      </c>
      <c r="J178" s="43">
        <v>25.4667</v>
      </c>
      <c r="K178" s="43"/>
      <c r="L178" s="43" t="s">
        <v>15</v>
      </c>
    </row>
    <row r="179" spans="1:12">
      <c r="A179" s="43">
        <v>178</v>
      </c>
      <c r="B179" s="43">
        <v>0</v>
      </c>
      <c r="C179" s="43">
        <v>1</v>
      </c>
      <c r="D179" s="43" t="s">
        <v>276</v>
      </c>
      <c r="E179" s="43" t="s">
        <v>17</v>
      </c>
      <c r="F179" s="44">
        <v>50</v>
      </c>
      <c r="G179" s="43">
        <v>0</v>
      </c>
      <c r="H179" s="43">
        <v>0</v>
      </c>
      <c r="I179" s="44" t="s">
        <v>277</v>
      </c>
      <c r="J179" s="43">
        <v>28.7125</v>
      </c>
      <c r="K179" s="43" t="s">
        <v>278</v>
      </c>
      <c r="L179" s="43" t="s">
        <v>20</v>
      </c>
    </row>
    <row r="180" spans="1:12">
      <c r="A180" s="43">
        <v>179</v>
      </c>
      <c r="B180" s="43">
        <v>0</v>
      </c>
      <c r="C180" s="43">
        <v>2</v>
      </c>
      <c r="D180" s="43" t="s">
        <v>279</v>
      </c>
      <c r="E180" s="43" t="s">
        <v>13</v>
      </c>
      <c r="F180" s="44">
        <v>30</v>
      </c>
      <c r="G180" s="43">
        <v>0</v>
      </c>
      <c r="H180" s="43">
        <v>0</v>
      </c>
      <c r="I180" s="44">
        <v>250653</v>
      </c>
      <c r="J180" s="43">
        <v>13</v>
      </c>
      <c r="K180" s="43"/>
      <c r="L180" s="43" t="s">
        <v>15</v>
      </c>
    </row>
    <row r="181" spans="1:12">
      <c r="A181" s="43">
        <v>180</v>
      </c>
      <c r="B181" s="43">
        <v>0</v>
      </c>
      <c r="C181" s="43">
        <v>3</v>
      </c>
      <c r="D181" s="43" t="s">
        <v>280</v>
      </c>
      <c r="E181" s="43" t="s">
        <v>13</v>
      </c>
      <c r="F181" s="44">
        <v>36</v>
      </c>
      <c r="G181" s="43">
        <v>0</v>
      </c>
      <c r="H181" s="43">
        <v>0</v>
      </c>
      <c r="I181" s="44" t="s">
        <v>281</v>
      </c>
      <c r="J181" s="43">
        <v>0</v>
      </c>
      <c r="K181" s="43"/>
      <c r="L181" s="43" t="s">
        <v>15</v>
      </c>
    </row>
    <row r="182" spans="1:12">
      <c r="A182" s="43">
        <v>181</v>
      </c>
      <c r="B182" s="43">
        <v>0</v>
      </c>
      <c r="C182" s="43">
        <v>3</v>
      </c>
      <c r="D182" s="43" t="s">
        <v>282</v>
      </c>
      <c r="E182" s="43" t="s">
        <v>17</v>
      </c>
      <c r="F182" s="44" t="s">
        <v>27</v>
      </c>
      <c r="G182" s="43">
        <v>8</v>
      </c>
      <c r="H182" s="43">
        <v>2</v>
      </c>
      <c r="I182" s="44" t="s">
        <v>252</v>
      </c>
      <c r="J182" s="43">
        <v>69.55</v>
      </c>
      <c r="K182" s="43"/>
      <c r="L182" s="43" t="s">
        <v>15</v>
      </c>
    </row>
    <row r="183" spans="1:12">
      <c r="A183" s="43">
        <v>182</v>
      </c>
      <c r="B183" s="43">
        <v>0</v>
      </c>
      <c r="C183" s="43">
        <v>2</v>
      </c>
      <c r="D183" s="43" t="s">
        <v>283</v>
      </c>
      <c r="E183" s="43" t="s">
        <v>13</v>
      </c>
      <c r="F183" s="44" t="s">
        <v>27</v>
      </c>
      <c r="G183" s="43">
        <v>0</v>
      </c>
      <c r="H183" s="43">
        <v>0</v>
      </c>
      <c r="I183" s="44" t="s">
        <v>284</v>
      </c>
      <c r="J183" s="43">
        <v>15.05</v>
      </c>
      <c r="K183" s="43"/>
      <c r="L183" s="43" t="s">
        <v>20</v>
      </c>
    </row>
    <row r="184" spans="1:12">
      <c r="A184" s="43">
        <v>183</v>
      </c>
      <c r="B184" s="43">
        <v>0</v>
      </c>
      <c r="C184" s="43">
        <v>3</v>
      </c>
      <c r="D184" s="43" t="s">
        <v>285</v>
      </c>
      <c r="E184" s="43" t="s">
        <v>13</v>
      </c>
      <c r="F184" s="44">
        <v>9</v>
      </c>
      <c r="G184" s="43">
        <v>4</v>
      </c>
      <c r="H184" s="43">
        <v>2</v>
      </c>
      <c r="I184" s="44">
        <v>347077</v>
      </c>
      <c r="J184" s="43">
        <v>31.3875</v>
      </c>
      <c r="K184" s="43"/>
      <c r="L184" s="43" t="s">
        <v>15</v>
      </c>
    </row>
    <row r="185" spans="1:12">
      <c r="A185" s="43">
        <v>184</v>
      </c>
      <c r="B185" s="43">
        <v>1</v>
      </c>
      <c r="C185" s="43">
        <v>2</v>
      </c>
      <c r="D185" s="43" t="s">
        <v>286</v>
      </c>
      <c r="E185" s="43" t="s">
        <v>13</v>
      </c>
      <c r="F185" s="44">
        <v>1</v>
      </c>
      <c r="G185" s="43">
        <v>2</v>
      </c>
      <c r="H185" s="43">
        <v>1</v>
      </c>
      <c r="I185" s="44">
        <v>230136</v>
      </c>
      <c r="J185" s="43">
        <v>39</v>
      </c>
      <c r="K185" s="43" t="s">
        <v>287</v>
      </c>
      <c r="L185" s="43" t="s">
        <v>15</v>
      </c>
    </row>
    <row r="186" spans="1:12">
      <c r="A186" s="43">
        <v>185</v>
      </c>
      <c r="B186" s="43">
        <v>1</v>
      </c>
      <c r="C186" s="43">
        <v>3</v>
      </c>
      <c r="D186" s="43" t="s">
        <v>288</v>
      </c>
      <c r="E186" s="43" t="s">
        <v>17</v>
      </c>
      <c r="F186" s="44">
        <v>4</v>
      </c>
      <c r="G186" s="43">
        <v>0</v>
      </c>
      <c r="H186" s="43">
        <v>2</v>
      </c>
      <c r="I186" s="44">
        <v>315153</v>
      </c>
      <c r="J186" s="43">
        <v>22.025</v>
      </c>
      <c r="K186" s="43"/>
      <c r="L186" s="43" t="s">
        <v>15</v>
      </c>
    </row>
    <row r="187" spans="1:12">
      <c r="A187" s="43">
        <v>186</v>
      </c>
      <c r="B187" s="43">
        <v>0</v>
      </c>
      <c r="C187" s="43">
        <v>1</v>
      </c>
      <c r="D187" s="43" t="s">
        <v>289</v>
      </c>
      <c r="E187" s="43" t="s">
        <v>13</v>
      </c>
      <c r="F187" s="44" t="s">
        <v>27</v>
      </c>
      <c r="G187" s="43">
        <v>0</v>
      </c>
      <c r="H187" s="43">
        <v>0</v>
      </c>
      <c r="I187" s="44">
        <v>113767</v>
      </c>
      <c r="J187" s="43">
        <v>50</v>
      </c>
      <c r="K187" s="43" t="s">
        <v>290</v>
      </c>
      <c r="L187" s="43" t="s">
        <v>15</v>
      </c>
    </row>
    <row r="188" spans="1:12">
      <c r="A188" s="43">
        <v>187</v>
      </c>
      <c r="B188" s="43">
        <v>1</v>
      </c>
      <c r="C188" s="43">
        <v>3</v>
      </c>
      <c r="D188" s="43" t="s">
        <v>291</v>
      </c>
      <c r="E188" s="43" t="s">
        <v>17</v>
      </c>
      <c r="F188" s="44" t="s">
        <v>27</v>
      </c>
      <c r="G188" s="43">
        <v>1</v>
      </c>
      <c r="H188" s="43">
        <v>0</v>
      </c>
      <c r="I188" s="44">
        <v>370365</v>
      </c>
      <c r="J188" s="43">
        <v>15.5</v>
      </c>
      <c r="K188" s="43"/>
      <c r="L188" s="43" t="s">
        <v>28</v>
      </c>
    </row>
    <row r="189" spans="1:12">
      <c r="A189" s="43">
        <v>188</v>
      </c>
      <c r="B189" s="43">
        <v>1</v>
      </c>
      <c r="C189" s="43">
        <v>1</v>
      </c>
      <c r="D189" s="43" t="s">
        <v>292</v>
      </c>
      <c r="E189" s="43" t="s">
        <v>13</v>
      </c>
      <c r="F189" s="44">
        <v>45</v>
      </c>
      <c r="G189" s="43">
        <v>0</v>
      </c>
      <c r="H189" s="43">
        <v>0</v>
      </c>
      <c r="I189" s="44">
        <v>111428</v>
      </c>
      <c r="J189" s="43">
        <v>26.55</v>
      </c>
      <c r="K189" s="43"/>
      <c r="L189" s="43" t="s">
        <v>15</v>
      </c>
    </row>
    <row r="190" spans="1:12">
      <c r="A190" s="43">
        <v>189</v>
      </c>
      <c r="B190" s="43">
        <v>0</v>
      </c>
      <c r="C190" s="43">
        <v>3</v>
      </c>
      <c r="D190" s="43" t="s">
        <v>293</v>
      </c>
      <c r="E190" s="43" t="s">
        <v>13</v>
      </c>
      <c r="F190" s="44">
        <v>40</v>
      </c>
      <c r="G190" s="43">
        <v>1</v>
      </c>
      <c r="H190" s="43">
        <v>1</v>
      </c>
      <c r="I190" s="44">
        <v>364849</v>
      </c>
      <c r="J190" s="43">
        <v>15.5</v>
      </c>
      <c r="K190" s="43"/>
      <c r="L190" s="43" t="s">
        <v>28</v>
      </c>
    </row>
    <row r="191" spans="1:12">
      <c r="A191" s="43">
        <v>190</v>
      </c>
      <c r="B191" s="43">
        <v>0</v>
      </c>
      <c r="C191" s="43">
        <v>3</v>
      </c>
      <c r="D191" s="43" t="s">
        <v>294</v>
      </c>
      <c r="E191" s="43" t="s">
        <v>13</v>
      </c>
      <c r="F191" s="44">
        <v>36</v>
      </c>
      <c r="G191" s="43">
        <v>0</v>
      </c>
      <c r="H191" s="43">
        <v>0</v>
      </c>
      <c r="I191" s="44">
        <v>349247</v>
      </c>
      <c r="J191" s="43">
        <v>7.8958</v>
      </c>
      <c r="K191" s="43"/>
      <c r="L191" s="43" t="s">
        <v>15</v>
      </c>
    </row>
    <row r="192" spans="1:12">
      <c r="A192" s="43">
        <v>191</v>
      </c>
      <c r="B192" s="43">
        <v>1</v>
      </c>
      <c r="C192" s="43">
        <v>2</v>
      </c>
      <c r="D192" s="43" t="s">
        <v>295</v>
      </c>
      <c r="E192" s="43" t="s">
        <v>17</v>
      </c>
      <c r="F192" s="44">
        <v>32</v>
      </c>
      <c r="G192" s="43">
        <v>0</v>
      </c>
      <c r="H192" s="43">
        <v>0</v>
      </c>
      <c r="I192" s="44">
        <v>234604</v>
      </c>
      <c r="J192" s="43">
        <v>13</v>
      </c>
      <c r="K192" s="43"/>
      <c r="L192" s="43" t="s">
        <v>15</v>
      </c>
    </row>
    <row r="193" spans="1:12">
      <c r="A193" s="43">
        <v>192</v>
      </c>
      <c r="B193" s="43">
        <v>0</v>
      </c>
      <c r="C193" s="43">
        <v>2</v>
      </c>
      <c r="D193" s="43" t="s">
        <v>296</v>
      </c>
      <c r="E193" s="43" t="s">
        <v>13</v>
      </c>
      <c r="F193" s="44">
        <v>19</v>
      </c>
      <c r="G193" s="43">
        <v>0</v>
      </c>
      <c r="H193" s="43">
        <v>0</v>
      </c>
      <c r="I193" s="44">
        <v>28424</v>
      </c>
      <c r="J193" s="43">
        <v>13</v>
      </c>
      <c r="K193" s="43"/>
      <c r="L193" s="43" t="s">
        <v>15</v>
      </c>
    </row>
    <row r="194" spans="1:12">
      <c r="A194" s="43">
        <v>193</v>
      </c>
      <c r="B194" s="43">
        <v>1</v>
      </c>
      <c r="C194" s="43">
        <v>3</v>
      </c>
      <c r="D194" s="43" t="s">
        <v>297</v>
      </c>
      <c r="E194" s="43" t="s">
        <v>17</v>
      </c>
      <c r="F194" s="44">
        <v>19</v>
      </c>
      <c r="G194" s="43">
        <v>1</v>
      </c>
      <c r="H194" s="43">
        <v>0</v>
      </c>
      <c r="I194" s="44">
        <v>350046</v>
      </c>
      <c r="J194" s="43">
        <v>7.8542</v>
      </c>
      <c r="K194" s="43"/>
      <c r="L194" s="43" t="s">
        <v>15</v>
      </c>
    </row>
    <row r="195" spans="1:12">
      <c r="A195" s="43">
        <v>194</v>
      </c>
      <c r="B195" s="43">
        <v>1</v>
      </c>
      <c r="C195" s="43">
        <v>2</v>
      </c>
      <c r="D195" s="43" t="s">
        <v>298</v>
      </c>
      <c r="E195" s="43" t="s">
        <v>13</v>
      </c>
      <c r="F195" s="44">
        <v>3</v>
      </c>
      <c r="G195" s="43">
        <v>1</v>
      </c>
      <c r="H195" s="43">
        <v>1</v>
      </c>
      <c r="I195" s="44">
        <v>230080</v>
      </c>
      <c r="J195" s="43">
        <v>26</v>
      </c>
      <c r="K195" s="43" t="s">
        <v>233</v>
      </c>
      <c r="L195" s="43" t="s">
        <v>15</v>
      </c>
    </row>
    <row r="196" spans="1:12">
      <c r="A196" s="43">
        <v>195</v>
      </c>
      <c r="B196" s="43">
        <v>1</v>
      </c>
      <c r="C196" s="43">
        <v>1</v>
      </c>
      <c r="D196" s="43" t="s">
        <v>299</v>
      </c>
      <c r="E196" s="43" t="s">
        <v>17</v>
      </c>
      <c r="F196" s="44">
        <v>44</v>
      </c>
      <c r="G196" s="43">
        <v>0</v>
      </c>
      <c r="H196" s="43">
        <v>0</v>
      </c>
      <c r="I196" s="44" t="s">
        <v>300</v>
      </c>
      <c r="J196" s="43">
        <v>27.7208</v>
      </c>
      <c r="K196" s="43" t="s">
        <v>301</v>
      </c>
      <c r="L196" s="43" t="s">
        <v>20</v>
      </c>
    </row>
    <row r="197" spans="1:12">
      <c r="A197" s="43">
        <v>196</v>
      </c>
      <c r="B197" s="43">
        <v>1</v>
      </c>
      <c r="C197" s="43">
        <v>1</v>
      </c>
      <c r="D197" s="43" t="s">
        <v>302</v>
      </c>
      <c r="E197" s="43" t="s">
        <v>17</v>
      </c>
      <c r="F197" s="44">
        <v>58</v>
      </c>
      <c r="G197" s="43">
        <v>0</v>
      </c>
      <c r="H197" s="43">
        <v>0</v>
      </c>
      <c r="I197" s="44" t="s">
        <v>64</v>
      </c>
      <c r="J197" s="43">
        <v>146.5208</v>
      </c>
      <c r="K197" s="43" t="s">
        <v>303</v>
      </c>
      <c r="L197" s="43" t="s">
        <v>20</v>
      </c>
    </row>
    <row r="198" spans="1:12">
      <c r="A198" s="43">
        <v>197</v>
      </c>
      <c r="B198" s="43">
        <v>0</v>
      </c>
      <c r="C198" s="43">
        <v>3</v>
      </c>
      <c r="D198" s="43" t="s">
        <v>304</v>
      </c>
      <c r="E198" s="43" t="s">
        <v>13</v>
      </c>
      <c r="F198" s="44" t="s">
        <v>27</v>
      </c>
      <c r="G198" s="43">
        <v>0</v>
      </c>
      <c r="H198" s="43">
        <v>0</v>
      </c>
      <c r="I198" s="44">
        <v>368703</v>
      </c>
      <c r="J198" s="43">
        <v>7.75</v>
      </c>
      <c r="K198" s="43"/>
      <c r="L198" s="43" t="s">
        <v>28</v>
      </c>
    </row>
    <row r="199" spans="1:12">
      <c r="A199" s="43">
        <v>198</v>
      </c>
      <c r="B199" s="43">
        <v>0</v>
      </c>
      <c r="C199" s="43">
        <v>3</v>
      </c>
      <c r="D199" s="43" t="s">
        <v>305</v>
      </c>
      <c r="E199" s="43" t="s">
        <v>13</v>
      </c>
      <c r="F199" s="44">
        <v>42</v>
      </c>
      <c r="G199" s="43">
        <v>0</v>
      </c>
      <c r="H199" s="43">
        <v>1</v>
      </c>
      <c r="I199" s="44">
        <v>4579</v>
      </c>
      <c r="J199" s="43">
        <v>8.4042</v>
      </c>
      <c r="K199" s="43"/>
      <c r="L199" s="43" t="s">
        <v>15</v>
      </c>
    </row>
    <row r="200" spans="1:12">
      <c r="A200" s="43">
        <v>199</v>
      </c>
      <c r="B200" s="43">
        <v>1</v>
      </c>
      <c r="C200" s="43">
        <v>3</v>
      </c>
      <c r="D200" s="43" t="s">
        <v>306</v>
      </c>
      <c r="E200" s="43" t="s">
        <v>17</v>
      </c>
      <c r="F200" s="44" t="s">
        <v>27</v>
      </c>
      <c r="G200" s="43">
        <v>0</v>
      </c>
      <c r="H200" s="43">
        <v>0</v>
      </c>
      <c r="I200" s="44">
        <v>370370</v>
      </c>
      <c r="J200" s="43">
        <v>7.75</v>
      </c>
      <c r="K200" s="43"/>
      <c r="L200" s="43" t="s">
        <v>28</v>
      </c>
    </row>
    <row r="201" spans="1:12">
      <c r="A201" s="43">
        <v>200</v>
      </c>
      <c r="B201" s="43">
        <v>0</v>
      </c>
      <c r="C201" s="43">
        <v>2</v>
      </c>
      <c r="D201" s="43" t="s">
        <v>307</v>
      </c>
      <c r="E201" s="43" t="s">
        <v>17</v>
      </c>
      <c r="F201" s="44">
        <v>24</v>
      </c>
      <c r="G201" s="43">
        <v>0</v>
      </c>
      <c r="H201" s="43">
        <v>0</v>
      </c>
      <c r="I201" s="44">
        <v>248747</v>
      </c>
      <c r="J201" s="43">
        <v>13</v>
      </c>
      <c r="K201" s="43"/>
      <c r="L201" s="43" t="s">
        <v>15</v>
      </c>
    </row>
    <row r="202" spans="1:12">
      <c r="A202" s="43">
        <v>201</v>
      </c>
      <c r="B202" s="43">
        <v>0</v>
      </c>
      <c r="C202" s="43">
        <v>3</v>
      </c>
      <c r="D202" s="43" t="s">
        <v>308</v>
      </c>
      <c r="E202" s="43" t="s">
        <v>13</v>
      </c>
      <c r="F202" s="44">
        <v>28</v>
      </c>
      <c r="G202" s="43">
        <v>0</v>
      </c>
      <c r="H202" s="43">
        <v>0</v>
      </c>
      <c r="I202" s="44">
        <v>345770</v>
      </c>
      <c r="J202" s="43">
        <v>9.5</v>
      </c>
      <c r="K202" s="43"/>
      <c r="L202" s="43" t="s">
        <v>15</v>
      </c>
    </row>
    <row r="203" spans="1:12">
      <c r="A203" s="43">
        <v>202</v>
      </c>
      <c r="B203" s="43">
        <v>0</v>
      </c>
      <c r="C203" s="43">
        <v>3</v>
      </c>
      <c r="D203" s="43" t="s">
        <v>309</v>
      </c>
      <c r="E203" s="43" t="s">
        <v>13</v>
      </c>
      <c r="F203" s="44" t="s">
        <v>27</v>
      </c>
      <c r="G203" s="43">
        <v>8</v>
      </c>
      <c r="H203" s="43">
        <v>2</v>
      </c>
      <c r="I203" s="44" t="s">
        <v>252</v>
      </c>
      <c r="J203" s="43">
        <v>69.55</v>
      </c>
      <c r="K203" s="43"/>
      <c r="L203" s="43" t="s">
        <v>15</v>
      </c>
    </row>
    <row r="204" spans="1:12">
      <c r="A204" s="43">
        <v>203</v>
      </c>
      <c r="B204" s="43">
        <v>0</v>
      </c>
      <c r="C204" s="43">
        <v>3</v>
      </c>
      <c r="D204" s="43" t="s">
        <v>310</v>
      </c>
      <c r="E204" s="43" t="s">
        <v>13</v>
      </c>
      <c r="F204" s="44">
        <v>34</v>
      </c>
      <c r="G204" s="43">
        <v>0</v>
      </c>
      <c r="H204" s="43">
        <v>0</v>
      </c>
      <c r="I204" s="44">
        <v>3101264</v>
      </c>
      <c r="J204" s="43">
        <v>6.4958</v>
      </c>
      <c r="K204" s="43"/>
      <c r="L204" s="43" t="s">
        <v>15</v>
      </c>
    </row>
    <row r="205" spans="1:12">
      <c r="A205" s="43">
        <v>204</v>
      </c>
      <c r="B205" s="43">
        <v>0</v>
      </c>
      <c r="C205" s="43">
        <v>3</v>
      </c>
      <c r="D205" s="43" t="s">
        <v>311</v>
      </c>
      <c r="E205" s="43" t="s">
        <v>13</v>
      </c>
      <c r="F205" s="44">
        <v>45.5</v>
      </c>
      <c r="G205" s="43">
        <v>0</v>
      </c>
      <c r="H205" s="43">
        <v>0</v>
      </c>
      <c r="I205" s="44">
        <v>2628</v>
      </c>
      <c r="J205" s="43">
        <v>7.225</v>
      </c>
      <c r="K205" s="43"/>
      <c r="L205" s="43" t="s">
        <v>20</v>
      </c>
    </row>
    <row r="206" spans="1:12">
      <c r="A206" s="43">
        <v>205</v>
      </c>
      <c r="B206" s="43">
        <v>1</v>
      </c>
      <c r="C206" s="43">
        <v>3</v>
      </c>
      <c r="D206" s="43" t="s">
        <v>312</v>
      </c>
      <c r="E206" s="43" t="s">
        <v>13</v>
      </c>
      <c r="F206" s="44">
        <v>18</v>
      </c>
      <c r="G206" s="43">
        <v>0</v>
      </c>
      <c r="H206" s="43">
        <v>0</v>
      </c>
      <c r="I206" s="44" t="s">
        <v>313</v>
      </c>
      <c r="J206" s="43">
        <v>8.05</v>
      </c>
      <c r="K206" s="43"/>
      <c r="L206" s="43" t="s">
        <v>15</v>
      </c>
    </row>
    <row r="207" spans="1:12">
      <c r="A207" s="43">
        <v>206</v>
      </c>
      <c r="B207" s="43">
        <v>0</v>
      </c>
      <c r="C207" s="43">
        <v>3</v>
      </c>
      <c r="D207" s="43" t="s">
        <v>314</v>
      </c>
      <c r="E207" s="43" t="s">
        <v>17</v>
      </c>
      <c r="F207" s="44">
        <v>2</v>
      </c>
      <c r="G207" s="43">
        <v>0</v>
      </c>
      <c r="H207" s="43">
        <v>1</v>
      </c>
      <c r="I207" s="44">
        <v>347054</v>
      </c>
      <c r="J207" s="43">
        <v>10.4625</v>
      </c>
      <c r="K207" s="43" t="s">
        <v>36</v>
      </c>
      <c r="L207" s="43" t="s">
        <v>15</v>
      </c>
    </row>
    <row r="208" spans="1:12">
      <c r="A208" s="43">
        <v>207</v>
      </c>
      <c r="B208" s="43">
        <v>0</v>
      </c>
      <c r="C208" s="43">
        <v>3</v>
      </c>
      <c r="D208" s="43" t="s">
        <v>315</v>
      </c>
      <c r="E208" s="43" t="s">
        <v>13</v>
      </c>
      <c r="F208" s="44">
        <v>32</v>
      </c>
      <c r="G208" s="43">
        <v>1</v>
      </c>
      <c r="H208" s="43">
        <v>0</v>
      </c>
      <c r="I208" s="44">
        <v>3101278</v>
      </c>
      <c r="J208" s="43">
        <v>15.85</v>
      </c>
      <c r="K208" s="43"/>
      <c r="L208" s="43" t="s">
        <v>15</v>
      </c>
    </row>
    <row r="209" spans="1:12">
      <c r="A209" s="43">
        <v>208</v>
      </c>
      <c r="B209" s="43">
        <v>1</v>
      </c>
      <c r="C209" s="43">
        <v>3</v>
      </c>
      <c r="D209" s="43" t="s">
        <v>316</v>
      </c>
      <c r="E209" s="43" t="s">
        <v>13</v>
      </c>
      <c r="F209" s="44">
        <v>26</v>
      </c>
      <c r="G209" s="43">
        <v>0</v>
      </c>
      <c r="H209" s="43">
        <v>0</v>
      </c>
      <c r="I209" s="44">
        <v>2699</v>
      </c>
      <c r="J209" s="43">
        <v>18.7875</v>
      </c>
      <c r="K209" s="43"/>
      <c r="L209" s="43" t="s">
        <v>20</v>
      </c>
    </row>
    <row r="210" spans="1:12">
      <c r="A210" s="43">
        <v>209</v>
      </c>
      <c r="B210" s="43">
        <v>1</v>
      </c>
      <c r="C210" s="43">
        <v>3</v>
      </c>
      <c r="D210" s="43" t="s">
        <v>317</v>
      </c>
      <c r="E210" s="43" t="s">
        <v>17</v>
      </c>
      <c r="F210" s="44">
        <v>16</v>
      </c>
      <c r="G210" s="43">
        <v>0</v>
      </c>
      <c r="H210" s="43">
        <v>0</v>
      </c>
      <c r="I210" s="44">
        <v>367231</v>
      </c>
      <c r="J210" s="43">
        <v>7.75</v>
      </c>
      <c r="K210" s="43"/>
      <c r="L210" s="43" t="s">
        <v>28</v>
      </c>
    </row>
    <row r="211" spans="1:12">
      <c r="A211" s="43">
        <v>210</v>
      </c>
      <c r="B211" s="43">
        <v>1</v>
      </c>
      <c r="C211" s="43">
        <v>1</v>
      </c>
      <c r="D211" s="43" t="s">
        <v>318</v>
      </c>
      <c r="E211" s="43" t="s">
        <v>13</v>
      </c>
      <c r="F211" s="44">
        <v>40</v>
      </c>
      <c r="G211" s="43">
        <v>0</v>
      </c>
      <c r="H211" s="43">
        <v>0</v>
      </c>
      <c r="I211" s="44">
        <v>112277</v>
      </c>
      <c r="J211" s="43">
        <v>31</v>
      </c>
      <c r="K211" s="43" t="s">
        <v>319</v>
      </c>
      <c r="L211" s="43" t="s">
        <v>20</v>
      </c>
    </row>
    <row r="212" spans="1:12">
      <c r="A212" s="43">
        <v>211</v>
      </c>
      <c r="B212" s="43">
        <v>0</v>
      </c>
      <c r="C212" s="43">
        <v>3</v>
      </c>
      <c r="D212" s="43" t="s">
        <v>320</v>
      </c>
      <c r="E212" s="43" t="s">
        <v>13</v>
      </c>
      <c r="F212" s="44">
        <v>24</v>
      </c>
      <c r="G212" s="43">
        <v>0</v>
      </c>
      <c r="H212" s="43">
        <v>0</v>
      </c>
      <c r="I212" s="44" t="s">
        <v>321</v>
      </c>
      <c r="J212" s="43">
        <v>7.05</v>
      </c>
      <c r="K212" s="43"/>
      <c r="L212" s="43" t="s">
        <v>15</v>
      </c>
    </row>
    <row r="213" spans="1:12">
      <c r="A213" s="43">
        <v>212</v>
      </c>
      <c r="B213" s="43">
        <v>1</v>
      </c>
      <c r="C213" s="43">
        <v>2</v>
      </c>
      <c r="D213" s="43" t="s">
        <v>322</v>
      </c>
      <c r="E213" s="43" t="s">
        <v>17</v>
      </c>
      <c r="F213" s="44">
        <v>35</v>
      </c>
      <c r="G213" s="43">
        <v>0</v>
      </c>
      <c r="H213" s="43">
        <v>0</v>
      </c>
      <c r="I213" s="44" t="s">
        <v>323</v>
      </c>
      <c r="J213" s="43">
        <v>21</v>
      </c>
      <c r="K213" s="43"/>
      <c r="L213" s="43" t="s">
        <v>15</v>
      </c>
    </row>
    <row r="214" spans="1:12">
      <c r="A214" s="43">
        <v>213</v>
      </c>
      <c r="B214" s="43">
        <v>0</v>
      </c>
      <c r="C214" s="43">
        <v>3</v>
      </c>
      <c r="D214" s="43" t="s">
        <v>324</v>
      </c>
      <c r="E214" s="43" t="s">
        <v>13</v>
      </c>
      <c r="F214" s="44">
        <v>22</v>
      </c>
      <c r="G214" s="43">
        <v>0</v>
      </c>
      <c r="H214" s="43">
        <v>0</v>
      </c>
      <c r="I214" s="44" t="s">
        <v>325</v>
      </c>
      <c r="J214" s="43">
        <v>7.25</v>
      </c>
      <c r="K214" s="43"/>
      <c r="L214" s="43" t="s">
        <v>15</v>
      </c>
    </row>
    <row r="215" spans="1:12">
      <c r="A215" s="43">
        <v>214</v>
      </c>
      <c r="B215" s="43">
        <v>0</v>
      </c>
      <c r="C215" s="43">
        <v>2</v>
      </c>
      <c r="D215" s="43" t="s">
        <v>326</v>
      </c>
      <c r="E215" s="43" t="s">
        <v>13</v>
      </c>
      <c r="F215" s="44">
        <v>30</v>
      </c>
      <c r="G215" s="43">
        <v>0</v>
      </c>
      <c r="H215" s="43">
        <v>0</v>
      </c>
      <c r="I215" s="44">
        <v>250646</v>
      </c>
      <c r="J215" s="43">
        <v>13</v>
      </c>
      <c r="K215" s="43"/>
      <c r="L215" s="43" t="s">
        <v>15</v>
      </c>
    </row>
    <row r="216" spans="1:12">
      <c r="A216" s="43">
        <v>215</v>
      </c>
      <c r="B216" s="43">
        <v>0</v>
      </c>
      <c r="C216" s="43">
        <v>3</v>
      </c>
      <c r="D216" s="43" t="s">
        <v>327</v>
      </c>
      <c r="E216" s="43" t="s">
        <v>13</v>
      </c>
      <c r="F216" s="44" t="s">
        <v>27</v>
      </c>
      <c r="G216" s="43">
        <v>1</v>
      </c>
      <c r="H216" s="43">
        <v>0</v>
      </c>
      <c r="I216" s="44">
        <v>367229</v>
      </c>
      <c r="J216" s="43">
        <v>7.75</v>
      </c>
      <c r="K216" s="43"/>
      <c r="L216" s="43" t="s">
        <v>28</v>
      </c>
    </row>
    <row r="217" spans="1:12">
      <c r="A217" s="43">
        <v>216</v>
      </c>
      <c r="B217" s="43">
        <v>1</v>
      </c>
      <c r="C217" s="43">
        <v>1</v>
      </c>
      <c r="D217" s="43" t="s">
        <v>328</v>
      </c>
      <c r="E217" s="43" t="s">
        <v>17</v>
      </c>
      <c r="F217" s="44">
        <v>31</v>
      </c>
      <c r="G217" s="43">
        <v>1</v>
      </c>
      <c r="H217" s="43">
        <v>0</v>
      </c>
      <c r="I217" s="44">
        <v>35273</v>
      </c>
      <c r="J217" s="43">
        <v>113.275</v>
      </c>
      <c r="K217" s="43" t="s">
        <v>329</v>
      </c>
      <c r="L217" s="43" t="s">
        <v>20</v>
      </c>
    </row>
    <row r="218" spans="1:12">
      <c r="A218" s="43">
        <v>217</v>
      </c>
      <c r="B218" s="43">
        <v>1</v>
      </c>
      <c r="C218" s="43">
        <v>3</v>
      </c>
      <c r="D218" s="43" t="s">
        <v>330</v>
      </c>
      <c r="E218" s="43" t="s">
        <v>17</v>
      </c>
      <c r="F218" s="44">
        <v>27</v>
      </c>
      <c r="G218" s="43">
        <v>0</v>
      </c>
      <c r="H218" s="43">
        <v>0</v>
      </c>
      <c r="I218" s="44" t="s">
        <v>331</v>
      </c>
      <c r="J218" s="43">
        <v>7.925</v>
      </c>
      <c r="K218" s="43"/>
      <c r="L218" s="43" t="s">
        <v>15</v>
      </c>
    </row>
    <row r="219" spans="1:12">
      <c r="A219" s="43">
        <v>218</v>
      </c>
      <c r="B219" s="43">
        <v>0</v>
      </c>
      <c r="C219" s="43">
        <v>2</v>
      </c>
      <c r="D219" s="43" t="s">
        <v>332</v>
      </c>
      <c r="E219" s="43" t="s">
        <v>13</v>
      </c>
      <c r="F219" s="44">
        <v>42</v>
      </c>
      <c r="G219" s="43">
        <v>1</v>
      </c>
      <c r="H219" s="43">
        <v>0</v>
      </c>
      <c r="I219" s="44">
        <v>243847</v>
      </c>
      <c r="J219" s="43">
        <v>27</v>
      </c>
      <c r="K219" s="43"/>
      <c r="L219" s="43" t="s">
        <v>15</v>
      </c>
    </row>
    <row r="220" spans="1:12">
      <c r="A220" s="43">
        <v>219</v>
      </c>
      <c r="B220" s="43">
        <v>1</v>
      </c>
      <c r="C220" s="43">
        <v>1</v>
      </c>
      <c r="D220" s="43" t="s">
        <v>333</v>
      </c>
      <c r="E220" s="43" t="s">
        <v>17</v>
      </c>
      <c r="F220" s="44">
        <v>32</v>
      </c>
      <c r="G220" s="43">
        <v>0</v>
      </c>
      <c r="H220" s="43">
        <v>0</v>
      </c>
      <c r="I220" s="44">
        <v>11813</v>
      </c>
      <c r="J220" s="43">
        <v>76.2917</v>
      </c>
      <c r="K220" s="43" t="s">
        <v>334</v>
      </c>
      <c r="L220" s="43" t="s">
        <v>20</v>
      </c>
    </row>
    <row r="221" spans="1:12">
      <c r="A221" s="43">
        <v>220</v>
      </c>
      <c r="B221" s="43">
        <v>0</v>
      </c>
      <c r="C221" s="43">
        <v>2</v>
      </c>
      <c r="D221" s="43" t="s">
        <v>335</v>
      </c>
      <c r="E221" s="43" t="s">
        <v>13</v>
      </c>
      <c r="F221" s="44">
        <v>30</v>
      </c>
      <c r="G221" s="43">
        <v>0</v>
      </c>
      <c r="H221" s="43">
        <v>0</v>
      </c>
      <c r="I221" s="44" t="s">
        <v>336</v>
      </c>
      <c r="J221" s="43">
        <v>10.5</v>
      </c>
      <c r="K221" s="43"/>
      <c r="L221" s="43" t="s">
        <v>15</v>
      </c>
    </row>
    <row r="222" spans="1:12">
      <c r="A222" s="43">
        <v>221</v>
      </c>
      <c r="B222" s="43">
        <v>1</v>
      </c>
      <c r="C222" s="43">
        <v>3</v>
      </c>
      <c r="D222" s="43" t="s">
        <v>337</v>
      </c>
      <c r="E222" s="43" t="s">
        <v>13</v>
      </c>
      <c r="F222" s="44">
        <v>16</v>
      </c>
      <c r="G222" s="43">
        <v>0</v>
      </c>
      <c r="H222" s="43">
        <v>0</v>
      </c>
      <c r="I222" s="44" t="s">
        <v>338</v>
      </c>
      <c r="J222" s="43">
        <v>8.05</v>
      </c>
      <c r="K222" s="43"/>
      <c r="L222" s="43" t="s">
        <v>15</v>
      </c>
    </row>
    <row r="223" spans="1:12">
      <c r="A223" s="43">
        <v>222</v>
      </c>
      <c r="B223" s="43">
        <v>0</v>
      </c>
      <c r="C223" s="43">
        <v>2</v>
      </c>
      <c r="D223" s="43" t="s">
        <v>339</v>
      </c>
      <c r="E223" s="43" t="s">
        <v>13</v>
      </c>
      <c r="F223" s="44">
        <v>27</v>
      </c>
      <c r="G223" s="43">
        <v>0</v>
      </c>
      <c r="H223" s="43">
        <v>0</v>
      </c>
      <c r="I223" s="44">
        <v>220367</v>
      </c>
      <c r="J223" s="43">
        <v>13</v>
      </c>
      <c r="K223" s="43"/>
      <c r="L223" s="43" t="s">
        <v>15</v>
      </c>
    </row>
    <row r="224" spans="1:12">
      <c r="A224" s="43">
        <v>223</v>
      </c>
      <c r="B224" s="43">
        <v>0</v>
      </c>
      <c r="C224" s="43">
        <v>3</v>
      </c>
      <c r="D224" s="43" t="s">
        <v>340</v>
      </c>
      <c r="E224" s="43" t="s">
        <v>13</v>
      </c>
      <c r="F224" s="44">
        <v>51</v>
      </c>
      <c r="G224" s="43">
        <v>0</v>
      </c>
      <c r="H224" s="43">
        <v>0</v>
      </c>
      <c r="I224" s="44">
        <v>21440</v>
      </c>
      <c r="J224" s="43">
        <v>8.05</v>
      </c>
      <c r="K224" s="43"/>
      <c r="L224" s="43" t="s">
        <v>15</v>
      </c>
    </row>
    <row r="225" spans="1:12">
      <c r="A225" s="43">
        <v>224</v>
      </c>
      <c r="B225" s="43">
        <v>0</v>
      </c>
      <c r="C225" s="43">
        <v>3</v>
      </c>
      <c r="D225" s="43" t="s">
        <v>341</v>
      </c>
      <c r="E225" s="43" t="s">
        <v>13</v>
      </c>
      <c r="F225" s="44" t="s">
        <v>27</v>
      </c>
      <c r="G225" s="43">
        <v>0</v>
      </c>
      <c r="H225" s="43">
        <v>0</v>
      </c>
      <c r="I225" s="44">
        <v>349234</v>
      </c>
      <c r="J225" s="43">
        <v>7.8958</v>
      </c>
      <c r="K225" s="43"/>
      <c r="L225" s="43" t="s">
        <v>15</v>
      </c>
    </row>
    <row r="226" spans="1:12">
      <c r="A226" s="43">
        <v>225</v>
      </c>
      <c r="B226" s="43">
        <v>1</v>
      </c>
      <c r="C226" s="43">
        <v>1</v>
      </c>
      <c r="D226" s="43" t="s">
        <v>342</v>
      </c>
      <c r="E226" s="43" t="s">
        <v>13</v>
      </c>
      <c r="F226" s="44">
        <v>38</v>
      </c>
      <c r="G226" s="43">
        <v>1</v>
      </c>
      <c r="H226" s="43">
        <v>0</v>
      </c>
      <c r="I226" s="44">
        <v>19943</v>
      </c>
      <c r="J226" s="43">
        <v>90</v>
      </c>
      <c r="K226" s="43" t="s">
        <v>343</v>
      </c>
      <c r="L226" s="43" t="s">
        <v>15</v>
      </c>
    </row>
    <row r="227" spans="1:12">
      <c r="A227" s="43">
        <v>226</v>
      </c>
      <c r="B227" s="43">
        <v>0</v>
      </c>
      <c r="C227" s="43">
        <v>3</v>
      </c>
      <c r="D227" s="43" t="s">
        <v>344</v>
      </c>
      <c r="E227" s="43" t="s">
        <v>13</v>
      </c>
      <c r="F227" s="44">
        <v>22</v>
      </c>
      <c r="G227" s="43">
        <v>0</v>
      </c>
      <c r="H227" s="43">
        <v>0</v>
      </c>
      <c r="I227" s="44" t="s">
        <v>345</v>
      </c>
      <c r="J227" s="43">
        <v>9.35</v>
      </c>
      <c r="K227" s="43"/>
      <c r="L227" s="43" t="s">
        <v>15</v>
      </c>
    </row>
    <row r="228" spans="1:12">
      <c r="A228" s="43">
        <v>227</v>
      </c>
      <c r="B228" s="43">
        <v>1</v>
      </c>
      <c r="C228" s="43">
        <v>2</v>
      </c>
      <c r="D228" s="43" t="s">
        <v>346</v>
      </c>
      <c r="E228" s="43" t="s">
        <v>13</v>
      </c>
      <c r="F228" s="44">
        <v>19</v>
      </c>
      <c r="G228" s="43">
        <v>0</v>
      </c>
      <c r="H228" s="43">
        <v>0</v>
      </c>
      <c r="I228" s="44" t="s">
        <v>347</v>
      </c>
      <c r="J228" s="43">
        <v>10.5</v>
      </c>
      <c r="K228" s="43"/>
      <c r="L228" s="43" t="s">
        <v>15</v>
      </c>
    </row>
    <row r="229" spans="1:12">
      <c r="A229" s="43">
        <v>228</v>
      </c>
      <c r="B229" s="43">
        <v>0</v>
      </c>
      <c r="C229" s="43">
        <v>3</v>
      </c>
      <c r="D229" s="43" t="s">
        <v>348</v>
      </c>
      <c r="E229" s="43" t="s">
        <v>13</v>
      </c>
      <c r="F229" s="44">
        <v>20.5</v>
      </c>
      <c r="G229" s="43">
        <v>0</v>
      </c>
      <c r="H229" s="43">
        <v>0</v>
      </c>
      <c r="I229" s="44" t="s">
        <v>349</v>
      </c>
      <c r="J229" s="43">
        <v>7.25</v>
      </c>
      <c r="K229" s="43"/>
      <c r="L229" s="43" t="s">
        <v>15</v>
      </c>
    </row>
    <row r="230" spans="1:12">
      <c r="A230" s="43">
        <v>229</v>
      </c>
      <c r="B230" s="43">
        <v>0</v>
      </c>
      <c r="C230" s="43">
        <v>2</v>
      </c>
      <c r="D230" s="43" t="s">
        <v>350</v>
      </c>
      <c r="E230" s="43" t="s">
        <v>13</v>
      </c>
      <c r="F230" s="44">
        <v>18</v>
      </c>
      <c r="G230" s="43">
        <v>0</v>
      </c>
      <c r="H230" s="43">
        <v>0</v>
      </c>
      <c r="I230" s="44">
        <v>236171</v>
      </c>
      <c r="J230" s="43">
        <v>13</v>
      </c>
      <c r="K230" s="43"/>
      <c r="L230" s="43" t="s">
        <v>15</v>
      </c>
    </row>
    <row r="231" spans="1:12">
      <c r="A231" s="43">
        <v>230</v>
      </c>
      <c r="B231" s="43">
        <v>0</v>
      </c>
      <c r="C231" s="43">
        <v>3</v>
      </c>
      <c r="D231" s="43" t="s">
        <v>351</v>
      </c>
      <c r="E231" s="43" t="s">
        <v>17</v>
      </c>
      <c r="F231" s="44" t="s">
        <v>27</v>
      </c>
      <c r="G231" s="43">
        <v>3</v>
      </c>
      <c r="H231" s="43">
        <v>1</v>
      </c>
      <c r="I231" s="44">
        <v>4133</v>
      </c>
      <c r="J231" s="43">
        <v>25.4667</v>
      </c>
      <c r="K231" s="43"/>
      <c r="L231" s="43" t="s">
        <v>15</v>
      </c>
    </row>
    <row r="232" spans="1:12">
      <c r="A232" s="43">
        <v>231</v>
      </c>
      <c r="B232" s="43">
        <v>1</v>
      </c>
      <c r="C232" s="43">
        <v>1</v>
      </c>
      <c r="D232" s="43" t="s">
        <v>352</v>
      </c>
      <c r="E232" s="43" t="s">
        <v>17</v>
      </c>
      <c r="F232" s="44">
        <v>35</v>
      </c>
      <c r="G232" s="43">
        <v>1</v>
      </c>
      <c r="H232" s="43">
        <v>0</v>
      </c>
      <c r="I232" s="44">
        <v>36973</v>
      </c>
      <c r="J232" s="43">
        <v>83.475</v>
      </c>
      <c r="K232" s="43" t="s">
        <v>111</v>
      </c>
      <c r="L232" s="43" t="s">
        <v>15</v>
      </c>
    </row>
    <row r="233" spans="1:12">
      <c r="A233" s="43">
        <v>232</v>
      </c>
      <c r="B233" s="43">
        <v>0</v>
      </c>
      <c r="C233" s="43">
        <v>3</v>
      </c>
      <c r="D233" s="43" t="s">
        <v>353</v>
      </c>
      <c r="E233" s="43" t="s">
        <v>13</v>
      </c>
      <c r="F233" s="44">
        <v>29</v>
      </c>
      <c r="G233" s="43">
        <v>0</v>
      </c>
      <c r="H233" s="43">
        <v>0</v>
      </c>
      <c r="I233" s="44">
        <v>347067</v>
      </c>
      <c r="J233" s="43">
        <v>7.775</v>
      </c>
      <c r="K233" s="43"/>
      <c r="L233" s="43" t="s">
        <v>15</v>
      </c>
    </row>
    <row r="234" spans="1:12">
      <c r="A234" s="43">
        <v>233</v>
      </c>
      <c r="B234" s="43">
        <v>0</v>
      </c>
      <c r="C234" s="43">
        <v>2</v>
      </c>
      <c r="D234" s="43" t="s">
        <v>354</v>
      </c>
      <c r="E234" s="43" t="s">
        <v>13</v>
      </c>
      <c r="F234" s="44">
        <v>59</v>
      </c>
      <c r="G234" s="43">
        <v>0</v>
      </c>
      <c r="H234" s="43">
        <v>0</v>
      </c>
      <c r="I234" s="44">
        <v>237442</v>
      </c>
      <c r="J234" s="43">
        <v>13.5</v>
      </c>
      <c r="K234" s="43"/>
      <c r="L234" s="43" t="s">
        <v>15</v>
      </c>
    </row>
    <row r="235" spans="1:12">
      <c r="A235" s="43">
        <v>234</v>
      </c>
      <c r="B235" s="43">
        <v>1</v>
      </c>
      <c r="C235" s="43">
        <v>3</v>
      </c>
      <c r="D235" s="43" t="s">
        <v>355</v>
      </c>
      <c r="E235" s="43" t="s">
        <v>17</v>
      </c>
      <c r="F235" s="44">
        <v>5</v>
      </c>
      <c r="G235" s="43">
        <v>4</v>
      </c>
      <c r="H235" s="43">
        <v>2</v>
      </c>
      <c r="I235" s="44">
        <v>347077</v>
      </c>
      <c r="J235" s="43">
        <v>31.3875</v>
      </c>
      <c r="K235" s="43"/>
      <c r="L235" s="43" t="s">
        <v>15</v>
      </c>
    </row>
    <row r="236" spans="1:12">
      <c r="A236" s="43">
        <v>235</v>
      </c>
      <c r="B236" s="43">
        <v>0</v>
      </c>
      <c r="C236" s="43">
        <v>2</v>
      </c>
      <c r="D236" s="43" t="s">
        <v>356</v>
      </c>
      <c r="E236" s="43" t="s">
        <v>13</v>
      </c>
      <c r="F236" s="44">
        <v>24</v>
      </c>
      <c r="G236" s="43">
        <v>0</v>
      </c>
      <c r="H236" s="43">
        <v>0</v>
      </c>
      <c r="I236" s="44" t="s">
        <v>357</v>
      </c>
      <c r="J236" s="43">
        <v>10.5</v>
      </c>
      <c r="K236" s="43"/>
      <c r="L236" s="43" t="s">
        <v>15</v>
      </c>
    </row>
    <row r="237" spans="1:12">
      <c r="A237" s="43">
        <v>236</v>
      </c>
      <c r="B237" s="43">
        <v>0</v>
      </c>
      <c r="C237" s="43">
        <v>3</v>
      </c>
      <c r="D237" s="43" t="s">
        <v>358</v>
      </c>
      <c r="E237" s="43" t="s">
        <v>17</v>
      </c>
      <c r="F237" s="44" t="s">
        <v>27</v>
      </c>
      <c r="G237" s="43">
        <v>0</v>
      </c>
      <c r="H237" s="43">
        <v>0</v>
      </c>
      <c r="I237" s="44" t="s">
        <v>359</v>
      </c>
      <c r="J237" s="43">
        <v>7.55</v>
      </c>
      <c r="K237" s="43"/>
      <c r="L237" s="43" t="s">
        <v>15</v>
      </c>
    </row>
    <row r="238" spans="1:12">
      <c r="A238" s="43">
        <v>237</v>
      </c>
      <c r="B238" s="43">
        <v>0</v>
      </c>
      <c r="C238" s="43">
        <v>2</v>
      </c>
      <c r="D238" s="43" t="s">
        <v>360</v>
      </c>
      <c r="E238" s="43" t="s">
        <v>13</v>
      </c>
      <c r="F238" s="44">
        <v>44</v>
      </c>
      <c r="G238" s="43">
        <v>1</v>
      </c>
      <c r="H238" s="43">
        <v>0</v>
      </c>
      <c r="I238" s="44">
        <v>26707</v>
      </c>
      <c r="J238" s="43">
        <v>26</v>
      </c>
      <c r="K238" s="43"/>
      <c r="L238" s="43" t="s">
        <v>15</v>
      </c>
    </row>
    <row r="239" spans="1:12">
      <c r="A239" s="43">
        <v>238</v>
      </c>
      <c r="B239" s="43">
        <v>1</v>
      </c>
      <c r="C239" s="43">
        <v>2</v>
      </c>
      <c r="D239" s="43" t="s">
        <v>361</v>
      </c>
      <c r="E239" s="43" t="s">
        <v>17</v>
      </c>
      <c r="F239" s="44">
        <v>8</v>
      </c>
      <c r="G239" s="43">
        <v>0</v>
      </c>
      <c r="H239" s="43">
        <v>2</v>
      </c>
      <c r="I239" s="44" t="s">
        <v>362</v>
      </c>
      <c r="J239" s="43">
        <v>26.25</v>
      </c>
      <c r="K239" s="43"/>
      <c r="L239" s="43" t="s">
        <v>15</v>
      </c>
    </row>
    <row r="240" spans="1:12">
      <c r="A240" s="43">
        <v>239</v>
      </c>
      <c r="B240" s="43">
        <v>0</v>
      </c>
      <c r="C240" s="43">
        <v>2</v>
      </c>
      <c r="D240" s="43" t="s">
        <v>363</v>
      </c>
      <c r="E240" s="43" t="s">
        <v>13</v>
      </c>
      <c r="F240" s="44">
        <v>19</v>
      </c>
      <c r="G240" s="43">
        <v>0</v>
      </c>
      <c r="H240" s="43">
        <v>0</v>
      </c>
      <c r="I240" s="44">
        <v>28665</v>
      </c>
      <c r="J240" s="43">
        <v>10.5</v>
      </c>
      <c r="K240" s="43"/>
      <c r="L240" s="43" t="s">
        <v>15</v>
      </c>
    </row>
    <row r="241" spans="1:12">
      <c r="A241" s="43">
        <v>240</v>
      </c>
      <c r="B241" s="43">
        <v>0</v>
      </c>
      <c r="C241" s="43">
        <v>2</v>
      </c>
      <c r="D241" s="43" t="s">
        <v>364</v>
      </c>
      <c r="E241" s="43" t="s">
        <v>13</v>
      </c>
      <c r="F241" s="44">
        <v>33</v>
      </c>
      <c r="G241" s="43">
        <v>0</v>
      </c>
      <c r="H241" s="43">
        <v>0</v>
      </c>
      <c r="I241" s="44" t="s">
        <v>365</v>
      </c>
      <c r="J241" s="43">
        <v>12.275</v>
      </c>
      <c r="K241" s="43"/>
      <c r="L241" s="43" t="s">
        <v>15</v>
      </c>
    </row>
    <row r="242" spans="1:12">
      <c r="A242" s="43">
        <v>241</v>
      </c>
      <c r="B242" s="43">
        <v>0</v>
      </c>
      <c r="C242" s="43">
        <v>3</v>
      </c>
      <c r="D242" s="43" t="s">
        <v>366</v>
      </c>
      <c r="E242" s="43" t="s">
        <v>17</v>
      </c>
      <c r="F242" s="44" t="s">
        <v>27</v>
      </c>
      <c r="G242" s="43">
        <v>1</v>
      </c>
      <c r="H242" s="43">
        <v>0</v>
      </c>
      <c r="I242" s="44">
        <v>2665</v>
      </c>
      <c r="J242" s="43">
        <v>14.4542</v>
      </c>
      <c r="K242" s="43"/>
      <c r="L242" s="43" t="s">
        <v>20</v>
      </c>
    </row>
    <row r="243" spans="1:12">
      <c r="A243" s="43">
        <v>242</v>
      </c>
      <c r="B243" s="43">
        <v>1</v>
      </c>
      <c r="C243" s="43">
        <v>3</v>
      </c>
      <c r="D243" s="43" t="s">
        <v>367</v>
      </c>
      <c r="E243" s="43" t="s">
        <v>17</v>
      </c>
      <c r="F243" s="44" t="s">
        <v>27</v>
      </c>
      <c r="G243" s="43">
        <v>1</v>
      </c>
      <c r="H243" s="43">
        <v>0</v>
      </c>
      <c r="I243" s="44">
        <v>367230</v>
      </c>
      <c r="J243" s="43">
        <v>15.5</v>
      </c>
      <c r="K243" s="43"/>
      <c r="L243" s="43" t="s">
        <v>28</v>
      </c>
    </row>
    <row r="244" spans="1:12">
      <c r="A244" s="43">
        <v>243</v>
      </c>
      <c r="B244" s="43">
        <v>0</v>
      </c>
      <c r="C244" s="43">
        <v>2</v>
      </c>
      <c r="D244" s="43" t="s">
        <v>368</v>
      </c>
      <c r="E244" s="43" t="s">
        <v>13</v>
      </c>
      <c r="F244" s="44">
        <v>29</v>
      </c>
      <c r="G244" s="43">
        <v>0</v>
      </c>
      <c r="H244" s="43">
        <v>0</v>
      </c>
      <c r="I244" s="44" t="s">
        <v>369</v>
      </c>
      <c r="J244" s="43">
        <v>10.5</v>
      </c>
      <c r="K244" s="43"/>
      <c r="L244" s="43" t="s">
        <v>15</v>
      </c>
    </row>
    <row r="245" spans="1:12">
      <c r="A245" s="43">
        <v>244</v>
      </c>
      <c r="B245" s="43">
        <v>0</v>
      </c>
      <c r="C245" s="43">
        <v>3</v>
      </c>
      <c r="D245" s="43" t="s">
        <v>370</v>
      </c>
      <c r="E245" s="43" t="s">
        <v>13</v>
      </c>
      <c r="F245" s="44">
        <v>22</v>
      </c>
      <c r="G245" s="43">
        <v>0</v>
      </c>
      <c r="H245" s="43">
        <v>0</v>
      </c>
      <c r="I245" s="44" t="s">
        <v>371</v>
      </c>
      <c r="J245" s="43">
        <v>7.125</v>
      </c>
      <c r="K245" s="43"/>
      <c r="L245" s="43" t="s">
        <v>15</v>
      </c>
    </row>
    <row r="246" spans="1:12">
      <c r="A246" s="43">
        <v>245</v>
      </c>
      <c r="B246" s="43">
        <v>0</v>
      </c>
      <c r="C246" s="43">
        <v>3</v>
      </c>
      <c r="D246" s="43" t="s">
        <v>372</v>
      </c>
      <c r="E246" s="43" t="s">
        <v>13</v>
      </c>
      <c r="F246" s="44">
        <v>30</v>
      </c>
      <c r="G246" s="43">
        <v>0</v>
      </c>
      <c r="H246" s="43">
        <v>0</v>
      </c>
      <c r="I246" s="44">
        <v>2694</v>
      </c>
      <c r="J246" s="43">
        <v>7.225</v>
      </c>
      <c r="K246" s="43"/>
      <c r="L246" s="43" t="s">
        <v>20</v>
      </c>
    </row>
    <row r="247" spans="1:12">
      <c r="A247" s="43">
        <v>246</v>
      </c>
      <c r="B247" s="43">
        <v>0</v>
      </c>
      <c r="C247" s="43">
        <v>1</v>
      </c>
      <c r="D247" s="43" t="s">
        <v>373</v>
      </c>
      <c r="E247" s="43" t="s">
        <v>13</v>
      </c>
      <c r="F247" s="44">
        <v>44</v>
      </c>
      <c r="G247" s="43">
        <v>2</v>
      </c>
      <c r="H247" s="43">
        <v>0</v>
      </c>
      <c r="I247" s="44">
        <v>19928</v>
      </c>
      <c r="J247" s="43">
        <v>90</v>
      </c>
      <c r="K247" s="43" t="s">
        <v>374</v>
      </c>
      <c r="L247" s="43" t="s">
        <v>28</v>
      </c>
    </row>
    <row r="248" spans="1:12">
      <c r="A248" s="43">
        <v>247</v>
      </c>
      <c r="B248" s="43">
        <v>0</v>
      </c>
      <c r="C248" s="43">
        <v>3</v>
      </c>
      <c r="D248" s="43" t="s">
        <v>375</v>
      </c>
      <c r="E248" s="43" t="s">
        <v>17</v>
      </c>
      <c r="F248" s="44">
        <v>25</v>
      </c>
      <c r="G248" s="43">
        <v>0</v>
      </c>
      <c r="H248" s="43">
        <v>0</v>
      </c>
      <c r="I248" s="44">
        <v>347071</v>
      </c>
      <c r="J248" s="43">
        <v>7.775</v>
      </c>
      <c r="K248" s="43"/>
      <c r="L248" s="43" t="s">
        <v>15</v>
      </c>
    </row>
    <row r="249" spans="1:12">
      <c r="A249" s="43">
        <v>248</v>
      </c>
      <c r="B249" s="43">
        <v>1</v>
      </c>
      <c r="C249" s="43">
        <v>2</v>
      </c>
      <c r="D249" s="43" t="s">
        <v>376</v>
      </c>
      <c r="E249" s="43" t="s">
        <v>17</v>
      </c>
      <c r="F249" s="44">
        <v>24</v>
      </c>
      <c r="G249" s="43">
        <v>0</v>
      </c>
      <c r="H249" s="43">
        <v>2</v>
      </c>
      <c r="I249" s="44">
        <v>250649</v>
      </c>
      <c r="J249" s="43">
        <v>14.5</v>
      </c>
      <c r="K249" s="43"/>
      <c r="L249" s="43" t="s">
        <v>15</v>
      </c>
    </row>
    <row r="250" spans="1:12">
      <c r="A250" s="43">
        <v>249</v>
      </c>
      <c r="B250" s="43">
        <v>1</v>
      </c>
      <c r="C250" s="43">
        <v>1</v>
      </c>
      <c r="D250" s="43" t="s">
        <v>377</v>
      </c>
      <c r="E250" s="43" t="s">
        <v>13</v>
      </c>
      <c r="F250" s="44">
        <v>37</v>
      </c>
      <c r="G250" s="43">
        <v>1</v>
      </c>
      <c r="H250" s="43">
        <v>1</v>
      </c>
      <c r="I250" s="44">
        <v>11751</v>
      </c>
      <c r="J250" s="43">
        <v>52.5542</v>
      </c>
      <c r="K250" s="43" t="s">
        <v>378</v>
      </c>
      <c r="L250" s="43" t="s">
        <v>15</v>
      </c>
    </row>
    <row r="251" spans="1:12">
      <c r="A251" s="43">
        <v>250</v>
      </c>
      <c r="B251" s="43">
        <v>0</v>
      </c>
      <c r="C251" s="43">
        <v>2</v>
      </c>
      <c r="D251" s="43" t="s">
        <v>379</v>
      </c>
      <c r="E251" s="43" t="s">
        <v>13</v>
      </c>
      <c r="F251" s="44">
        <v>54</v>
      </c>
      <c r="G251" s="43">
        <v>1</v>
      </c>
      <c r="H251" s="43">
        <v>0</v>
      </c>
      <c r="I251" s="44">
        <v>244252</v>
      </c>
      <c r="J251" s="43">
        <v>26</v>
      </c>
      <c r="K251" s="43"/>
      <c r="L251" s="43" t="s">
        <v>15</v>
      </c>
    </row>
    <row r="252" spans="1:12">
      <c r="A252" s="43">
        <v>251</v>
      </c>
      <c r="B252" s="43">
        <v>0</v>
      </c>
      <c r="C252" s="43">
        <v>3</v>
      </c>
      <c r="D252" s="43" t="s">
        <v>380</v>
      </c>
      <c r="E252" s="43" t="s">
        <v>13</v>
      </c>
      <c r="F252" s="44" t="s">
        <v>27</v>
      </c>
      <c r="G252" s="43">
        <v>0</v>
      </c>
      <c r="H252" s="43">
        <v>0</v>
      </c>
      <c r="I252" s="44">
        <v>362316</v>
      </c>
      <c r="J252" s="43">
        <v>7.25</v>
      </c>
      <c r="K252" s="43"/>
      <c r="L252" s="43" t="s">
        <v>15</v>
      </c>
    </row>
    <row r="253" spans="1:12">
      <c r="A253" s="43">
        <v>252</v>
      </c>
      <c r="B253" s="43">
        <v>0</v>
      </c>
      <c r="C253" s="43">
        <v>3</v>
      </c>
      <c r="D253" s="43" t="s">
        <v>381</v>
      </c>
      <c r="E253" s="43" t="s">
        <v>17</v>
      </c>
      <c r="F253" s="44">
        <v>29</v>
      </c>
      <c r="G253" s="43">
        <v>1</v>
      </c>
      <c r="H253" s="43">
        <v>1</v>
      </c>
      <c r="I253" s="44">
        <v>347054</v>
      </c>
      <c r="J253" s="43">
        <v>10.4625</v>
      </c>
      <c r="K253" s="43" t="s">
        <v>36</v>
      </c>
      <c r="L253" s="43" t="s">
        <v>15</v>
      </c>
    </row>
    <row r="254" spans="1:12">
      <c r="A254" s="43">
        <v>253</v>
      </c>
      <c r="B254" s="43">
        <v>0</v>
      </c>
      <c r="C254" s="43">
        <v>1</v>
      </c>
      <c r="D254" s="43" t="s">
        <v>382</v>
      </c>
      <c r="E254" s="43" t="s">
        <v>13</v>
      </c>
      <c r="F254" s="44">
        <v>62</v>
      </c>
      <c r="G254" s="43">
        <v>0</v>
      </c>
      <c r="H254" s="43">
        <v>0</v>
      </c>
      <c r="I254" s="44">
        <v>113514</v>
      </c>
      <c r="J254" s="43">
        <v>26.55</v>
      </c>
      <c r="K254" s="43" t="s">
        <v>383</v>
      </c>
      <c r="L254" s="43" t="s">
        <v>15</v>
      </c>
    </row>
    <row r="255" spans="1:12">
      <c r="A255" s="43">
        <v>254</v>
      </c>
      <c r="B255" s="43">
        <v>0</v>
      </c>
      <c r="C255" s="43">
        <v>3</v>
      </c>
      <c r="D255" s="43" t="s">
        <v>384</v>
      </c>
      <c r="E255" s="43" t="s">
        <v>13</v>
      </c>
      <c r="F255" s="44">
        <v>30</v>
      </c>
      <c r="G255" s="43">
        <v>1</v>
      </c>
      <c r="H255" s="43">
        <v>0</v>
      </c>
      <c r="I255" s="44" t="s">
        <v>385</v>
      </c>
      <c r="J255" s="43">
        <v>16.1</v>
      </c>
      <c r="K255" s="43"/>
      <c r="L255" s="43" t="s">
        <v>15</v>
      </c>
    </row>
    <row r="256" spans="1:12">
      <c r="A256" s="43">
        <v>255</v>
      </c>
      <c r="B256" s="43">
        <v>0</v>
      </c>
      <c r="C256" s="43">
        <v>3</v>
      </c>
      <c r="D256" s="43" t="s">
        <v>386</v>
      </c>
      <c r="E256" s="43" t="s">
        <v>17</v>
      </c>
      <c r="F256" s="44">
        <v>41</v>
      </c>
      <c r="G256" s="43">
        <v>0</v>
      </c>
      <c r="H256" s="43">
        <v>2</v>
      </c>
      <c r="I256" s="44">
        <v>370129</v>
      </c>
      <c r="J256" s="43">
        <v>20.2125</v>
      </c>
      <c r="K256" s="43"/>
      <c r="L256" s="43" t="s">
        <v>15</v>
      </c>
    </row>
    <row r="257" spans="1:12">
      <c r="A257" s="43">
        <v>256</v>
      </c>
      <c r="B257" s="43">
        <v>1</v>
      </c>
      <c r="C257" s="43">
        <v>3</v>
      </c>
      <c r="D257" s="43" t="s">
        <v>387</v>
      </c>
      <c r="E257" s="43" t="s">
        <v>17</v>
      </c>
      <c r="F257" s="44">
        <v>29</v>
      </c>
      <c r="G257" s="43">
        <v>0</v>
      </c>
      <c r="H257" s="43">
        <v>2</v>
      </c>
      <c r="I257" s="44">
        <v>2650</v>
      </c>
      <c r="J257" s="43">
        <v>15.2458</v>
      </c>
      <c r="K257" s="43"/>
      <c r="L257" s="43" t="s">
        <v>20</v>
      </c>
    </row>
    <row r="258" spans="1:12">
      <c r="A258" s="43">
        <v>257</v>
      </c>
      <c r="B258" s="43">
        <v>1</v>
      </c>
      <c r="C258" s="43">
        <v>1</v>
      </c>
      <c r="D258" s="43" t="s">
        <v>388</v>
      </c>
      <c r="E258" s="43" t="s">
        <v>17</v>
      </c>
      <c r="F258" s="44" t="s">
        <v>27</v>
      </c>
      <c r="G258" s="43">
        <v>0</v>
      </c>
      <c r="H258" s="43">
        <v>0</v>
      </c>
      <c r="I258" s="44" t="s">
        <v>389</v>
      </c>
      <c r="J258" s="43">
        <v>79.2</v>
      </c>
      <c r="K258" s="43"/>
      <c r="L258" s="43" t="s">
        <v>20</v>
      </c>
    </row>
    <row r="259" spans="1:12">
      <c r="A259" s="43">
        <v>258</v>
      </c>
      <c r="B259" s="43">
        <v>1</v>
      </c>
      <c r="C259" s="43">
        <v>1</v>
      </c>
      <c r="D259" s="43" t="s">
        <v>390</v>
      </c>
      <c r="E259" s="43" t="s">
        <v>17</v>
      </c>
      <c r="F259" s="44">
        <v>30</v>
      </c>
      <c r="G259" s="43">
        <v>0</v>
      </c>
      <c r="H259" s="43">
        <v>0</v>
      </c>
      <c r="I259" s="44">
        <v>110152</v>
      </c>
      <c r="J259" s="43">
        <v>86.5</v>
      </c>
      <c r="K259" s="43" t="s">
        <v>391</v>
      </c>
      <c r="L259" s="43" t="s">
        <v>15</v>
      </c>
    </row>
    <row r="260" spans="1:12">
      <c r="A260" s="43">
        <v>259</v>
      </c>
      <c r="B260" s="43">
        <v>1</v>
      </c>
      <c r="C260" s="43">
        <v>1</v>
      </c>
      <c r="D260" s="43" t="s">
        <v>392</v>
      </c>
      <c r="E260" s="43" t="s">
        <v>17</v>
      </c>
      <c r="F260" s="44">
        <v>35</v>
      </c>
      <c r="G260" s="43">
        <v>0</v>
      </c>
      <c r="H260" s="43">
        <v>0</v>
      </c>
      <c r="I260" s="44" t="s">
        <v>393</v>
      </c>
      <c r="J260" s="43">
        <v>512.3292</v>
      </c>
      <c r="K260" s="43"/>
      <c r="L260" s="43" t="s">
        <v>20</v>
      </c>
    </row>
    <row r="261" spans="1:12">
      <c r="A261" s="43">
        <v>260</v>
      </c>
      <c r="B261" s="43">
        <v>1</v>
      </c>
      <c r="C261" s="43">
        <v>2</v>
      </c>
      <c r="D261" s="43" t="s">
        <v>394</v>
      </c>
      <c r="E261" s="43" t="s">
        <v>17</v>
      </c>
      <c r="F261" s="44">
        <v>50</v>
      </c>
      <c r="G261" s="43">
        <v>0</v>
      </c>
      <c r="H261" s="43">
        <v>1</v>
      </c>
      <c r="I261" s="44">
        <v>230433</v>
      </c>
      <c r="J261" s="43">
        <v>26</v>
      </c>
      <c r="K261" s="43"/>
      <c r="L261" s="43" t="s">
        <v>15</v>
      </c>
    </row>
    <row r="262" spans="1:12">
      <c r="A262" s="43">
        <v>261</v>
      </c>
      <c r="B262" s="43">
        <v>0</v>
      </c>
      <c r="C262" s="43">
        <v>3</v>
      </c>
      <c r="D262" s="43" t="s">
        <v>395</v>
      </c>
      <c r="E262" s="43" t="s">
        <v>13</v>
      </c>
      <c r="F262" s="44" t="s">
        <v>27</v>
      </c>
      <c r="G262" s="43">
        <v>0</v>
      </c>
      <c r="H262" s="43">
        <v>0</v>
      </c>
      <c r="I262" s="44">
        <v>384461</v>
      </c>
      <c r="J262" s="43">
        <v>7.75</v>
      </c>
      <c r="K262" s="43"/>
      <c r="L262" s="43" t="s">
        <v>28</v>
      </c>
    </row>
    <row r="263" spans="1:12">
      <c r="A263" s="43">
        <v>262</v>
      </c>
      <c r="B263" s="43">
        <v>1</v>
      </c>
      <c r="C263" s="43">
        <v>3</v>
      </c>
      <c r="D263" s="43" t="s">
        <v>396</v>
      </c>
      <c r="E263" s="43" t="s">
        <v>13</v>
      </c>
      <c r="F263" s="44">
        <v>3</v>
      </c>
      <c r="G263" s="43">
        <v>4</v>
      </c>
      <c r="H263" s="43">
        <v>2</v>
      </c>
      <c r="I263" s="44">
        <v>347077</v>
      </c>
      <c r="J263" s="43">
        <v>31.3875</v>
      </c>
      <c r="K263" s="43"/>
      <c r="L263" s="43" t="s">
        <v>15</v>
      </c>
    </row>
    <row r="264" spans="1:12">
      <c r="A264" s="43">
        <v>263</v>
      </c>
      <c r="B264" s="43">
        <v>0</v>
      </c>
      <c r="C264" s="43">
        <v>1</v>
      </c>
      <c r="D264" s="43" t="s">
        <v>397</v>
      </c>
      <c r="E264" s="43" t="s">
        <v>13</v>
      </c>
      <c r="F264" s="44">
        <v>52</v>
      </c>
      <c r="G264" s="43">
        <v>1</v>
      </c>
      <c r="H264" s="43">
        <v>1</v>
      </c>
      <c r="I264" s="44">
        <v>110413</v>
      </c>
      <c r="J264" s="43">
        <v>79.65</v>
      </c>
      <c r="K264" s="43" t="s">
        <v>398</v>
      </c>
      <c r="L264" s="43" t="s">
        <v>15</v>
      </c>
    </row>
    <row r="265" spans="1:12">
      <c r="A265" s="43">
        <v>264</v>
      </c>
      <c r="B265" s="43">
        <v>0</v>
      </c>
      <c r="C265" s="43">
        <v>1</v>
      </c>
      <c r="D265" s="43" t="s">
        <v>399</v>
      </c>
      <c r="E265" s="43" t="s">
        <v>13</v>
      </c>
      <c r="F265" s="44">
        <v>40</v>
      </c>
      <c r="G265" s="43">
        <v>0</v>
      </c>
      <c r="H265" s="43">
        <v>0</v>
      </c>
      <c r="I265" s="44">
        <v>112059</v>
      </c>
      <c r="J265" s="43">
        <v>0</v>
      </c>
      <c r="K265" s="43" t="s">
        <v>400</v>
      </c>
      <c r="L265" s="43" t="s">
        <v>15</v>
      </c>
    </row>
    <row r="266" spans="1:12">
      <c r="A266" s="43">
        <v>265</v>
      </c>
      <c r="B266" s="43">
        <v>0</v>
      </c>
      <c r="C266" s="43">
        <v>3</v>
      </c>
      <c r="D266" s="43" t="s">
        <v>401</v>
      </c>
      <c r="E266" s="43" t="s">
        <v>17</v>
      </c>
      <c r="F266" s="44" t="s">
        <v>27</v>
      </c>
      <c r="G266" s="43">
        <v>0</v>
      </c>
      <c r="H266" s="43">
        <v>0</v>
      </c>
      <c r="I266" s="44">
        <v>382649</v>
      </c>
      <c r="J266" s="43">
        <v>7.75</v>
      </c>
      <c r="K266" s="43"/>
      <c r="L266" s="43" t="s">
        <v>28</v>
      </c>
    </row>
    <row r="267" spans="1:12">
      <c r="A267" s="43">
        <v>266</v>
      </c>
      <c r="B267" s="43">
        <v>0</v>
      </c>
      <c r="C267" s="43">
        <v>2</v>
      </c>
      <c r="D267" s="43" t="s">
        <v>402</v>
      </c>
      <c r="E267" s="43" t="s">
        <v>13</v>
      </c>
      <c r="F267" s="44">
        <v>36</v>
      </c>
      <c r="G267" s="43">
        <v>0</v>
      </c>
      <c r="H267" s="43">
        <v>0</v>
      </c>
      <c r="I267" s="44" t="s">
        <v>403</v>
      </c>
      <c r="J267" s="43">
        <v>10.5</v>
      </c>
      <c r="K267" s="43"/>
      <c r="L267" s="43" t="s">
        <v>15</v>
      </c>
    </row>
    <row r="268" spans="1:12">
      <c r="A268" s="43">
        <v>267</v>
      </c>
      <c r="B268" s="43">
        <v>0</v>
      </c>
      <c r="C268" s="43">
        <v>3</v>
      </c>
      <c r="D268" s="43" t="s">
        <v>404</v>
      </c>
      <c r="E268" s="43" t="s">
        <v>13</v>
      </c>
      <c r="F268" s="44">
        <v>16</v>
      </c>
      <c r="G268" s="43">
        <v>4</v>
      </c>
      <c r="H268" s="43">
        <v>1</v>
      </c>
      <c r="I268" s="44">
        <v>3101295</v>
      </c>
      <c r="J268" s="43">
        <v>39.6875</v>
      </c>
      <c r="K268" s="43"/>
      <c r="L268" s="43" t="s">
        <v>15</v>
      </c>
    </row>
    <row r="269" spans="1:12">
      <c r="A269" s="43">
        <v>268</v>
      </c>
      <c r="B269" s="43">
        <v>1</v>
      </c>
      <c r="C269" s="43">
        <v>3</v>
      </c>
      <c r="D269" s="43" t="s">
        <v>405</v>
      </c>
      <c r="E269" s="43" t="s">
        <v>13</v>
      </c>
      <c r="F269" s="44">
        <v>25</v>
      </c>
      <c r="G269" s="43">
        <v>1</v>
      </c>
      <c r="H269" s="43">
        <v>0</v>
      </c>
      <c r="I269" s="44">
        <v>347083</v>
      </c>
      <c r="J269" s="43">
        <v>7.775</v>
      </c>
      <c r="K269" s="43"/>
      <c r="L269" s="43" t="s">
        <v>15</v>
      </c>
    </row>
    <row r="270" spans="1:12">
      <c r="A270" s="43">
        <v>269</v>
      </c>
      <c r="B270" s="43">
        <v>1</v>
      </c>
      <c r="C270" s="43">
        <v>1</v>
      </c>
      <c r="D270" s="43" t="s">
        <v>406</v>
      </c>
      <c r="E270" s="43" t="s">
        <v>17</v>
      </c>
      <c r="F270" s="44">
        <v>58</v>
      </c>
      <c r="G270" s="43">
        <v>0</v>
      </c>
      <c r="H270" s="43">
        <v>1</v>
      </c>
      <c r="I270" s="44" t="s">
        <v>407</v>
      </c>
      <c r="J270" s="43">
        <v>153.4625</v>
      </c>
      <c r="K270" s="43" t="s">
        <v>408</v>
      </c>
      <c r="L270" s="43" t="s">
        <v>15</v>
      </c>
    </row>
    <row r="271" spans="1:12">
      <c r="A271" s="43">
        <v>270</v>
      </c>
      <c r="B271" s="43">
        <v>1</v>
      </c>
      <c r="C271" s="43">
        <v>1</v>
      </c>
      <c r="D271" s="43" t="s">
        <v>409</v>
      </c>
      <c r="E271" s="43" t="s">
        <v>17</v>
      </c>
      <c r="F271" s="44">
        <v>35</v>
      </c>
      <c r="G271" s="43">
        <v>0</v>
      </c>
      <c r="H271" s="43">
        <v>0</v>
      </c>
      <c r="I271" s="44" t="s">
        <v>410</v>
      </c>
      <c r="J271" s="43">
        <v>135.6333</v>
      </c>
      <c r="K271" s="43" t="s">
        <v>411</v>
      </c>
      <c r="L271" s="43" t="s">
        <v>15</v>
      </c>
    </row>
    <row r="272" spans="1:12">
      <c r="A272" s="43">
        <v>271</v>
      </c>
      <c r="B272" s="43">
        <v>0</v>
      </c>
      <c r="C272" s="43">
        <v>1</v>
      </c>
      <c r="D272" s="43" t="s">
        <v>412</v>
      </c>
      <c r="E272" s="43" t="s">
        <v>13</v>
      </c>
      <c r="F272" s="44" t="s">
        <v>27</v>
      </c>
      <c r="G272" s="43">
        <v>0</v>
      </c>
      <c r="H272" s="43">
        <v>0</v>
      </c>
      <c r="I272" s="44">
        <v>113798</v>
      </c>
      <c r="J272" s="43">
        <v>31</v>
      </c>
      <c r="K272" s="43"/>
      <c r="L272" s="43" t="s">
        <v>15</v>
      </c>
    </row>
    <row r="273" spans="1:12">
      <c r="A273" s="43">
        <v>272</v>
      </c>
      <c r="B273" s="43">
        <v>1</v>
      </c>
      <c r="C273" s="43">
        <v>3</v>
      </c>
      <c r="D273" s="43" t="s">
        <v>413</v>
      </c>
      <c r="E273" s="43" t="s">
        <v>13</v>
      </c>
      <c r="F273" s="44">
        <v>25</v>
      </c>
      <c r="G273" s="43">
        <v>0</v>
      </c>
      <c r="H273" s="43">
        <v>0</v>
      </c>
      <c r="I273" s="44" t="s">
        <v>281</v>
      </c>
      <c r="J273" s="43">
        <v>0</v>
      </c>
      <c r="K273" s="43"/>
      <c r="L273" s="43" t="s">
        <v>15</v>
      </c>
    </row>
    <row r="274" spans="1:12">
      <c r="A274" s="43">
        <v>273</v>
      </c>
      <c r="B274" s="43">
        <v>1</v>
      </c>
      <c r="C274" s="43">
        <v>2</v>
      </c>
      <c r="D274" s="43" t="s">
        <v>414</v>
      </c>
      <c r="E274" s="43" t="s">
        <v>17</v>
      </c>
      <c r="F274" s="44">
        <v>41</v>
      </c>
      <c r="G274" s="43">
        <v>0</v>
      </c>
      <c r="H274" s="43">
        <v>1</v>
      </c>
      <c r="I274" s="44">
        <v>250644</v>
      </c>
      <c r="J274" s="43">
        <v>19.5</v>
      </c>
      <c r="K274" s="43"/>
      <c r="L274" s="43" t="s">
        <v>15</v>
      </c>
    </row>
    <row r="275" spans="1:12">
      <c r="A275" s="43">
        <v>274</v>
      </c>
      <c r="B275" s="43">
        <v>0</v>
      </c>
      <c r="C275" s="43">
        <v>1</v>
      </c>
      <c r="D275" s="43" t="s">
        <v>415</v>
      </c>
      <c r="E275" s="43" t="s">
        <v>13</v>
      </c>
      <c r="F275" s="44">
        <v>37</v>
      </c>
      <c r="G275" s="43">
        <v>0</v>
      </c>
      <c r="H275" s="43">
        <v>1</v>
      </c>
      <c r="I275" s="44" t="s">
        <v>416</v>
      </c>
      <c r="J275" s="43">
        <v>29.7</v>
      </c>
      <c r="K275" s="43" t="s">
        <v>417</v>
      </c>
      <c r="L275" s="43" t="s">
        <v>20</v>
      </c>
    </row>
    <row r="276" spans="1:12">
      <c r="A276" s="43">
        <v>275</v>
      </c>
      <c r="B276" s="43">
        <v>1</v>
      </c>
      <c r="C276" s="43">
        <v>3</v>
      </c>
      <c r="D276" s="43" t="s">
        <v>418</v>
      </c>
      <c r="E276" s="43" t="s">
        <v>17</v>
      </c>
      <c r="F276" s="44" t="s">
        <v>27</v>
      </c>
      <c r="G276" s="43">
        <v>0</v>
      </c>
      <c r="H276" s="43">
        <v>0</v>
      </c>
      <c r="I276" s="44">
        <v>370375</v>
      </c>
      <c r="J276" s="43">
        <v>7.75</v>
      </c>
      <c r="K276" s="43"/>
      <c r="L276" s="43" t="s">
        <v>28</v>
      </c>
    </row>
    <row r="277" spans="1:12">
      <c r="A277" s="43">
        <v>276</v>
      </c>
      <c r="B277" s="43">
        <v>1</v>
      </c>
      <c r="C277" s="43">
        <v>1</v>
      </c>
      <c r="D277" s="43" t="s">
        <v>419</v>
      </c>
      <c r="E277" s="43" t="s">
        <v>17</v>
      </c>
      <c r="F277" s="44">
        <v>63</v>
      </c>
      <c r="G277" s="43">
        <v>1</v>
      </c>
      <c r="H277" s="43">
        <v>0</v>
      </c>
      <c r="I277" s="44">
        <v>13502</v>
      </c>
      <c r="J277" s="43">
        <v>77.9583</v>
      </c>
      <c r="K277" s="43" t="s">
        <v>420</v>
      </c>
      <c r="L277" s="43" t="s">
        <v>15</v>
      </c>
    </row>
    <row r="278" spans="1:12">
      <c r="A278" s="43">
        <v>277</v>
      </c>
      <c r="B278" s="43">
        <v>0</v>
      </c>
      <c r="C278" s="43">
        <v>3</v>
      </c>
      <c r="D278" s="43" t="s">
        <v>421</v>
      </c>
      <c r="E278" s="43" t="s">
        <v>17</v>
      </c>
      <c r="F278" s="44">
        <v>45</v>
      </c>
      <c r="G278" s="43">
        <v>0</v>
      </c>
      <c r="H278" s="43">
        <v>0</v>
      </c>
      <c r="I278" s="44">
        <v>347073</v>
      </c>
      <c r="J278" s="43">
        <v>7.75</v>
      </c>
      <c r="K278" s="43"/>
      <c r="L278" s="43" t="s">
        <v>15</v>
      </c>
    </row>
    <row r="279" spans="1:12">
      <c r="A279" s="43">
        <v>278</v>
      </c>
      <c r="B279" s="43">
        <v>0</v>
      </c>
      <c r="C279" s="43">
        <v>2</v>
      </c>
      <c r="D279" s="43" t="s">
        <v>422</v>
      </c>
      <c r="E279" s="43" t="s">
        <v>13</v>
      </c>
      <c r="F279" s="44" t="s">
        <v>27</v>
      </c>
      <c r="G279" s="43">
        <v>0</v>
      </c>
      <c r="H279" s="43">
        <v>0</v>
      </c>
      <c r="I279" s="44">
        <v>239853</v>
      </c>
      <c r="J279" s="43">
        <v>0</v>
      </c>
      <c r="K279" s="43"/>
      <c r="L279" s="43" t="s">
        <v>15</v>
      </c>
    </row>
    <row r="280" spans="1:12">
      <c r="A280" s="43">
        <v>279</v>
      </c>
      <c r="B280" s="43">
        <v>0</v>
      </c>
      <c r="C280" s="43">
        <v>3</v>
      </c>
      <c r="D280" s="43" t="s">
        <v>423</v>
      </c>
      <c r="E280" s="43" t="s">
        <v>13</v>
      </c>
      <c r="F280" s="44">
        <v>7</v>
      </c>
      <c r="G280" s="43">
        <v>4</v>
      </c>
      <c r="H280" s="43">
        <v>1</v>
      </c>
      <c r="I280" s="44">
        <v>382652</v>
      </c>
      <c r="J280" s="43">
        <v>29.125</v>
      </c>
      <c r="K280" s="43"/>
      <c r="L280" s="43" t="s">
        <v>28</v>
      </c>
    </row>
    <row r="281" spans="1:12">
      <c r="A281" s="43">
        <v>280</v>
      </c>
      <c r="B281" s="43">
        <v>1</v>
      </c>
      <c r="C281" s="43">
        <v>3</v>
      </c>
      <c r="D281" s="43" t="s">
        <v>424</v>
      </c>
      <c r="E281" s="43" t="s">
        <v>17</v>
      </c>
      <c r="F281" s="44">
        <v>35</v>
      </c>
      <c r="G281" s="43">
        <v>1</v>
      </c>
      <c r="H281" s="43">
        <v>1</v>
      </c>
      <c r="I281" s="44" t="s">
        <v>425</v>
      </c>
      <c r="J281" s="43">
        <v>20.25</v>
      </c>
      <c r="K281" s="43"/>
      <c r="L281" s="43" t="s">
        <v>15</v>
      </c>
    </row>
    <row r="282" spans="1:12">
      <c r="A282" s="43">
        <v>281</v>
      </c>
      <c r="B282" s="43">
        <v>0</v>
      </c>
      <c r="C282" s="43">
        <v>3</v>
      </c>
      <c r="D282" s="43" t="s">
        <v>426</v>
      </c>
      <c r="E282" s="43" t="s">
        <v>13</v>
      </c>
      <c r="F282" s="44">
        <v>65</v>
      </c>
      <c r="G282" s="43">
        <v>0</v>
      </c>
      <c r="H282" s="43">
        <v>0</v>
      </c>
      <c r="I282" s="44">
        <v>336439</v>
      </c>
      <c r="J282" s="43">
        <v>7.75</v>
      </c>
      <c r="K282" s="43"/>
      <c r="L282" s="43" t="s">
        <v>28</v>
      </c>
    </row>
    <row r="283" spans="1:12">
      <c r="A283" s="43">
        <v>282</v>
      </c>
      <c r="B283" s="43">
        <v>0</v>
      </c>
      <c r="C283" s="43">
        <v>3</v>
      </c>
      <c r="D283" s="43" t="s">
        <v>427</v>
      </c>
      <c r="E283" s="43" t="s">
        <v>13</v>
      </c>
      <c r="F283" s="44">
        <v>28</v>
      </c>
      <c r="G283" s="43">
        <v>0</v>
      </c>
      <c r="H283" s="43">
        <v>0</v>
      </c>
      <c r="I283" s="44">
        <v>347464</v>
      </c>
      <c r="J283" s="43">
        <v>7.8542</v>
      </c>
      <c r="K283" s="43"/>
      <c r="L283" s="43" t="s">
        <v>15</v>
      </c>
    </row>
    <row r="284" spans="1:12">
      <c r="A284" s="43">
        <v>283</v>
      </c>
      <c r="B284" s="43">
        <v>0</v>
      </c>
      <c r="C284" s="43">
        <v>3</v>
      </c>
      <c r="D284" s="43" t="s">
        <v>428</v>
      </c>
      <c r="E284" s="43" t="s">
        <v>13</v>
      </c>
      <c r="F284" s="44">
        <v>16</v>
      </c>
      <c r="G284" s="43">
        <v>0</v>
      </c>
      <c r="H284" s="43">
        <v>0</v>
      </c>
      <c r="I284" s="44">
        <v>345778</v>
      </c>
      <c r="J284" s="43">
        <v>9.5</v>
      </c>
      <c r="K284" s="43"/>
      <c r="L284" s="43" t="s">
        <v>15</v>
      </c>
    </row>
    <row r="285" spans="1:12">
      <c r="A285" s="43">
        <v>284</v>
      </c>
      <c r="B285" s="43">
        <v>1</v>
      </c>
      <c r="C285" s="43">
        <v>3</v>
      </c>
      <c r="D285" s="43" t="s">
        <v>429</v>
      </c>
      <c r="E285" s="43" t="s">
        <v>13</v>
      </c>
      <c r="F285" s="44">
        <v>19</v>
      </c>
      <c r="G285" s="43">
        <v>0</v>
      </c>
      <c r="H285" s="43">
        <v>0</v>
      </c>
      <c r="I285" s="44" t="s">
        <v>430</v>
      </c>
      <c r="J285" s="43">
        <v>8.05</v>
      </c>
      <c r="K285" s="43"/>
      <c r="L285" s="43" t="s">
        <v>15</v>
      </c>
    </row>
    <row r="286" spans="1:12">
      <c r="A286" s="43">
        <v>285</v>
      </c>
      <c r="B286" s="43">
        <v>0</v>
      </c>
      <c r="C286" s="43">
        <v>1</v>
      </c>
      <c r="D286" s="43" t="s">
        <v>431</v>
      </c>
      <c r="E286" s="43" t="s">
        <v>13</v>
      </c>
      <c r="F286" s="44" t="s">
        <v>27</v>
      </c>
      <c r="G286" s="43">
        <v>0</v>
      </c>
      <c r="H286" s="43">
        <v>0</v>
      </c>
      <c r="I286" s="44">
        <v>113056</v>
      </c>
      <c r="J286" s="43">
        <v>26</v>
      </c>
      <c r="K286" s="43" t="s">
        <v>432</v>
      </c>
      <c r="L286" s="43" t="s">
        <v>15</v>
      </c>
    </row>
    <row r="287" spans="1:12">
      <c r="A287" s="43">
        <v>286</v>
      </c>
      <c r="B287" s="43">
        <v>0</v>
      </c>
      <c r="C287" s="43">
        <v>3</v>
      </c>
      <c r="D287" s="43" t="s">
        <v>433</v>
      </c>
      <c r="E287" s="43" t="s">
        <v>13</v>
      </c>
      <c r="F287" s="44">
        <v>33</v>
      </c>
      <c r="G287" s="43">
        <v>0</v>
      </c>
      <c r="H287" s="43">
        <v>0</v>
      </c>
      <c r="I287" s="44">
        <v>349239</v>
      </c>
      <c r="J287" s="43">
        <v>8.6625</v>
      </c>
      <c r="K287" s="43"/>
      <c r="L287" s="43" t="s">
        <v>20</v>
      </c>
    </row>
    <row r="288" spans="1:12">
      <c r="A288" s="43">
        <v>287</v>
      </c>
      <c r="B288" s="43">
        <v>1</v>
      </c>
      <c r="C288" s="43">
        <v>3</v>
      </c>
      <c r="D288" s="43" t="s">
        <v>434</v>
      </c>
      <c r="E288" s="43" t="s">
        <v>13</v>
      </c>
      <c r="F288" s="44">
        <v>30</v>
      </c>
      <c r="G288" s="43">
        <v>0</v>
      </c>
      <c r="H288" s="43">
        <v>0</v>
      </c>
      <c r="I288" s="44">
        <v>345774</v>
      </c>
      <c r="J288" s="43">
        <v>9.5</v>
      </c>
      <c r="K288" s="43"/>
      <c r="L288" s="43" t="s">
        <v>15</v>
      </c>
    </row>
    <row r="289" spans="1:12">
      <c r="A289" s="43">
        <v>288</v>
      </c>
      <c r="B289" s="43">
        <v>0</v>
      </c>
      <c r="C289" s="43">
        <v>3</v>
      </c>
      <c r="D289" s="43" t="s">
        <v>435</v>
      </c>
      <c r="E289" s="43" t="s">
        <v>13</v>
      </c>
      <c r="F289" s="44">
        <v>22</v>
      </c>
      <c r="G289" s="43">
        <v>0</v>
      </c>
      <c r="H289" s="43">
        <v>0</v>
      </c>
      <c r="I289" s="44">
        <v>349206</v>
      </c>
      <c r="J289" s="43">
        <v>7.8958</v>
      </c>
      <c r="K289" s="43"/>
      <c r="L289" s="43" t="s">
        <v>15</v>
      </c>
    </row>
    <row r="290" spans="1:12">
      <c r="A290" s="43">
        <v>289</v>
      </c>
      <c r="B290" s="43">
        <v>1</v>
      </c>
      <c r="C290" s="43">
        <v>2</v>
      </c>
      <c r="D290" s="43" t="s">
        <v>436</v>
      </c>
      <c r="E290" s="43" t="s">
        <v>13</v>
      </c>
      <c r="F290" s="44">
        <v>42</v>
      </c>
      <c r="G290" s="43">
        <v>0</v>
      </c>
      <c r="H290" s="43">
        <v>0</v>
      </c>
      <c r="I290" s="44">
        <v>237798</v>
      </c>
      <c r="J290" s="43">
        <v>13</v>
      </c>
      <c r="K290" s="43"/>
      <c r="L290" s="43" t="s">
        <v>15</v>
      </c>
    </row>
    <row r="291" spans="1:12">
      <c r="A291" s="43">
        <v>290</v>
      </c>
      <c r="B291" s="43">
        <v>1</v>
      </c>
      <c r="C291" s="43">
        <v>3</v>
      </c>
      <c r="D291" s="43" t="s">
        <v>437</v>
      </c>
      <c r="E291" s="43" t="s">
        <v>17</v>
      </c>
      <c r="F291" s="44">
        <v>22</v>
      </c>
      <c r="G291" s="43">
        <v>0</v>
      </c>
      <c r="H291" s="43">
        <v>0</v>
      </c>
      <c r="I291" s="44">
        <v>370373</v>
      </c>
      <c r="J291" s="43">
        <v>7.75</v>
      </c>
      <c r="K291" s="43"/>
      <c r="L291" s="43" t="s">
        <v>28</v>
      </c>
    </row>
    <row r="292" spans="1:12">
      <c r="A292" s="43">
        <v>291</v>
      </c>
      <c r="B292" s="43">
        <v>1</v>
      </c>
      <c r="C292" s="43">
        <v>1</v>
      </c>
      <c r="D292" s="43" t="s">
        <v>438</v>
      </c>
      <c r="E292" s="43" t="s">
        <v>17</v>
      </c>
      <c r="F292" s="44">
        <v>26</v>
      </c>
      <c r="G292" s="43">
        <v>0</v>
      </c>
      <c r="H292" s="43">
        <v>0</v>
      </c>
      <c r="I292" s="44">
        <v>19877</v>
      </c>
      <c r="J292" s="43">
        <v>78.85</v>
      </c>
      <c r="K292" s="43"/>
      <c r="L292" s="43" t="s">
        <v>15</v>
      </c>
    </row>
    <row r="293" spans="1:12">
      <c r="A293" s="43">
        <v>292</v>
      </c>
      <c r="B293" s="43">
        <v>1</v>
      </c>
      <c r="C293" s="43">
        <v>1</v>
      </c>
      <c r="D293" s="43" t="s">
        <v>439</v>
      </c>
      <c r="E293" s="43" t="s">
        <v>17</v>
      </c>
      <c r="F293" s="44">
        <v>19</v>
      </c>
      <c r="G293" s="43">
        <v>1</v>
      </c>
      <c r="H293" s="43">
        <v>0</v>
      </c>
      <c r="I293" s="44">
        <v>11967</v>
      </c>
      <c r="J293" s="43">
        <v>91.0792</v>
      </c>
      <c r="K293" s="43" t="s">
        <v>440</v>
      </c>
      <c r="L293" s="43" t="s">
        <v>20</v>
      </c>
    </row>
    <row r="294" spans="1:12">
      <c r="A294" s="43">
        <v>293</v>
      </c>
      <c r="B294" s="43">
        <v>0</v>
      </c>
      <c r="C294" s="43">
        <v>2</v>
      </c>
      <c r="D294" s="43" t="s">
        <v>441</v>
      </c>
      <c r="E294" s="43" t="s">
        <v>13</v>
      </c>
      <c r="F294" s="44">
        <v>36</v>
      </c>
      <c r="G294" s="43">
        <v>0</v>
      </c>
      <c r="H294" s="43">
        <v>0</v>
      </c>
      <c r="I294" s="44" t="s">
        <v>442</v>
      </c>
      <c r="J294" s="43">
        <v>12.875</v>
      </c>
      <c r="K294" s="43" t="s">
        <v>443</v>
      </c>
      <c r="L294" s="43" t="s">
        <v>20</v>
      </c>
    </row>
    <row r="295" spans="1:12">
      <c r="A295" s="43">
        <v>294</v>
      </c>
      <c r="B295" s="43">
        <v>0</v>
      </c>
      <c r="C295" s="43">
        <v>3</v>
      </c>
      <c r="D295" s="43" t="s">
        <v>444</v>
      </c>
      <c r="E295" s="43" t="s">
        <v>17</v>
      </c>
      <c r="F295" s="44">
        <v>24</v>
      </c>
      <c r="G295" s="43">
        <v>0</v>
      </c>
      <c r="H295" s="43">
        <v>0</v>
      </c>
      <c r="I295" s="44">
        <v>349236</v>
      </c>
      <c r="J295" s="43">
        <v>8.85</v>
      </c>
      <c r="K295" s="43"/>
      <c r="L295" s="43" t="s">
        <v>15</v>
      </c>
    </row>
    <row r="296" spans="1:12">
      <c r="A296" s="43">
        <v>295</v>
      </c>
      <c r="B296" s="43">
        <v>0</v>
      </c>
      <c r="C296" s="43">
        <v>3</v>
      </c>
      <c r="D296" s="43" t="s">
        <v>445</v>
      </c>
      <c r="E296" s="43" t="s">
        <v>13</v>
      </c>
      <c r="F296" s="44">
        <v>24</v>
      </c>
      <c r="G296" s="43">
        <v>0</v>
      </c>
      <c r="H296" s="43">
        <v>0</v>
      </c>
      <c r="I296" s="44">
        <v>349233</v>
      </c>
      <c r="J296" s="43">
        <v>7.8958</v>
      </c>
      <c r="K296" s="43"/>
      <c r="L296" s="43" t="s">
        <v>15</v>
      </c>
    </row>
    <row r="297" spans="1:12">
      <c r="A297" s="43">
        <v>296</v>
      </c>
      <c r="B297" s="43">
        <v>0</v>
      </c>
      <c r="C297" s="43">
        <v>1</v>
      </c>
      <c r="D297" s="43" t="s">
        <v>446</v>
      </c>
      <c r="E297" s="43" t="s">
        <v>13</v>
      </c>
      <c r="F297" s="44" t="s">
        <v>27</v>
      </c>
      <c r="G297" s="43">
        <v>0</v>
      </c>
      <c r="H297" s="43">
        <v>0</v>
      </c>
      <c r="I297" s="44" t="s">
        <v>447</v>
      </c>
      <c r="J297" s="43">
        <v>27.7208</v>
      </c>
      <c r="K297" s="43"/>
      <c r="L297" s="43" t="s">
        <v>20</v>
      </c>
    </row>
    <row r="298" spans="1:12">
      <c r="A298" s="43">
        <v>297</v>
      </c>
      <c r="B298" s="43">
        <v>0</v>
      </c>
      <c r="C298" s="43">
        <v>3</v>
      </c>
      <c r="D298" s="43" t="s">
        <v>448</v>
      </c>
      <c r="E298" s="43" t="s">
        <v>13</v>
      </c>
      <c r="F298" s="44">
        <v>23.5</v>
      </c>
      <c r="G298" s="43">
        <v>0</v>
      </c>
      <c r="H298" s="43">
        <v>0</v>
      </c>
      <c r="I298" s="44">
        <v>2693</v>
      </c>
      <c r="J298" s="43">
        <v>7.2292</v>
      </c>
      <c r="K298" s="43"/>
      <c r="L298" s="43" t="s">
        <v>20</v>
      </c>
    </row>
    <row r="299" spans="1:12">
      <c r="A299" s="43">
        <v>298</v>
      </c>
      <c r="B299" s="43">
        <v>0</v>
      </c>
      <c r="C299" s="43">
        <v>1</v>
      </c>
      <c r="D299" s="43" t="s">
        <v>449</v>
      </c>
      <c r="E299" s="43" t="s">
        <v>17</v>
      </c>
      <c r="F299" s="44">
        <v>2</v>
      </c>
      <c r="G299" s="43">
        <v>1</v>
      </c>
      <c r="H299" s="43">
        <v>2</v>
      </c>
      <c r="I299" s="44">
        <v>113781</v>
      </c>
      <c r="J299" s="43">
        <v>151.55</v>
      </c>
      <c r="K299" s="43" t="s">
        <v>450</v>
      </c>
      <c r="L299" s="43" t="s">
        <v>15</v>
      </c>
    </row>
    <row r="300" spans="1:12">
      <c r="A300" s="43">
        <v>299</v>
      </c>
      <c r="B300" s="43">
        <v>1</v>
      </c>
      <c r="C300" s="43">
        <v>1</v>
      </c>
      <c r="D300" s="43" t="s">
        <v>451</v>
      </c>
      <c r="E300" s="43" t="s">
        <v>13</v>
      </c>
      <c r="F300" s="44" t="s">
        <v>27</v>
      </c>
      <c r="G300" s="43">
        <v>0</v>
      </c>
      <c r="H300" s="43">
        <v>0</v>
      </c>
      <c r="I300" s="44">
        <v>19988</v>
      </c>
      <c r="J300" s="43">
        <v>30.5</v>
      </c>
      <c r="K300" s="43" t="s">
        <v>452</v>
      </c>
      <c r="L300" s="43" t="s">
        <v>15</v>
      </c>
    </row>
    <row r="301" spans="1:12">
      <c r="A301" s="43">
        <v>300</v>
      </c>
      <c r="B301" s="43">
        <v>1</v>
      </c>
      <c r="C301" s="43">
        <v>1</v>
      </c>
      <c r="D301" s="43" t="s">
        <v>453</v>
      </c>
      <c r="E301" s="43" t="s">
        <v>17</v>
      </c>
      <c r="F301" s="44">
        <v>50</v>
      </c>
      <c r="G301" s="43">
        <v>0</v>
      </c>
      <c r="H301" s="43">
        <v>1</v>
      </c>
      <c r="I301" s="44" t="s">
        <v>188</v>
      </c>
      <c r="J301" s="43">
        <v>247.5208</v>
      </c>
      <c r="K301" s="43" t="s">
        <v>189</v>
      </c>
      <c r="L301" s="43" t="s">
        <v>20</v>
      </c>
    </row>
    <row r="302" spans="1:12">
      <c r="A302" s="43">
        <v>301</v>
      </c>
      <c r="B302" s="43">
        <v>1</v>
      </c>
      <c r="C302" s="43">
        <v>3</v>
      </c>
      <c r="D302" s="43" t="s">
        <v>454</v>
      </c>
      <c r="E302" s="43" t="s">
        <v>17</v>
      </c>
      <c r="F302" s="44" t="s">
        <v>27</v>
      </c>
      <c r="G302" s="43">
        <v>0</v>
      </c>
      <c r="H302" s="43">
        <v>0</v>
      </c>
      <c r="I302" s="44">
        <v>9234</v>
      </c>
      <c r="J302" s="43">
        <v>7.75</v>
      </c>
      <c r="K302" s="43"/>
      <c r="L302" s="43" t="s">
        <v>28</v>
      </c>
    </row>
    <row r="303" spans="1:12">
      <c r="A303" s="43">
        <v>302</v>
      </c>
      <c r="B303" s="43">
        <v>1</v>
      </c>
      <c r="C303" s="43">
        <v>3</v>
      </c>
      <c r="D303" s="43" t="s">
        <v>455</v>
      </c>
      <c r="E303" s="43" t="s">
        <v>13</v>
      </c>
      <c r="F303" s="44" t="s">
        <v>27</v>
      </c>
      <c r="G303" s="43">
        <v>2</v>
      </c>
      <c r="H303" s="43">
        <v>0</v>
      </c>
      <c r="I303" s="44">
        <v>367226</v>
      </c>
      <c r="J303" s="43">
        <v>23.25</v>
      </c>
      <c r="K303" s="43"/>
      <c r="L303" s="43" t="s">
        <v>28</v>
      </c>
    </row>
    <row r="304" spans="1:12">
      <c r="A304" s="43">
        <v>303</v>
      </c>
      <c r="B304" s="43">
        <v>0</v>
      </c>
      <c r="C304" s="43">
        <v>3</v>
      </c>
      <c r="D304" s="43" t="s">
        <v>456</v>
      </c>
      <c r="E304" s="43" t="s">
        <v>13</v>
      </c>
      <c r="F304" s="44">
        <v>19</v>
      </c>
      <c r="G304" s="43">
        <v>0</v>
      </c>
      <c r="H304" s="43">
        <v>0</v>
      </c>
      <c r="I304" s="44" t="s">
        <v>281</v>
      </c>
      <c r="J304" s="43">
        <v>0</v>
      </c>
      <c r="K304" s="43"/>
      <c r="L304" s="43" t="s">
        <v>15</v>
      </c>
    </row>
    <row r="305" spans="1:12">
      <c r="A305" s="43">
        <v>304</v>
      </c>
      <c r="B305" s="43">
        <v>1</v>
      </c>
      <c r="C305" s="43">
        <v>2</v>
      </c>
      <c r="D305" s="43" t="s">
        <v>457</v>
      </c>
      <c r="E305" s="43" t="s">
        <v>17</v>
      </c>
      <c r="F305" s="44" t="s">
        <v>27</v>
      </c>
      <c r="G305" s="43">
        <v>0</v>
      </c>
      <c r="H305" s="43">
        <v>0</v>
      </c>
      <c r="I305" s="44">
        <v>226593</v>
      </c>
      <c r="J305" s="43">
        <v>12.35</v>
      </c>
      <c r="K305" s="43" t="s">
        <v>196</v>
      </c>
      <c r="L305" s="43" t="s">
        <v>28</v>
      </c>
    </row>
    <row r="306" spans="1:12">
      <c r="A306" s="43">
        <v>305</v>
      </c>
      <c r="B306" s="43">
        <v>0</v>
      </c>
      <c r="C306" s="43">
        <v>3</v>
      </c>
      <c r="D306" s="43" t="s">
        <v>458</v>
      </c>
      <c r="E306" s="43" t="s">
        <v>13</v>
      </c>
      <c r="F306" s="44" t="s">
        <v>27</v>
      </c>
      <c r="G306" s="43">
        <v>0</v>
      </c>
      <c r="H306" s="43">
        <v>0</v>
      </c>
      <c r="I306" s="44" t="s">
        <v>459</v>
      </c>
      <c r="J306" s="43">
        <v>8.05</v>
      </c>
      <c r="K306" s="43"/>
      <c r="L306" s="43" t="s">
        <v>15</v>
      </c>
    </row>
    <row r="307" spans="1:12">
      <c r="A307" s="43">
        <v>306</v>
      </c>
      <c r="B307" s="43">
        <v>1</v>
      </c>
      <c r="C307" s="43">
        <v>1</v>
      </c>
      <c r="D307" s="43" t="s">
        <v>460</v>
      </c>
      <c r="E307" s="43" t="s">
        <v>13</v>
      </c>
      <c r="F307" s="44">
        <v>0.92</v>
      </c>
      <c r="G307" s="43">
        <v>1</v>
      </c>
      <c r="H307" s="43">
        <v>2</v>
      </c>
      <c r="I307" s="44">
        <v>113781</v>
      </c>
      <c r="J307" s="43">
        <v>151.55</v>
      </c>
      <c r="K307" s="43" t="s">
        <v>450</v>
      </c>
      <c r="L307" s="43" t="s">
        <v>15</v>
      </c>
    </row>
    <row r="308" spans="1:12">
      <c r="A308" s="43">
        <v>307</v>
      </c>
      <c r="B308" s="43">
        <v>1</v>
      </c>
      <c r="C308" s="43">
        <v>1</v>
      </c>
      <c r="D308" s="43" t="s">
        <v>461</v>
      </c>
      <c r="E308" s="43" t="s">
        <v>17</v>
      </c>
      <c r="F308" s="44" t="s">
        <v>27</v>
      </c>
      <c r="G308" s="43">
        <v>0</v>
      </c>
      <c r="H308" s="43">
        <v>0</v>
      </c>
      <c r="I308" s="44">
        <v>17421</v>
      </c>
      <c r="J308" s="43">
        <v>110.8833</v>
      </c>
      <c r="K308" s="43"/>
      <c r="L308" s="43" t="s">
        <v>20</v>
      </c>
    </row>
    <row r="309" spans="1:12">
      <c r="A309" s="43">
        <v>308</v>
      </c>
      <c r="B309" s="43">
        <v>1</v>
      </c>
      <c r="C309" s="43">
        <v>1</v>
      </c>
      <c r="D309" s="43" t="s">
        <v>462</v>
      </c>
      <c r="E309" s="43" t="s">
        <v>17</v>
      </c>
      <c r="F309" s="44">
        <v>17</v>
      </c>
      <c r="G309" s="43">
        <v>1</v>
      </c>
      <c r="H309" s="43">
        <v>0</v>
      </c>
      <c r="I309" s="44" t="s">
        <v>463</v>
      </c>
      <c r="J309" s="43">
        <v>108.9</v>
      </c>
      <c r="K309" s="43" t="s">
        <v>464</v>
      </c>
      <c r="L309" s="43" t="s">
        <v>20</v>
      </c>
    </row>
    <row r="310" spans="1:12">
      <c r="A310" s="43">
        <v>309</v>
      </c>
      <c r="B310" s="43">
        <v>0</v>
      </c>
      <c r="C310" s="43">
        <v>2</v>
      </c>
      <c r="D310" s="43" t="s">
        <v>465</v>
      </c>
      <c r="E310" s="43" t="s">
        <v>13</v>
      </c>
      <c r="F310" s="44">
        <v>30</v>
      </c>
      <c r="G310" s="43">
        <v>1</v>
      </c>
      <c r="H310" s="43">
        <v>0</v>
      </c>
      <c r="I310" s="44" t="s">
        <v>466</v>
      </c>
      <c r="J310" s="43">
        <v>24</v>
      </c>
      <c r="K310" s="43"/>
      <c r="L310" s="43" t="s">
        <v>20</v>
      </c>
    </row>
    <row r="311" spans="1:12">
      <c r="A311" s="43">
        <v>310</v>
      </c>
      <c r="B311" s="43">
        <v>1</v>
      </c>
      <c r="C311" s="43">
        <v>1</v>
      </c>
      <c r="D311" s="43" t="s">
        <v>467</v>
      </c>
      <c r="E311" s="43" t="s">
        <v>17</v>
      </c>
      <c r="F311" s="44">
        <v>30</v>
      </c>
      <c r="G311" s="43">
        <v>0</v>
      </c>
      <c r="H311" s="43">
        <v>0</v>
      </c>
      <c r="I311" s="44" t="s">
        <v>468</v>
      </c>
      <c r="J311" s="43">
        <v>56.9292</v>
      </c>
      <c r="K311" s="43" t="s">
        <v>469</v>
      </c>
      <c r="L311" s="43" t="s">
        <v>20</v>
      </c>
    </row>
    <row r="312" spans="1:12">
      <c r="A312" s="43">
        <v>311</v>
      </c>
      <c r="B312" s="43">
        <v>1</v>
      </c>
      <c r="C312" s="43">
        <v>1</v>
      </c>
      <c r="D312" s="43" t="s">
        <v>470</v>
      </c>
      <c r="E312" s="43" t="s">
        <v>17</v>
      </c>
      <c r="F312" s="44">
        <v>24</v>
      </c>
      <c r="G312" s="43">
        <v>0</v>
      </c>
      <c r="H312" s="43">
        <v>0</v>
      </c>
      <c r="I312" s="44">
        <v>11767</v>
      </c>
      <c r="J312" s="43">
        <v>83.1583</v>
      </c>
      <c r="K312" s="43" t="s">
        <v>471</v>
      </c>
      <c r="L312" s="43" t="s">
        <v>20</v>
      </c>
    </row>
    <row r="313" spans="1:12">
      <c r="A313" s="43">
        <v>312</v>
      </c>
      <c r="B313" s="43">
        <v>1</v>
      </c>
      <c r="C313" s="43">
        <v>1</v>
      </c>
      <c r="D313" s="43" t="s">
        <v>472</v>
      </c>
      <c r="E313" s="43" t="s">
        <v>17</v>
      </c>
      <c r="F313" s="44">
        <v>18</v>
      </c>
      <c r="G313" s="43">
        <v>2</v>
      </c>
      <c r="H313" s="43">
        <v>2</v>
      </c>
      <c r="I313" s="44" t="s">
        <v>473</v>
      </c>
      <c r="J313" s="43">
        <v>262.375</v>
      </c>
      <c r="K313" s="43" t="s">
        <v>474</v>
      </c>
      <c r="L313" s="43" t="s">
        <v>20</v>
      </c>
    </row>
    <row r="314" spans="1:12">
      <c r="A314" s="43">
        <v>313</v>
      </c>
      <c r="B314" s="43">
        <v>0</v>
      </c>
      <c r="C314" s="43">
        <v>2</v>
      </c>
      <c r="D314" s="43" t="s">
        <v>475</v>
      </c>
      <c r="E314" s="43" t="s">
        <v>17</v>
      </c>
      <c r="F314" s="44">
        <v>26</v>
      </c>
      <c r="G314" s="43">
        <v>1</v>
      </c>
      <c r="H314" s="43">
        <v>1</v>
      </c>
      <c r="I314" s="44">
        <v>250651</v>
      </c>
      <c r="J314" s="43">
        <v>26</v>
      </c>
      <c r="K314" s="43"/>
      <c r="L314" s="43" t="s">
        <v>15</v>
      </c>
    </row>
    <row r="315" spans="1:12">
      <c r="A315" s="43">
        <v>314</v>
      </c>
      <c r="B315" s="43">
        <v>0</v>
      </c>
      <c r="C315" s="43">
        <v>3</v>
      </c>
      <c r="D315" s="43" t="s">
        <v>476</v>
      </c>
      <c r="E315" s="43" t="s">
        <v>13</v>
      </c>
      <c r="F315" s="44">
        <v>28</v>
      </c>
      <c r="G315" s="43">
        <v>0</v>
      </c>
      <c r="H315" s="43">
        <v>0</v>
      </c>
      <c r="I315" s="44">
        <v>349243</v>
      </c>
      <c r="J315" s="43">
        <v>7.8958</v>
      </c>
      <c r="K315" s="43"/>
      <c r="L315" s="43" t="s">
        <v>15</v>
      </c>
    </row>
    <row r="316" spans="1:12">
      <c r="A316" s="43">
        <v>315</v>
      </c>
      <c r="B316" s="43">
        <v>0</v>
      </c>
      <c r="C316" s="43">
        <v>2</v>
      </c>
      <c r="D316" s="43" t="s">
        <v>477</v>
      </c>
      <c r="E316" s="43" t="s">
        <v>13</v>
      </c>
      <c r="F316" s="44">
        <v>43</v>
      </c>
      <c r="G316" s="43">
        <v>1</v>
      </c>
      <c r="H316" s="43">
        <v>1</v>
      </c>
      <c r="I316" s="44" t="s">
        <v>478</v>
      </c>
      <c r="J316" s="43">
        <v>26.25</v>
      </c>
      <c r="K316" s="43"/>
      <c r="L316" s="43" t="s">
        <v>15</v>
      </c>
    </row>
    <row r="317" spans="1:12">
      <c r="A317" s="43">
        <v>316</v>
      </c>
      <c r="B317" s="43">
        <v>1</v>
      </c>
      <c r="C317" s="43">
        <v>3</v>
      </c>
      <c r="D317" s="43" t="s">
        <v>479</v>
      </c>
      <c r="E317" s="43" t="s">
        <v>17</v>
      </c>
      <c r="F317" s="44">
        <v>26</v>
      </c>
      <c r="G317" s="43">
        <v>0</v>
      </c>
      <c r="H317" s="43">
        <v>0</v>
      </c>
      <c r="I317" s="44">
        <v>347470</v>
      </c>
      <c r="J317" s="43">
        <v>7.8542</v>
      </c>
      <c r="K317" s="43"/>
      <c r="L317" s="43" t="s">
        <v>15</v>
      </c>
    </row>
    <row r="318" spans="1:12">
      <c r="A318" s="43">
        <v>317</v>
      </c>
      <c r="B318" s="43">
        <v>1</v>
      </c>
      <c r="C318" s="43">
        <v>2</v>
      </c>
      <c r="D318" s="43" t="s">
        <v>480</v>
      </c>
      <c r="E318" s="43" t="s">
        <v>17</v>
      </c>
      <c r="F318" s="44">
        <v>24</v>
      </c>
      <c r="G318" s="43">
        <v>1</v>
      </c>
      <c r="H318" s="43">
        <v>0</v>
      </c>
      <c r="I318" s="44">
        <v>244367</v>
      </c>
      <c r="J318" s="43">
        <v>26</v>
      </c>
      <c r="K318" s="43"/>
      <c r="L318" s="43" t="s">
        <v>15</v>
      </c>
    </row>
    <row r="319" spans="1:12">
      <c r="A319" s="43">
        <v>318</v>
      </c>
      <c r="B319" s="43">
        <v>0</v>
      </c>
      <c r="C319" s="43">
        <v>2</v>
      </c>
      <c r="D319" s="43" t="s">
        <v>481</v>
      </c>
      <c r="E319" s="43" t="s">
        <v>13</v>
      </c>
      <c r="F319" s="44">
        <v>54</v>
      </c>
      <c r="G319" s="43">
        <v>0</v>
      </c>
      <c r="H319" s="43">
        <v>0</v>
      </c>
      <c r="I319" s="44">
        <v>29011</v>
      </c>
      <c r="J319" s="43">
        <v>14</v>
      </c>
      <c r="K319" s="43"/>
      <c r="L319" s="43" t="s">
        <v>15</v>
      </c>
    </row>
    <row r="320" spans="1:12">
      <c r="A320" s="43">
        <v>319</v>
      </c>
      <c r="B320" s="43">
        <v>1</v>
      </c>
      <c r="C320" s="43">
        <v>1</v>
      </c>
      <c r="D320" s="43" t="s">
        <v>482</v>
      </c>
      <c r="E320" s="43" t="s">
        <v>17</v>
      </c>
      <c r="F320" s="44">
        <v>31</v>
      </c>
      <c r="G320" s="43">
        <v>0</v>
      </c>
      <c r="H320" s="43">
        <v>2</v>
      </c>
      <c r="I320" s="44">
        <v>36928</v>
      </c>
      <c r="J320" s="43">
        <v>164.8667</v>
      </c>
      <c r="K320" s="43" t="s">
        <v>483</v>
      </c>
      <c r="L320" s="43" t="s">
        <v>15</v>
      </c>
    </row>
    <row r="321" spans="1:12">
      <c r="A321" s="43">
        <v>320</v>
      </c>
      <c r="B321" s="43">
        <v>1</v>
      </c>
      <c r="C321" s="43">
        <v>1</v>
      </c>
      <c r="D321" s="43" t="s">
        <v>484</v>
      </c>
      <c r="E321" s="43" t="s">
        <v>17</v>
      </c>
      <c r="F321" s="44">
        <v>40</v>
      </c>
      <c r="G321" s="43">
        <v>1</v>
      </c>
      <c r="H321" s="43">
        <v>1</v>
      </c>
      <c r="I321" s="44">
        <v>16966</v>
      </c>
      <c r="J321" s="43">
        <v>134.5</v>
      </c>
      <c r="K321" s="43" t="s">
        <v>485</v>
      </c>
      <c r="L321" s="43" t="s">
        <v>20</v>
      </c>
    </row>
    <row r="322" spans="1:12">
      <c r="A322" s="43">
        <v>321</v>
      </c>
      <c r="B322" s="43">
        <v>0</v>
      </c>
      <c r="C322" s="43">
        <v>3</v>
      </c>
      <c r="D322" s="43" t="s">
        <v>486</v>
      </c>
      <c r="E322" s="43" t="s">
        <v>13</v>
      </c>
      <c r="F322" s="44">
        <v>22</v>
      </c>
      <c r="G322" s="43">
        <v>0</v>
      </c>
      <c r="H322" s="43">
        <v>0</v>
      </c>
      <c r="I322" s="44" t="s">
        <v>487</v>
      </c>
      <c r="J322" s="43">
        <v>7.25</v>
      </c>
      <c r="K322" s="43"/>
      <c r="L322" s="43" t="s">
        <v>15</v>
      </c>
    </row>
    <row r="323" spans="1:12">
      <c r="A323" s="43">
        <v>322</v>
      </c>
      <c r="B323" s="43">
        <v>0</v>
      </c>
      <c r="C323" s="43">
        <v>3</v>
      </c>
      <c r="D323" s="43" t="s">
        <v>488</v>
      </c>
      <c r="E323" s="43" t="s">
        <v>13</v>
      </c>
      <c r="F323" s="44">
        <v>27</v>
      </c>
      <c r="G323" s="43">
        <v>0</v>
      </c>
      <c r="H323" s="43">
        <v>0</v>
      </c>
      <c r="I323" s="44">
        <v>349219</v>
      </c>
      <c r="J323" s="43">
        <v>7.8958</v>
      </c>
      <c r="K323" s="43"/>
      <c r="L323" s="43" t="s">
        <v>15</v>
      </c>
    </row>
    <row r="324" spans="1:12">
      <c r="A324" s="43">
        <v>323</v>
      </c>
      <c r="B324" s="43">
        <v>1</v>
      </c>
      <c r="C324" s="43">
        <v>2</v>
      </c>
      <c r="D324" s="43" t="s">
        <v>489</v>
      </c>
      <c r="E324" s="43" t="s">
        <v>17</v>
      </c>
      <c r="F324" s="44">
        <v>30</v>
      </c>
      <c r="G324" s="43">
        <v>0</v>
      </c>
      <c r="H324" s="43">
        <v>0</v>
      </c>
      <c r="I324" s="44">
        <v>234818</v>
      </c>
      <c r="J324" s="43">
        <v>12.35</v>
      </c>
      <c r="K324" s="43"/>
      <c r="L324" s="43" t="s">
        <v>28</v>
      </c>
    </row>
    <row r="325" spans="1:12">
      <c r="A325" s="43">
        <v>324</v>
      </c>
      <c r="B325" s="43">
        <v>1</v>
      </c>
      <c r="C325" s="43">
        <v>2</v>
      </c>
      <c r="D325" s="43" t="s">
        <v>490</v>
      </c>
      <c r="E325" s="43" t="s">
        <v>17</v>
      </c>
      <c r="F325" s="44">
        <v>22</v>
      </c>
      <c r="G325" s="43">
        <v>1</v>
      </c>
      <c r="H325" s="43">
        <v>1</v>
      </c>
      <c r="I325" s="44">
        <v>248738</v>
      </c>
      <c r="J325" s="43">
        <v>29</v>
      </c>
      <c r="K325" s="43"/>
      <c r="L325" s="43" t="s">
        <v>15</v>
      </c>
    </row>
    <row r="326" spans="1:12">
      <c r="A326" s="43">
        <v>325</v>
      </c>
      <c r="B326" s="43">
        <v>0</v>
      </c>
      <c r="C326" s="43">
        <v>3</v>
      </c>
      <c r="D326" s="43" t="s">
        <v>491</v>
      </c>
      <c r="E326" s="43" t="s">
        <v>13</v>
      </c>
      <c r="F326" s="44" t="s">
        <v>27</v>
      </c>
      <c r="G326" s="43">
        <v>8</v>
      </c>
      <c r="H326" s="43">
        <v>2</v>
      </c>
      <c r="I326" s="44" t="s">
        <v>252</v>
      </c>
      <c r="J326" s="43">
        <v>69.55</v>
      </c>
      <c r="K326" s="43"/>
      <c r="L326" s="43" t="s">
        <v>15</v>
      </c>
    </row>
    <row r="327" spans="1:12">
      <c r="A327" s="43">
        <v>326</v>
      </c>
      <c r="B327" s="43">
        <v>1</v>
      </c>
      <c r="C327" s="43">
        <v>1</v>
      </c>
      <c r="D327" s="43" t="s">
        <v>492</v>
      </c>
      <c r="E327" s="43" t="s">
        <v>17</v>
      </c>
      <c r="F327" s="44">
        <v>36</v>
      </c>
      <c r="G327" s="43">
        <v>0</v>
      </c>
      <c r="H327" s="43">
        <v>0</v>
      </c>
      <c r="I327" s="44" t="s">
        <v>410</v>
      </c>
      <c r="J327" s="43">
        <v>135.6333</v>
      </c>
      <c r="K327" s="43" t="s">
        <v>493</v>
      </c>
      <c r="L327" s="43" t="s">
        <v>20</v>
      </c>
    </row>
    <row r="328" spans="1:12">
      <c r="A328" s="43">
        <v>327</v>
      </c>
      <c r="B328" s="43">
        <v>0</v>
      </c>
      <c r="C328" s="43">
        <v>3</v>
      </c>
      <c r="D328" s="43" t="s">
        <v>494</v>
      </c>
      <c r="E328" s="43" t="s">
        <v>13</v>
      </c>
      <c r="F328" s="44">
        <v>61</v>
      </c>
      <c r="G328" s="43">
        <v>0</v>
      </c>
      <c r="H328" s="43">
        <v>0</v>
      </c>
      <c r="I328" s="44">
        <v>345364</v>
      </c>
      <c r="J328" s="43">
        <v>6.2375</v>
      </c>
      <c r="K328" s="43"/>
      <c r="L328" s="43" t="s">
        <v>15</v>
      </c>
    </row>
    <row r="329" spans="1:12">
      <c r="A329" s="43">
        <v>328</v>
      </c>
      <c r="B329" s="43">
        <v>1</v>
      </c>
      <c r="C329" s="43">
        <v>2</v>
      </c>
      <c r="D329" s="43" t="s">
        <v>495</v>
      </c>
      <c r="E329" s="43" t="s">
        <v>17</v>
      </c>
      <c r="F329" s="44">
        <v>36</v>
      </c>
      <c r="G329" s="43">
        <v>0</v>
      </c>
      <c r="H329" s="43">
        <v>0</v>
      </c>
      <c r="I329" s="44">
        <v>28551</v>
      </c>
      <c r="J329" s="43">
        <v>13</v>
      </c>
      <c r="K329" s="43" t="s">
        <v>443</v>
      </c>
      <c r="L329" s="43" t="s">
        <v>15</v>
      </c>
    </row>
    <row r="330" spans="1:12">
      <c r="A330" s="43">
        <v>329</v>
      </c>
      <c r="B330" s="43">
        <v>1</v>
      </c>
      <c r="C330" s="43">
        <v>3</v>
      </c>
      <c r="D330" s="43" t="s">
        <v>496</v>
      </c>
      <c r="E330" s="43" t="s">
        <v>17</v>
      </c>
      <c r="F330" s="44">
        <v>31</v>
      </c>
      <c r="G330" s="43">
        <v>1</v>
      </c>
      <c r="H330" s="43">
        <v>1</v>
      </c>
      <c r="I330" s="44">
        <v>363291</v>
      </c>
      <c r="J330" s="43">
        <v>20.525</v>
      </c>
      <c r="K330" s="43"/>
      <c r="L330" s="43" t="s">
        <v>15</v>
      </c>
    </row>
    <row r="331" spans="1:12">
      <c r="A331" s="43">
        <v>330</v>
      </c>
      <c r="B331" s="43">
        <v>1</v>
      </c>
      <c r="C331" s="43">
        <v>1</v>
      </c>
      <c r="D331" s="43" t="s">
        <v>497</v>
      </c>
      <c r="E331" s="43" t="s">
        <v>17</v>
      </c>
      <c r="F331" s="44">
        <v>16</v>
      </c>
      <c r="G331" s="43">
        <v>0</v>
      </c>
      <c r="H331" s="43">
        <v>1</v>
      </c>
      <c r="I331" s="44">
        <v>111361</v>
      </c>
      <c r="J331" s="43">
        <v>57.9792</v>
      </c>
      <c r="K331" s="43" t="s">
        <v>498</v>
      </c>
      <c r="L331" s="43" t="s">
        <v>20</v>
      </c>
    </row>
    <row r="332" spans="1:12">
      <c r="A332" s="43">
        <v>331</v>
      </c>
      <c r="B332" s="43">
        <v>1</v>
      </c>
      <c r="C332" s="43">
        <v>3</v>
      </c>
      <c r="D332" s="43" t="s">
        <v>499</v>
      </c>
      <c r="E332" s="43" t="s">
        <v>17</v>
      </c>
      <c r="F332" s="44" t="s">
        <v>27</v>
      </c>
      <c r="G332" s="43">
        <v>2</v>
      </c>
      <c r="H332" s="43">
        <v>0</v>
      </c>
      <c r="I332" s="44">
        <v>367226</v>
      </c>
      <c r="J332" s="43">
        <v>23.25</v>
      </c>
      <c r="K332" s="43"/>
      <c r="L332" s="43" t="s">
        <v>28</v>
      </c>
    </row>
    <row r="333" spans="1:12">
      <c r="A333" s="43">
        <v>332</v>
      </c>
      <c r="B333" s="43">
        <v>0</v>
      </c>
      <c r="C333" s="43">
        <v>1</v>
      </c>
      <c r="D333" s="43" t="s">
        <v>500</v>
      </c>
      <c r="E333" s="43" t="s">
        <v>13</v>
      </c>
      <c r="F333" s="44">
        <v>45.5</v>
      </c>
      <c r="G333" s="43">
        <v>0</v>
      </c>
      <c r="H333" s="43">
        <v>0</v>
      </c>
      <c r="I333" s="44">
        <v>113043</v>
      </c>
      <c r="J333" s="43">
        <v>28.5</v>
      </c>
      <c r="K333" s="43" t="s">
        <v>501</v>
      </c>
      <c r="L333" s="43" t="s">
        <v>15</v>
      </c>
    </row>
    <row r="334" spans="1:12">
      <c r="A334" s="43">
        <v>333</v>
      </c>
      <c r="B334" s="43">
        <v>0</v>
      </c>
      <c r="C334" s="43">
        <v>1</v>
      </c>
      <c r="D334" s="43" t="s">
        <v>502</v>
      </c>
      <c r="E334" s="43" t="s">
        <v>13</v>
      </c>
      <c r="F334" s="44">
        <v>38</v>
      </c>
      <c r="G334" s="43">
        <v>0</v>
      </c>
      <c r="H334" s="43">
        <v>1</v>
      </c>
      <c r="I334" s="44" t="s">
        <v>407</v>
      </c>
      <c r="J334" s="43">
        <v>153.4625</v>
      </c>
      <c r="K334" s="43" t="s">
        <v>503</v>
      </c>
      <c r="L334" s="43" t="s">
        <v>15</v>
      </c>
    </row>
    <row r="335" spans="1:12">
      <c r="A335" s="43">
        <v>334</v>
      </c>
      <c r="B335" s="43">
        <v>0</v>
      </c>
      <c r="C335" s="43">
        <v>3</v>
      </c>
      <c r="D335" s="43" t="s">
        <v>504</v>
      </c>
      <c r="E335" s="43" t="s">
        <v>13</v>
      </c>
      <c r="F335" s="44">
        <v>16</v>
      </c>
      <c r="G335" s="43">
        <v>2</v>
      </c>
      <c r="H335" s="43">
        <v>0</v>
      </c>
      <c r="I335" s="44">
        <v>345764</v>
      </c>
      <c r="J335" s="43">
        <v>18</v>
      </c>
      <c r="K335" s="43"/>
      <c r="L335" s="43" t="s">
        <v>15</v>
      </c>
    </row>
    <row r="336" spans="1:12">
      <c r="A336" s="43">
        <v>335</v>
      </c>
      <c r="B336" s="43">
        <v>1</v>
      </c>
      <c r="C336" s="43">
        <v>1</v>
      </c>
      <c r="D336" s="43" t="s">
        <v>505</v>
      </c>
      <c r="E336" s="43" t="s">
        <v>17</v>
      </c>
      <c r="F336" s="44" t="s">
        <v>27</v>
      </c>
      <c r="G336" s="43">
        <v>1</v>
      </c>
      <c r="H336" s="43">
        <v>0</v>
      </c>
      <c r="I336" s="44" t="s">
        <v>506</v>
      </c>
      <c r="J336" s="43">
        <v>133.65</v>
      </c>
      <c r="K336" s="43"/>
      <c r="L336" s="43" t="s">
        <v>15</v>
      </c>
    </row>
    <row r="337" spans="1:12">
      <c r="A337" s="43">
        <v>336</v>
      </c>
      <c r="B337" s="43">
        <v>0</v>
      </c>
      <c r="C337" s="43">
        <v>3</v>
      </c>
      <c r="D337" s="43" t="s">
        <v>507</v>
      </c>
      <c r="E337" s="43" t="s">
        <v>13</v>
      </c>
      <c r="F337" s="44" t="s">
        <v>27</v>
      </c>
      <c r="G337" s="43">
        <v>0</v>
      </c>
      <c r="H337" s="43">
        <v>0</v>
      </c>
      <c r="I337" s="44">
        <v>349225</v>
      </c>
      <c r="J337" s="43">
        <v>7.8958</v>
      </c>
      <c r="K337" s="43"/>
      <c r="L337" s="43" t="s">
        <v>15</v>
      </c>
    </row>
    <row r="338" spans="1:12">
      <c r="A338" s="43">
        <v>337</v>
      </c>
      <c r="B338" s="43">
        <v>0</v>
      </c>
      <c r="C338" s="43">
        <v>1</v>
      </c>
      <c r="D338" s="43" t="s">
        <v>508</v>
      </c>
      <c r="E338" s="43" t="s">
        <v>13</v>
      </c>
      <c r="F338" s="44">
        <v>29</v>
      </c>
      <c r="G338" s="43">
        <v>1</v>
      </c>
      <c r="H338" s="43">
        <v>0</v>
      </c>
      <c r="I338" s="44">
        <v>113776</v>
      </c>
      <c r="J338" s="43">
        <v>66.6</v>
      </c>
      <c r="K338" s="43" t="s">
        <v>238</v>
      </c>
      <c r="L338" s="43" t="s">
        <v>15</v>
      </c>
    </row>
    <row r="339" spans="1:12">
      <c r="A339" s="43">
        <v>338</v>
      </c>
      <c r="B339" s="43">
        <v>1</v>
      </c>
      <c r="C339" s="43">
        <v>1</v>
      </c>
      <c r="D339" s="43" t="s">
        <v>509</v>
      </c>
      <c r="E339" s="43" t="s">
        <v>17</v>
      </c>
      <c r="F339" s="44">
        <v>41</v>
      </c>
      <c r="G339" s="43">
        <v>0</v>
      </c>
      <c r="H339" s="43">
        <v>0</v>
      </c>
      <c r="I339" s="44">
        <v>16966</v>
      </c>
      <c r="J339" s="43">
        <v>134.5</v>
      </c>
      <c r="K339" s="43" t="s">
        <v>510</v>
      </c>
      <c r="L339" s="43" t="s">
        <v>20</v>
      </c>
    </row>
    <row r="340" spans="1:12">
      <c r="A340" s="43">
        <v>339</v>
      </c>
      <c r="B340" s="43">
        <v>1</v>
      </c>
      <c r="C340" s="43">
        <v>3</v>
      </c>
      <c r="D340" s="43" t="s">
        <v>511</v>
      </c>
      <c r="E340" s="43" t="s">
        <v>13</v>
      </c>
      <c r="F340" s="44">
        <v>45</v>
      </c>
      <c r="G340" s="43">
        <v>0</v>
      </c>
      <c r="H340" s="43">
        <v>0</v>
      </c>
      <c r="I340" s="44">
        <v>7598</v>
      </c>
      <c r="J340" s="43">
        <v>8.05</v>
      </c>
      <c r="K340" s="43"/>
      <c r="L340" s="43" t="s">
        <v>15</v>
      </c>
    </row>
    <row r="341" spans="1:12">
      <c r="A341" s="43">
        <v>340</v>
      </c>
      <c r="B341" s="43">
        <v>0</v>
      </c>
      <c r="C341" s="43">
        <v>1</v>
      </c>
      <c r="D341" s="43" t="s">
        <v>512</v>
      </c>
      <c r="E341" s="43" t="s">
        <v>13</v>
      </c>
      <c r="F341" s="44">
        <v>45</v>
      </c>
      <c r="G341" s="43">
        <v>0</v>
      </c>
      <c r="H341" s="43">
        <v>0</v>
      </c>
      <c r="I341" s="44">
        <v>113784</v>
      </c>
      <c r="J341" s="43">
        <v>35.5</v>
      </c>
      <c r="K341" s="43" t="s">
        <v>513</v>
      </c>
      <c r="L341" s="43" t="s">
        <v>15</v>
      </c>
    </row>
    <row r="342" spans="1:12">
      <c r="A342" s="43">
        <v>341</v>
      </c>
      <c r="B342" s="43">
        <v>1</v>
      </c>
      <c r="C342" s="43">
        <v>2</v>
      </c>
      <c r="D342" s="43" t="s">
        <v>514</v>
      </c>
      <c r="E342" s="43" t="s">
        <v>13</v>
      </c>
      <c r="F342" s="44">
        <v>2</v>
      </c>
      <c r="G342" s="43">
        <v>1</v>
      </c>
      <c r="H342" s="43">
        <v>1</v>
      </c>
      <c r="I342" s="44">
        <v>230080</v>
      </c>
      <c r="J342" s="43">
        <v>26</v>
      </c>
      <c r="K342" s="43" t="s">
        <v>233</v>
      </c>
      <c r="L342" s="43" t="s">
        <v>15</v>
      </c>
    </row>
    <row r="343" spans="1:12">
      <c r="A343" s="43">
        <v>342</v>
      </c>
      <c r="B343" s="43">
        <v>1</v>
      </c>
      <c r="C343" s="43">
        <v>1</v>
      </c>
      <c r="D343" s="43" t="s">
        <v>515</v>
      </c>
      <c r="E343" s="43" t="s">
        <v>17</v>
      </c>
      <c r="F343" s="44">
        <v>24</v>
      </c>
      <c r="G343" s="43">
        <v>3</v>
      </c>
      <c r="H343" s="43">
        <v>2</v>
      </c>
      <c r="I343" s="44">
        <v>19950</v>
      </c>
      <c r="J343" s="43">
        <v>263</v>
      </c>
      <c r="K343" s="43" t="s">
        <v>58</v>
      </c>
      <c r="L343" s="43" t="s">
        <v>15</v>
      </c>
    </row>
    <row r="344" spans="1:12">
      <c r="A344" s="43">
        <v>343</v>
      </c>
      <c r="B344" s="43">
        <v>0</v>
      </c>
      <c r="C344" s="43">
        <v>2</v>
      </c>
      <c r="D344" s="43" t="s">
        <v>516</v>
      </c>
      <c r="E344" s="43" t="s">
        <v>13</v>
      </c>
      <c r="F344" s="44">
        <v>28</v>
      </c>
      <c r="G344" s="43">
        <v>0</v>
      </c>
      <c r="H344" s="43">
        <v>0</v>
      </c>
      <c r="I344" s="44">
        <v>248740</v>
      </c>
      <c r="J344" s="43">
        <v>13</v>
      </c>
      <c r="K344" s="43"/>
      <c r="L344" s="43" t="s">
        <v>15</v>
      </c>
    </row>
    <row r="345" spans="1:12">
      <c r="A345" s="43">
        <v>344</v>
      </c>
      <c r="B345" s="43">
        <v>0</v>
      </c>
      <c r="C345" s="43">
        <v>2</v>
      </c>
      <c r="D345" s="43" t="s">
        <v>517</v>
      </c>
      <c r="E345" s="43" t="s">
        <v>13</v>
      </c>
      <c r="F345" s="44">
        <v>25</v>
      </c>
      <c r="G345" s="43">
        <v>0</v>
      </c>
      <c r="H345" s="43">
        <v>0</v>
      </c>
      <c r="I345" s="44">
        <v>244361</v>
      </c>
      <c r="J345" s="43">
        <v>13</v>
      </c>
      <c r="K345" s="43"/>
      <c r="L345" s="43" t="s">
        <v>15</v>
      </c>
    </row>
    <row r="346" spans="1:12">
      <c r="A346" s="43">
        <v>345</v>
      </c>
      <c r="B346" s="43">
        <v>0</v>
      </c>
      <c r="C346" s="43">
        <v>2</v>
      </c>
      <c r="D346" s="43" t="s">
        <v>518</v>
      </c>
      <c r="E346" s="43" t="s">
        <v>13</v>
      </c>
      <c r="F346" s="44">
        <v>36</v>
      </c>
      <c r="G346" s="43">
        <v>0</v>
      </c>
      <c r="H346" s="43">
        <v>0</v>
      </c>
      <c r="I346" s="44">
        <v>229236</v>
      </c>
      <c r="J346" s="43">
        <v>13</v>
      </c>
      <c r="K346" s="43"/>
      <c r="L346" s="43" t="s">
        <v>15</v>
      </c>
    </row>
    <row r="347" spans="1:12">
      <c r="A347" s="43">
        <v>346</v>
      </c>
      <c r="B347" s="43">
        <v>1</v>
      </c>
      <c r="C347" s="43">
        <v>2</v>
      </c>
      <c r="D347" s="43" t="s">
        <v>519</v>
      </c>
      <c r="E347" s="43" t="s">
        <v>17</v>
      </c>
      <c r="F347" s="44">
        <v>24</v>
      </c>
      <c r="G347" s="43">
        <v>0</v>
      </c>
      <c r="H347" s="43">
        <v>0</v>
      </c>
      <c r="I347" s="44">
        <v>248733</v>
      </c>
      <c r="J347" s="43">
        <v>13</v>
      </c>
      <c r="K347" s="43" t="s">
        <v>118</v>
      </c>
      <c r="L347" s="43" t="s">
        <v>15</v>
      </c>
    </row>
    <row r="348" spans="1:12">
      <c r="A348" s="43">
        <v>347</v>
      </c>
      <c r="B348" s="43">
        <v>1</v>
      </c>
      <c r="C348" s="43">
        <v>2</v>
      </c>
      <c r="D348" s="43" t="s">
        <v>520</v>
      </c>
      <c r="E348" s="43" t="s">
        <v>17</v>
      </c>
      <c r="F348" s="44">
        <v>40</v>
      </c>
      <c r="G348" s="43">
        <v>0</v>
      </c>
      <c r="H348" s="43">
        <v>0</v>
      </c>
      <c r="I348" s="44">
        <v>31418</v>
      </c>
      <c r="J348" s="43">
        <v>13</v>
      </c>
      <c r="K348" s="43"/>
      <c r="L348" s="43" t="s">
        <v>15</v>
      </c>
    </row>
    <row r="349" spans="1:12">
      <c r="A349" s="43">
        <v>348</v>
      </c>
      <c r="B349" s="43">
        <v>1</v>
      </c>
      <c r="C349" s="43">
        <v>3</v>
      </c>
      <c r="D349" s="43" t="s">
        <v>521</v>
      </c>
      <c r="E349" s="43" t="s">
        <v>17</v>
      </c>
      <c r="F349" s="44" t="s">
        <v>27</v>
      </c>
      <c r="G349" s="43">
        <v>1</v>
      </c>
      <c r="H349" s="43">
        <v>0</v>
      </c>
      <c r="I349" s="44">
        <v>386525</v>
      </c>
      <c r="J349" s="43">
        <v>16.1</v>
      </c>
      <c r="K349" s="43"/>
      <c r="L349" s="43" t="s">
        <v>15</v>
      </c>
    </row>
    <row r="350" spans="1:12">
      <c r="A350" s="43">
        <v>349</v>
      </c>
      <c r="B350" s="43">
        <v>1</v>
      </c>
      <c r="C350" s="43">
        <v>3</v>
      </c>
      <c r="D350" s="43" t="s">
        <v>522</v>
      </c>
      <c r="E350" s="43" t="s">
        <v>13</v>
      </c>
      <c r="F350" s="44">
        <v>3</v>
      </c>
      <c r="G350" s="43">
        <v>1</v>
      </c>
      <c r="H350" s="43">
        <v>1</v>
      </c>
      <c r="I350" s="44" t="s">
        <v>523</v>
      </c>
      <c r="J350" s="43">
        <v>15.9</v>
      </c>
      <c r="K350" s="43"/>
      <c r="L350" s="43" t="s">
        <v>15</v>
      </c>
    </row>
    <row r="351" spans="1:12">
      <c r="A351" s="43">
        <v>350</v>
      </c>
      <c r="B351" s="43">
        <v>0</v>
      </c>
      <c r="C351" s="43">
        <v>3</v>
      </c>
      <c r="D351" s="43" t="s">
        <v>524</v>
      </c>
      <c r="E351" s="43" t="s">
        <v>13</v>
      </c>
      <c r="F351" s="44">
        <v>42</v>
      </c>
      <c r="G351" s="43">
        <v>0</v>
      </c>
      <c r="H351" s="43">
        <v>0</v>
      </c>
      <c r="I351" s="44">
        <v>315088</v>
      </c>
      <c r="J351" s="43">
        <v>8.6625</v>
      </c>
      <c r="K351" s="43"/>
      <c r="L351" s="43" t="s">
        <v>15</v>
      </c>
    </row>
    <row r="352" spans="1:12">
      <c r="A352" s="43">
        <v>351</v>
      </c>
      <c r="B352" s="43">
        <v>0</v>
      </c>
      <c r="C352" s="43">
        <v>3</v>
      </c>
      <c r="D352" s="43" t="s">
        <v>525</v>
      </c>
      <c r="E352" s="43" t="s">
        <v>13</v>
      </c>
      <c r="F352" s="44">
        <v>23</v>
      </c>
      <c r="G352" s="43">
        <v>0</v>
      </c>
      <c r="H352" s="43">
        <v>0</v>
      </c>
      <c r="I352" s="44">
        <v>7267</v>
      </c>
      <c r="J352" s="43">
        <v>9.225</v>
      </c>
      <c r="K352" s="43"/>
      <c r="L352" s="43" t="s">
        <v>15</v>
      </c>
    </row>
    <row r="353" spans="1:12">
      <c r="A353" s="43">
        <v>352</v>
      </c>
      <c r="B353" s="43">
        <v>0</v>
      </c>
      <c r="C353" s="43">
        <v>1</v>
      </c>
      <c r="D353" s="43" t="s">
        <v>526</v>
      </c>
      <c r="E353" s="43" t="s">
        <v>13</v>
      </c>
      <c r="F353" s="44" t="s">
        <v>27</v>
      </c>
      <c r="G353" s="43">
        <v>0</v>
      </c>
      <c r="H353" s="43">
        <v>0</v>
      </c>
      <c r="I353" s="44">
        <v>113510</v>
      </c>
      <c r="J353" s="43">
        <v>35</v>
      </c>
      <c r="K353" s="43" t="s">
        <v>527</v>
      </c>
      <c r="L353" s="43" t="s">
        <v>15</v>
      </c>
    </row>
    <row r="354" spans="1:12">
      <c r="A354" s="43">
        <v>353</v>
      </c>
      <c r="B354" s="43">
        <v>0</v>
      </c>
      <c r="C354" s="43">
        <v>3</v>
      </c>
      <c r="D354" s="43" t="s">
        <v>528</v>
      </c>
      <c r="E354" s="43" t="s">
        <v>13</v>
      </c>
      <c r="F354" s="44">
        <v>15</v>
      </c>
      <c r="G354" s="43">
        <v>1</v>
      </c>
      <c r="H354" s="43">
        <v>1</v>
      </c>
      <c r="I354" s="44">
        <v>2695</v>
      </c>
      <c r="J354" s="43">
        <v>7.2292</v>
      </c>
      <c r="K354" s="43"/>
      <c r="L354" s="43" t="s">
        <v>20</v>
      </c>
    </row>
    <row r="355" spans="1:12">
      <c r="A355" s="43">
        <v>354</v>
      </c>
      <c r="B355" s="43">
        <v>0</v>
      </c>
      <c r="C355" s="43">
        <v>3</v>
      </c>
      <c r="D355" s="43" t="s">
        <v>529</v>
      </c>
      <c r="E355" s="43" t="s">
        <v>13</v>
      </c>
      <c r="F355" s="44">
        <v>25</v>
      </c>
      <c r="G355" s="43">
        <v>1</v>
      </c>
      <c r="H355" s="43">
        <v>0</v>
      </c>
      <c r="I355" s="44">
        <v>349237</v>
      </c>
      <c r="J355" s="43">
        <v>17.8</v>
      </c>
      <c r="K355" s="43"/>
      <c r="L355" s="43" t="s">
        <v>15</v>
      </c>
    </row>
    <row r="356" spans="1:12">
      <c r="A356" s="43">
        <v>355</v>
      </c>
      <c r="B356" s="43">
        <v>0</v>
      </c>
      <c r="C356" s="43">
        <v>3</v>
      </c>
      <c r="D356" s="43" t="s">
        <v>530</v>
      </c>
      <c r="E356" s="43" t="s">
        <v>13</v>
      </c>
      <c r="F356" s="44" t="s">
        <v>27</v>
      </c>
      <c r="G356" s="43">
        <v>0</v>
      </c>
      <c r="H356" s="43">
        <v>0</v>
      </c>
      <c r="I356" s="44">
        <v>2647</v>
      </c>
      <c r="J356" s="43">
        <v>7.225</v>
      </c>
      <c r="K356" s="43"/>
      <c r="L356" s="43" t="s">
        <v>20</v>
      </c>
    </row>
    <row r="357" spans="1:12">
      <c r="A357" s="43">
        <v>356</v>
      </c>
      <c r="B357" s="43">
        <v>0</v>
      </c>
      <c r="C357" s="43">
        <v>3</v>
      </c>
      <c r="D357" s="43" t="s">
        <v>531</v>
      </c>
      <c r="E357" s="43" t="s">
        <v>13</v>
      </c>
      <c r="F357" s="44">
        <v>28</v>
      </c>
      <c r="G357" s="43">
        <v>0</v>
      </c>
      <c r="H357" s="43">
        <v>0</v>
      </c>
      <c r="I357" s="44">
        <v>345783</v>
      </c>
      <c r="J357" s="43">
        <v>9.5</v>
      </c>
      <c r="K357" s="43"/>
      <c r="L357" s="43" t="s">
        <v>15</v>
      </c>
    </row>
    <row r="358" spans="1:12">
      <c r="A358" s="43">
        <v>357</v>
      </c>
      <c r="B358" s="43">
        <v>1</v>
      </c>
      <c r="C358" s="43">
        <v>1</v>
      </c>
      <c r="D358" s="43" t="s">
        <v>532</v>
      </c>
      <c r="E358" s="43" t="s">
        <v>17</v>
      </c>
      <c r="F358" s="44">
        <v>22</v>
      </c>
      <c r="G358" s="43">
        <v>0</v>
      </c>
      <c r="H358" s="43">
        <v>1</v>
      </c>
      <c r="I358" s="44">
        <v>113505</v>
      </c>
      <c r="J358" s="43">
        <v>55</v>
      </c>
      <c r="K358" s="43" t="s">
        <v>261</v>
      </c>
      <c r="L358" s="43" t="s">
        <v>15</v>
      </c>
    </row>
    <row r="359" spans="1:12">
      <c r="A359" s="43">
        <v>358</v>
      </c>
      <c r="B359" s="43">
        <v>0</v>
      </c>
      <c r="C359" s="43">
        <v>2</v>
      </c>
      <c r="D359" s="43" t="s">
        <v>533</v>
      </c>
      <c r="E359" s="43" t="s">
        <v>17</v>
      </c>
      <c r="F359" s="44">
        <v>38</v>
      </c>
      <c r="G359" s="43">
        <v>0</v>
      </c>
      <c r="H359" s="43">
        <v>0</v>
      </c>
      <c r="I359" s="44">
        <v>237671</v>
      </c>
      <c r="J359" s="43">
        <v>13</v>
      </c>
      <c r="K359" s="43"/>
      <c r="L359" s="43" t="s">
        <v>15</v>
      </c>
    </row>
    <row r="360" spans="1:12">
      <c r="A360" s="43">
        <v>359</v>
      </c>
      <c r="B360" s="43">
        <v>1</v>
      </c>
      <c r="C360" s="43">
        <v>3</v>
      </c>
      <c r="D360" s="43" t="s">
        <v>534</v>
      </c>
      <c r="E360" s="43" t="s">
        <v>17</v>
      </c>
      <c r="F360" s="44" t="s">
        <v>27</v>
      </c>
      <c r="G360" s="43">
        <v>0</v>
      </c>
      <c r="H360" s="43">
        <v>0</v>
      </c>
      <c r="I360" s="44">
        <v>330931</v>
      </c>
      <c r="J360" s="43">
        <v>7.8792</v>
      </c>
      <c r="K360" s="43"/>
      <c r="L360" s="43" t="s">
        <v>28</v>
      </c>
    </row>
    <row r="361" spans="1:12">
      <c r="A361" s="43">
        <v>360</v>
      </c>
      <c r="B361" s="43">
        <v>1</v>
      </c>
      <c r="C361" s="43">
        <v>3</v>
      </c>
      <c r="D361" s="43" t="s">
        <v>535</v>
      </c>
      <c r="E361" s="43" t="s">
        <v>17</v>
      </c>
      <c r="F361" s="44" t="s">
        <v>27</v>
      </c>
      <c r="G361" s="43">
        <v>0</v>
      </c>
      <c r="H361" s="43">
        <v>0</v>
      </c>
      <c r="I361" s="44">
        <v>330980</v>
      </c>
      <c r="J361" s="43">
        <v>7.8792</v>
      </c>
      <c r="K361" s="43"/>
      <c r="L361" s="43" t="s">
        <v>28</v>
      </c>
    </row>
    <row r="362" spans="1:12">
      <c r="A362" s="43">
        <v>361</v>
      </c>
      <c r="B362" s="43">
        <v>0</v>
      </c>
      <c r="C362" s="43">
        <v>3</v>
      </c>
      <c r="D362" s="43" t="s">
        <v>536</v>
      </c>
      <c r="E362" s="43" t="s">
        <v>13</v>
      </c>
      <c r="F362" s="44">
        <v>40</v>
      </c>
      <c r="G362" s="43">
        <v>1</v>
      </c>
      <c r="H362" s="43">
        <v>4</v>
      </c>
      <c r="I362" s="44">
        <v>347088</v>
      </c>
      <c r="J362" s="43">
        <v>27.9</v>
      </c>
      <c r="K362" s="43"/>
      <c r="L362" s="43" t="s">
        <v>15</v>
      </c>
    </row>
    <row r="363" spans="1:12">
      <c r="A363" s="43">
        <v>362</v>
      </c>
      <c r="B363" s="43">
        <v>0</v>
      </c>
      <c r="C363" s="43">
        <v>2</v>
      </c>
      <c r="D363" s="43" t="s">
        <v>537</v>
      </c>
      <c r="E363" s="43" t="s">
        <v>13</v>
      </c>
      <c r="F363" s="44">
        <v>29</v>
      </c>
      <c r="G363" s="43">
        <v>1</v>
      </c>
      <c r="H363" s="43">
        <v>0</v>
      </c>
      <c r="I363" s="44" t="s">
        <v>538</v>
      </c>
      <c r="J363" s="43">
        <v>27.7208</v>
      </c>
      <c r="K363" s="43"/>
      <c r="L363" s="43" t="s">
        <v>20</v>
      </c>
    </row>
    <row r="364" spans="1:12">
      <c r="A364" s="43">
        <v>363</v>
      </c>
      <c r="B364" s="43">
        <v>0</v>
      </c>
      <c r="C364" s="43">
        <v>3</v>
      </c>
      <c r="D364" s="43" t="s">
        <v>539</v>
      </c>
      <c r="E364" s="43" t="s">
        <v>17</v>
      </c>
      <c r="F364" s="44">
        <v>45</v>
      </c>
      <c r="G364" s="43">
        <v>0</v>
      </c>
      <c r="H364" s="43">
        <v>1</v>
      </c>
      <c r="I364" s="44">
        <v>2691</v>
      </c>
      <c r="J364" s="43">
        <v>14.4542</v>
      </c>
      <c r="K364" s="43"/>
      <c r="L364" s="43" t="s">
        <v>20</v>
      </c>
    </row>
    <row r="365" spans="1:12">
      <c r="A365" s="43">
        <v>364</v>
      </c>
      <c r="B365" s="43">
        <v>0</v>
      </c>
      <c r="C365" s="43">
        <v>3</v>
      </c>
      <c r="D365" s="43" t="s">
        <v>540</v>
      </c>
      <c r="E365" s="43" t="s">
        <v>13</v>
      </c>
      <c r="F365" s="44">
        <v>35</v>
      </c>
      <c r="G365" s="43">
        <v>0</v>
      </c>
      <c r="H365" s="43">
        <v>0</v>
      </c>
      <c r="I365" s="44" t="s">
        <v>541</v>
      </c>
      <c r="J365" s="43">
        <v>7.05</v>
      </c>
      <c r="K365" s="43"/>
      <c r="L365" s="43" t="s">
        <v>15</v>
      </c>
    </row>
    <row r="366" spans="1:12">
      <c r="A366" s="43">
        <v>365</v>
      </c>
      <c r="B366" s="43">
        <v>0</v>
      </c>
      <c r="C366" s="43">
        <v>3</v>
      </c>
      <c r="D366" s="43" t="s">
        <v>542</v>
      </c>
      <c r="E366" s="43" t="s">
        <v>13</v>
      </c>
      <c r="F366" s="44" t="s">
        <v>27</v>
      </c>
      <c r="G366" s="43">
        <v>1</v>
      </c>
      <c r="H366" s="43">
        <v>0</v>
      </c>
      <c r="I366" s="44">
        <v>370365</v>
      </c>
      <c r="J366" s="43">
        <v>15.5</v>
      </c>
      <c r="K366" s="43"/>
      <c r="L366" s="43" t="s">
        <v>28</v>
      </c>
    </row>
    <row r="367" spans="1:12">
      <c r="A367" s="43">
        <v>366</v>
      </c>
      <c r="B367" s="43">
        <v>0</v>
      </c>
      <c r="C367" s="43">
        <v>3</v>
      </c>
      <c r="D367" s="43" t="s">
        <v>543</v>
      </c>
      <c r="E367" s="43" t="s">
        <v>13</v>
      </c>
      <c r="F367" s="44">
        <v>30</v>
      </c>
      <c r="G367" s="43">
        <v>0</v>
      </c>
      <c r="H367" s="43">
        <v>0</v>
      </c>
      <c r="I367" s="44" t="s">
        <v>544</v>
      </c>
      <c r="J367" s="43">
        <v>7.25</v>
      </c>
      <c r="K367" s="43"/>
      <c r="L367" s="43" t="s">
        <v>15</v>
      </c>
    </row>
    <row r="368" spans="1:12">
      <c r="A368" s="43">
        <v>367</v>
      </c>
      <c r="B368" s="43">
        <v>1</v>
      </c>
      <c r="C368" s="43">
        <v>1</v>
      </c>
      <c r="D368" s="43" t="s">
        <v>545</v>
      </c>
      <c r="E368" s="43" t="s">
        <v>17</v>
      </c>
      <c r="F368" s="44">
        <v>60</v>
      </c>
      <c r="G368" s="43">
        <v>1</v>
      </c>
      <c r="H368" s="43">
        <v>0</v>
      </c>
      <c r="I368" s="44">
        <v>110813</v>
      </c>
      <c r="J368" s="43">
        <v>75.25</v>
      </c>
      <c r="K368" s="43" t="s">
        <v>546</v>
      </c>
      <c r="L368" s="43" t="s">
        <v>20</v>
      </c>
    </row>
    <row r="369" spans="1:12">
      <c r="A369" s="43">
        <v>368</v>
      </c>
      <c r="B369" s="43">
        <v>1</v>
      </c>
      <c r="C369" s="43">
        <v>3</v>
      </c>
      <c r="D369" s="43" t="s">
        <v>547</v>
      </c>
      <c r="E369" s="43" t="s">
        <v>17</v>
      </c>
      <c r="F369" s="44" t="s">
        <v>27</v>
      </c>
      <c r="G369" s="43">
        <v>0</v>
      </c>
      <c r="H369" s="43">
        <v>0</v>
      </c>
      <c r="I369" s="44">
        <v>2626</v>
      </c>
      <c r="J369" s="43">
        <v>7.2292</v>
      </c>
      <c r="K369" s="43"/>
      <c r="L369" s="43" t="s">
        <v>20</v>
      </c>
    </row>
    <row r="370" spans="1:12">
      <c r="A370" s="43">
        <v>369</v>
      </c>
      <c r="B370" s="43">
        <v>1</v>
      </c>
      <c r="C370" s="43">
        <v>3</v>
      </c>
      <c r="D370" s="43" t="s">
        <v>548</v>
      </c>
      <c r="E370" s="43" t="s">
        <v>17</v>
      </c>
      <c r="F370" s="44" t="s">
        <v>27</v>
      </c>
      <c r="G370" s="43">
        <v>0</v>
      </c>
      <c r="H370" s="43">
        <v>0</v>
      </c>
      <c r="I370" s="44">
        <v>14313</v>
      </c>
      <c r="J370" s="43">
        <v>7.75</v>
      </c>
      <c r="K370" s="43"/>
      <c r="L370" s="43" t="s">
        <v>28</v>
      </c>
    </row>
    <row r="371" spans="1:12">
      <c r="A371" s="43">
        <v>370</v>
      </c>
      <c r="B371" s="43">
        <v>1</v>
      </c>
      <c r="C371" s="43">
        <v>1</v>
      </c>
      <c r="D371" s="43" t="s">
        <v>549</v>
      </c>
      <c r="E371" s="43" t="s">
        <v>17</v>
      </c>
      <c r="F371" s="44">
        <v>24</v>
      </c>
      <c r="G371" s="43">
        <v>0</v>
      </c>
      <c r="H371" s="43">
        <v>0</v>
      </c>
      <c r="I371" s="44" t="s">
        <v>550</v>
      </c>
      <c r="J371" s="43">
        <v>69.3</v>
      </c>
      <c r="K371" s="43" t="s">
        <v>551</v>
      </c>
      <c r="L371" s="43" t="s">
        <v>20</v>
      </c>
    </row>
    <row r="372" spans="1:12">
      <c r="A372" s="43">
        <v>371</v>
      </c>
      <c r="B372" s="43">
        <v>1</v>
      </c>
      <c r="C372" s="43">
        <v>1</v>
      </c>
      <c r="D372" s="43" t="s">
        <v>552</v>
      </c>
      <c r="E372" s="43" t="s">
        <v>13</v>
      </c>
      <c r="F372" s="44">
        <v>25</v>
      </c>
      <c r="G372" s="43">
        <v>1</v>
      </c>
      <c r="H372" s="43">
        <v>0</v>
      </c>
      <c r="I372" s="44">
        <v>11765</v>
      </c>
      <c r="J372" s="43">
        <v>55.4417</v>
      </c>
      <c r="K372" s="43" t="s">
        <v>553</v>
      </c>
      <c r="L372" s="43" t="s">
        <v>20</v>
      </c>
    </row>
    <row r="373" spans="1:12">
      <c r="A373" s="43">
        <v>372</v>
      </c>
      <c r="B373" s="43">
        <v>0</v>
      </c>
      <c r="C373" s="43">
        <v>3</v>
      </c>
      <c r="D373" s="43" t="s">
        <v>554</v>
      </c>
      <c r="E373" s="43" t="s">
        <v>13</v>
      </c>
      <c r="F373" s="44">
        <v>18</v>
      </c>
      <c r="G373" s="43">
        <v>1</v>
      </c>
      <c r="H373" s="43">
        <v>0</v>
      </c>
      <c r="I373" s="44">
        <v>3101267</v>
      </c>
      <c r="J373" s="43">
        <v>6.4958</v>
      </c>
      <c r="K373" s="43"/>
      <c r="L373" s="43" t="s">
        <v>15</v>
      </c>
    </row>
    <row r="374" spans="1:12">
      <c r="A374" s="43">
        <v>373</v>
      </c>
      <c r="B374" s="43">
        <v>0</v>
      </c>
      <c r="C374" s="43">
        <v>3</v>
      </c>
      <c r="D374" s="43" t="s">
        <v>555</v>
      </c>
      <c r="E374" s="43" t="s">
        <v>13</v>
      </c>
      <c r="F374" s="44">
        <v>19</v>
      </c>
      <c r="G374" s="43">
        <v>0</v>
      </c>
      <c r="H374" s="43">
        <v>0</v>
      </c>
      <c r="I374" s="44">
        <v>323951</v>
      </c>
      <c r="J374" s="43">
        <v>8.05</v>
      </c>
      <c r="K374" s="43"/>
      <c r="L374" s="43" t="s">
        <v>15</v>
      </c>
    </row>
    <row r="375" spans="1:12">
      <c r="A375" s="43">
        <v>374</v>
      </c>
      <c r="B375" s="43">
        <v>0</v>
      </c>
      <c r="C375" s="43">
        <v>1</v>
      </c>
      <c r="D375" s="43" t="s">
        <v>556</v>
      </c>
      <c r="E375" s="43" t="s">
        <v>13</v>
      </c>
      <c r="F375" s="44">
        <v>22</v>
      </c>
      <c r="G375" s="43">
        <v>0</v>
      </c>
      <c r="H375" s="43">
        <v>0</v>
      </c>
      <c r="I375" s="44" t="s">
        <v>410</v>
      </c>
      <c r="J375" s="43">
        <v>135.6333</v>
      </c>
      <c r="K375" s="43"/>
      <c r="L375" s="43" t="s">
        <v>20</v>
      </c>
    </row>
    <row r="376" spans="1:12">
      <c r="A376" s="43">
        <v>375</v>
      </c>
      <c r="B376" s="43">
        <v>0</v>
      </c>
      <c r="C376" s="43">
        <v>3</v>
      </c>
      <c r="D376" s="43" t="s">
        <v>557</v>
      </c>
      <c r="E376" s="43" t="s">
        <v>17</v>
      </c>
      <c r="F376" s="44">
        <v>3</v>
      </c>
      <c r="G376" s="43">
        <v>3</v>
      </c>
      <c r="H376" s="43">
        <v>1</v>
      </c>
      <c r="I376" s="44">
        <v>349909</v>
      </c>
      <c r="J376" s="43">
        <v>21.075</v>
      </c>
      <c r="K376" s="43"/>
      <c r="L376" s="43" t="s">
        <v>15</v>
      </c>
    </row>
    <row r="377" spans="1:12">
      <c r="A377" s="43">
        <v>376</v>
      </c>
      <c r="B377" s="43">
        <v>1</v>
      </c>
      <c r="C377" s="43">
        <v>1</v>
      </c>
      <c r="D377" s="43" t="s">
        <v>558</v>
      </c>
      <c r="E377" s="43" t="s">
        <v>17</v>
      </c>
      <c r="F377" s="44" t="s">
        <v>27</v>
      </c>
      <c r="G377" s="43">
        <v>1</v>
      </c>
      <c r="H377" s="43">
        <v>0</v>
      </c>
      <c r="I377" s="44" t="s">
        <v>70</v>
      </c>
      <c r="J377" s="43">
        <v>82.1708</v>
      </c>
      <c r="K377" s="43"/>
      <c r="L377" s="43" t="s">
        <v>20</v>
      </c>
    </row>
    <row r="378" spans="1:12">
      <c r="A378" s="43">
        <v>377</v>
      </c>
      <c r="B378" s="43">
        <v>1</v>
      </c>
      <c r="C378" s="43">
        <v>3</v>
      </c>
      <c r="D378" s="43" t="s">
        <v>559</v>
      </c>
      <c r="E378" s="43" t="s">
        <v>17</v>
      </c>
      <c r="F378" s="44">
        <v>22</v>
      </c>
      <c r="G378" s="43">
        <v>0</v>
      </c>
      <c r="H378" s="43">
        <v>0</v>
      </c>
      <c r="I378" s="44" t="s">
        <v>560</v>
      </c>
      <c r="J378" s="43">
        <v>7.25</v>
      </c>
      <c r="K378" s="43"/>
      <c r="L378" s="43" t="s">
        <v>15</v>
      </c>
    </row>
    <row r="379" spans="1:12">
      <c r="A379" s="43">
        <v>378</v>
      </c>
      <c r="B379" s="43">
        <v>0</v>
      </c>
      <c r="C379" s="43">
        <v>1</v>
      </c>
      <c r="D379" s="43" t="s">
        <v>561</v>
      </c>
      <c r="E379" s="43" t="s">
        <v>13</v>
      </c>
      <c r="F379" s="44">
        <v>27</v>
      </c>
      <c r="G379" s="43">
        <v>0</v>
      </c>
      <c r="H379" s="43">
        <v>2</v>
      </c>
      <c r="I379" s="44">
        <v>113503</v>
      </c>
      <c r="J379" s="43">
        <v>211.5</v>
      </c>
      <c r="K379" s="43" t="s">
        <v>562</v>
      </c>
      <c r="L379" s="43" t="s">
        <v>20</v>
      </c>
    </row>
    <row r="380" spans="1:12">
      <c r="A380" s="43">
        <v>379</v>
      </c>
      <c r="B380" s="43">
        <v>0</v>
      </c>
      <c r="C380" s="43">
        <v>3</v>
      </c>
      <c r="D380" s="43" t="s">
        <v>563</v>
      </c>
      <c r="E380" s="43" t="s">
        <v>13</v>
      </c>
      <c r="F380" s="44">
        <v>20</v>
      </c>
      <c r="G380" s="43">
        <v>0</v>
      </c>
      <c r="H380" s="43">
        <v>0</v>
      </c>
      <c r="I380" s="44">
        <v>2648</v>
      </c>
      <c r="J380" s="43">
        <v>4.0125</v>
      </c>
      <c r="K380" s="43"/>
      <c r="L380" s="43" t="s">
        <v>20</v>
      </c>
    </row>
    <row r="381" spans="1:12">
      <c r="A381" s="43">
        <v>380</v>
      </c>
      <c r="B381" s="43">
        <v>0</v>
      </c>
      <c r="C381" s="43">
        <v>3</v>
      </c>
      <c r="D381" s="43" t="s">
        <v>564</v>
      </c>
      <c r="E381" s="43" t="s">
        <v>13</v>
      </c>
      <c r="F381" s="44">
        <v>19</v>
      </c>
      <c r="G381" s="43">
        <v>0</v>
      </c>
      <c r="H381" s="43">
        <v>0</v>
      </c>
      <c r="I381" s="44">
        <v>347069</v>
      </c>
      <c r="J381" s="43">
        <v>7.775</v>
      </c>
      <c r="K381" s="43"/>
      <c r="L381" s="43" t="s">
        <v>15</v>
      </c>
    </row>
    <row r="382" spans="1:12">
      <c r="A382" s="43">
        <v>381</v>
      </c>
      <c r="B382" s="43">
        <v>1</v>
      </c>
      <c r="C382" s="43">
        <v>1</v>
      </c>
      <c r="D382" s="43" t="s">
        <v>565</v>
      </c>
      <c r="E382" s="43" t="s">
        <v>17</v>
      </c>
      <c r="F382" s="44">
        <v>42</v>
      </c>
      <c r="G382" s="43">
        <v>0</v>
      </c>
      <c r="H382" s="43">
        <v>0</v>
      </c>
      <c r="I382" s="44" t="s">
        <v>566</v>
      </c>
      <c r="J382" s="43">
        <v>227.525</v>
      </c>
      <c r="K382" s="43"/>
      <c r="L382" s="43" t="s">
        <v>20</v>
      </c>
    </row>
    <row r="383" spans="1:12">
      <c r="A383" s="43">
        <v>382</v>
      </c>
      <c r="B383" s="43">
        <v>1</v>
      </c>
      <c r="C383" s="43">
        <v>3</v>
      </c>
      <c r="D383" s="43" t="s">
        <v>567</v>
      </c>
      <c r="E383" s="43" t="s">
        <v>17</v>
      </c>
      <c r="F383" s="44">
        <v>1</v>
      </c>
      <c r="G383" s="43">
        <v>0</v>
      </c>
      <c r="H383" s="43">
        <v>2</v>
      </c>
      <c r="I383" s="44">
        <v>2653</v>
      </c>
      <c r="J383" s="43">
        <v>15.7417</v>
      </c>
      <c r="K383" s="43"/>
      <c r="L383" s="43" t="s">
        <v>20</v>
      </c>
    </row>
    <row r="384" spans="1:12">
      <c r="A384" s="43">
        <v>383</v>
      </c>
      <c r="B384" s="43">
        <v>0</v>
      </c>
      <c r="C384" s="43">
        <v>3</v>
      </c>
      <c r="D384" s="43" t="s">
        <v>568</v>
      </c>
      <c r="E384" s="43" t="s">
        <v>13</v>
      </c>
      <c r="F384" s="44">
        <v>32</v>
      </c>
      <c r="G384" s="43">
        <v>0</v>
      </c>
      <c r="H384" s="43">
        <v>0</v>
      </c>
      <c r="I384" s="44" t="s">
        <v>569</v>
      </c>
      <c r="J384" s="43">
        <v>7.925</v>
      </c>
      <c r="K384" s="43"/>
      <c r="L384" s="43" t="s">
        <v>15</v>
      </c>
    </row>
    <row r="385" spans="1:12">
      <c r="A385" s="43">
        <v>384</v>
      </c>
      <c r="B385" s="43">
        <v>1</v>
      </c>
      <c r="C385" s="43">
        <v>1</v>
      </c>
      <c r="D385" s="43" t="s">
        <v>570</v>
      </c>
      <c r="E385" s="43" t="s">
        <v>17</v>
      </c>
      <c r="F385" s="44">
        <v>35</v>
      </c>
      <c r="G385" s="43">
        <v>1</v>
      </c>
      <c r="H385" s="43">
        <v>0</v>
      </c>
      <c r="I385" s="44">
        <v>113789</v>
      </c>
      <c r="J385" s="43">
        <v>52</v>
      </c>
      <c r="K385" s="43"/>
      <c r="L385" s="43" t="s">
        <v>15</v>
      </c>
    </row>
    <row r="386" spans="1:12">
      <c r="A386" s="43">
        <v>385</v>
      </c>
      <c r="B386" s="43">
        <v>0</v>
      </c>
      <c r="C386" s="43">
        <v>3</v>
      </c>
      <c r="D386" s="43" t="s">
        <v>571</v>
      </c>
      <c r="E386" s="43" t="s">
        <v>13</v>
      </c>
      <c r="F386" s="44" t="s">
        <v>27</v>
      </c>
      <c r="G386" s="43">
        <v>0</v>
      </c>
      <c r="H386" s="43">
        <v>0</v>
      </c>
      <c r="I386" s="44">
        <v>349227</v>
      </c>
      <c r="J386" s="43">
        <v>7.8958</v>
      </c>
      <c r="K386" s="43"/>
      <c r="L386" s="43" t="s">
        <v>15</v>
      </c>
    </row>
    <row r="387" spans="1:12">
      <c r="A387" s="43">
        <v>386</v>
      </c>
      <c r="B387" s="43">
        <v>0</v>
      </c>
      <c r="C387" s="43">
        <v>2</v>
      </c>
      <c r="D387" s="43" t="s">
        <v>572</v>
      </c>
      <c r="E387" s="43" t="s">
        <v>13</v>
      </c>
      <c r="F387" s="44">
        <v>18</v>
      </c>
      <c r="G387" s="43">
        <v>0</v>
      </c>
      <c r="H387" s="43">
        <v>0</v>
      </c>
      <c r="I387" s="44" t="s">
        <v>127</v>
      </c>
      <c r="J387" s="43">
        <v>73.5</v>
      </c>
      <c r="K387" s="43"/>
      <c r="L387" s="43" t="s">
        <v>15</v>
      </c>
    </row>
    <row r="388" spans="1:12">
      <c r="A388" s="43">
        <v>387</v>
      </c>
      <c r="B388" s="43">
        <v>0</v>
      </c>
      <c r="C388" s="43">
        <v>3</v>
      </c>
      <c r="D388" s="43" t="s">
        <v>573</v>
      </c>
      <c r="E388" s="43" t="s">
        <v>13</v>
      </c>
      <c r="F388" s="44">
        <v>1</v>
      </c>
      <c r="G388" s="43">
        <v>5</v>
      </c>
      <c r="H388" s="43">
        <v>2</v>
      </c>
      <c r="I388" s="44" t="s">
        <v>106</v>
      </c>
      <c r="J388" s="43">
        <v>46.9</v>
      </c>
      <c r="K388" s="43"/>
      <c r="L388" s="43" t="s">
        <v>15</v>
      </c>
    </row>
    <row r="389" spans="1:12">
      <c r="A389" s="43">
        <v>388</v>
      </c>
      <c r="B389" s="43">
        <v>1</v>
      </c>
      <c r="C389" s="43">
        <v>2</v>
      </c>
      <c r="D389" s="43" t="s">
        <v>574</v>
      </c>
      <c r="E389" s="43" t="s">
        <v>17</v>
      </c>
      <c r="F389" s="44">
        <v>36</v>
      </c>
      <c r="G389" s="43">
        <v>0</v>
      </c>
      <c r="H389" s="43">
        <v>0</v>
      </c>
      <c r="I389" s="44">
        <v>27849</v>
      </c>
      <c r="J389" s="43">
        <v>13</v>
      </c>
      <c r="K389" s="43"/>
      <c r="L389" s="43" t="s">
        <v>15</v>
      </c>
    </row>
    <row r="390" spans="1:12">
      <c r="A390" s="43">
        <v>389</v>
      </c>
      <c r="B390" s="43">
        <v>0</v>
      </c>
      <c r="C390" s="43">
        <v>3</v>
      </c>
      <c r="D390" s="43" t="s">
        <v>575</v>
      </c>
      <c r="E390" s="43" t="s">
        <v>13</v>
      </c>
      <c r="F390" s="44" t="s">
        <v>27</v>
      </c>
      <c r="G390" s="43">
        <v>0</v>
      </c>
      <c r="H390" s="43">
        <v>0</v>
      </c>
      <c r="I390" s="44">
        <v>367655</v>
      </c>
      <c r="J390" s="43">
        <v>7.7292</v>
      </c>
      <c r="K390" s="43"/>
      <c r="L390" s="43" t="s">
        <v>28</v>
      </c>
    </row>
    <row r="391" spans="1:12">
      <c r="A391" s="43">
        <v>390</v>
      </c>
      <c r="B391" s="43">
        <v>1</v>
      </c>
      <c r="C391" s="43">
        <v>2</v>
      </c>
      <c r="D391" s="43" t="s">
        <v>576</v>
      </c>
      <c r="E391" s="43" t="s">
        <v>17</v>
      </c>
      <c r="F391" s="44">
        <v>17</v>
      </c>
      <c r="G391" s="43">
        <v>0</v>
      </c>
      <c r="H391" s="43">
        <v>0</v>
      </c>
      <c r="I391" s="44" t="s">
        <v>577</v>
      </c>
      <c r="J391" s="43">
        <v>12</v>
      </c>
      <c r="K391" s="43"/>
      <c r="L391" s="43" t="s">
        <v>20</v>
      </c>
    </row>
    <row r="392" spans="1:12">
      <c r="A392" s="43">
        <v>391</v>
      </c>
      <c r="B392" s="43">
        <v>1</v>
      </c>
      <c r="C392" s="43">
        <v>1</v>
      </c>
      <c r="D392" s="43" t="s">
        <v>578</v>
      </c>
      <c r="E392" s="43" t="s">
        <v>13</v>
      </c>
      <c r="F392" s="44">
        <v>36</v>
      </c>
      <c r="G392" s="43">
        <v>1</v>
      </c>
      <c r="H392" s="43">
        <v>2</v>
      </c>
      <c r="I392" s="44">
        <v>113760</v>
      </c>
      <c r="J392" s="43">
        <v>120</v>
      </c>
      <c r="K392" s="43" t="s">
        <v>579</v>
      </c>
      <c r="L392" s="43" t="s">
        <v>15</v>
      </c>
    </row>
    <row r="393" spans="1:12">
      <c r="A393" s="43">
        <v>392</v>
      </c>
      <c r="B393" s="43">
        <v>1</v>
      </c>
      <c r="C393" s="43">
        <v>3</v>
      </c>
      <c r="D393" s="43" t="s">
        <v>580</v>
      </c>
      <c r="E393" s="43" t="s">
        <v>13</v>
      </c>
      <c r="F393" s="44">
        <v>21</v>
      </c>
      <c r="G393" s="43">
        <v>0</v>
      </c>
      <c r="H393" s="43">
        <v>0</v>
      </c>
      <c r="I393" s="44">
        <v>350034</v>
      </c>
      <c r="J393" s="43">
        <v>7.7958</v>
      </c>
      <c r="K393" s="43"/>
      <c r="L393" s="43" t="s">
        <v>15</v>
      </c>
    </row>
    <row r="394" spans="1:12">
      <c r="A394" s="43">
        <v>393</v>
      </c>
      <c r="B394" s="43">
        <v>0</v>
      </c>
      <c r="C394" s="43">
        <v>3</v>
      </c>
      <c r="D394" s="43" t="s">
        <v>581</v>
      </c>
      <c r="E394" s="43" t="s">
        <v>13</v>
      </c>
      <c r="F394" s="44">
        <v>28</v>
      </c>
      <c r="G394" s="43">
        <v>2</v>
      </c>
      <c r="H394" s="43">
        <v>0</v>
      </c>
      <c r="I394" s="44">
        <v>3101277</v>
      </c>
      <c r="J394" s="43">
        <v>7.925</v>
      </c>
      <c r="K394" s="43"/>
      <c r="L394" s="43" t="s">
        <v>15</v>
      </c>
    </row>
    <row r="395" spans="1:12">
      <c r="A395" s="43">
        <v>394</v>
      </c>
      <c r="B395" s="43">
        <v>1</v>
      </c>
      <c r="C395" s="43">
        <v>1</v>
      </c>
      <c r="D395" s="43" t="s">
        <v>582</v>
      </c>
      <c r="E395" s="43" t="s">
        <v>17</v>
      </c>
      <c r="F395" s="44">
        <v>23</v>
      </c>
      <c r="G395" s="43">
        <v>1</v>
      </c>
      <c r="H395" s="43">
        <v>0</v>
      </c>
      <c r="I395" s="44">
        <v>35273</v>
      </c>
      <c r="J395" s="43">
        <v>113.275</v>
      </c>
      <c r="K395" s="43" t="s">
        <v>329</v>
      </c>
      <c r="L395" s="43" t="s">
        <v>20</v>
      </c>
    </row>
    <row r="396" spans="1:12">
      <c r="A396" s="43">
        <v>395</v>
      </c>
      <c r="B396" s="43">
        <v>1</v>
      </c>
      <c r="C396" s="43">
        <v>3</v>
      </c>
      <c r="D396" s="43" t="s">
        <v>583</v>
      </c>
      <c r="E396" s="43" t="s">
        <v>17</v>
      </c>
      <c r="F396" s="44">
        <v>24</v>
      </c>
      <c r="G396" s="43">
        <v>0</v>
      </c>
      <c r="H396" s="43">
        <v>2</v>
      </c>
      <c r="I396" s="44" t="s">
        <v>35</v>
      </c>
      <c r="J396" s="43">
        <v>16.7</v>
      </c>
      <c r="K396" s="43" t="s">
        <v>36</v>
      </c>
      <c r="L396" s="43" t="s">
        <v>15</v>
      </c>
    </row>
    <row r="397" spans="1:12">
      <c r="A397" s="43">
        <v>396</v>
      </c>
      <c r="B397" s="43">
        <v>0</v>
      </c>
      <c r="C397" s="43">
        <v>3</v>
      </c>
      <c r="D397" s="43" t="s">
        <v>584</v>
      </c>
      <c r="E397" s="43" t="s">
        <v>13</v>
      </c>
      <c r="F397" s="44">
        <v>22</v>
      </c>
      <c r="G397" s="43">
        <v>0</v>
      </c>
      <c r="H397" s="43">
        <v>0</v>
      </c>
      <c r="I397" s="44">
        <v>350052</v>
      </c>
      <c r="J397" s="43">
        <v>7.7958</v>
      </c>
      <c r="K397" s="43"/>
      <c r="L397" s="43" t="s">
        <v>15</v>
      </c>
    </row>
    <row r="398" spans="1:12">
      <c r="A398" s="43">
        <v>397</v>
      </c>
      <c r="B398" s="43">
        <v>0</v>
      </c>
      <c r="C398" s="43">
        <v>3</v>
      </c>
      <c r="D398" s="43" t="s">
        <v>585</v>
      </c>
      <c r="E398" s="43" t="s">
        <v>17</v>
      </c>
      <c r="F398" s="44">
        <v>31</v>
      </c>
      <c r="G398" s="43">
        <v>0</v>
      </c>
      <c r="H398" s="43">
        <v>0</v>
      </c>
      <c r="I398" s="44">
        <v>350407</v>
      </c>
      <c r="J398" s="43">
        <v>7.8542</v>
      </c>
      <c r="K398" s="43"/>
      <c r="L398" s="43" t="s">
        <v>15</v>
      </c>
    </row>
    <row r="399" spans="1:12">
      <c r="A399" s="43">
        <v>398</v>
      </c>
      <c r="B399" s="43">
        <v>0</v>
      </c>
      <c r="C399" s="43">
        <v>2</v>
      </c>
      <c r="D399" s="43" t="s">
        <v>586</v>
      </c>
      <c r="E399" s="43" t="s">
        <v>13</v>
      </c>
      <c r="F399" s="44">
        <v>46</v>
      </c>
      <c r="G399" s="43">
        <v>0</v>
      </c>
      <c r="H399" s="43">
        <v>0</v>
      </c>
      <c r="I399" s="44">
        <v>28403</v>
      </c>
      <c r="J399" s="43">
        <v>26</v>
      </c>
      <c r="K399" s="43"/>
      <c r="L399" s="43" t="s">
        <v>15</v>
      </c>
    </row>
    <row r="400" spans="1:12">
      <c r="A400" s="43">
        <v>399</v>
      </c>
      <c r="B400" s="43">
        <v>0</v>
      </c>
      <c r="C400" s="43">
        <v>2</v>
      </c>
      <c r="D400" s="43" t="s">
        <v>587</v>
      </c>
      <c r="E400" s="43" t="s">
        <v>13</v>
      </c>
      <c r="F400" s="44">
        <v>23</v>
      </c>
      <c r="G400" s="43">
        <v>0</v>
      </c>
      <c r="H400" s="43">
        <v>0</v>
      </c>
      <c r="I400" s="44">
        <v>244278</v>
      </c>
      <c r="J400" s="43">
        <v>10.5</v>
      </c>
      <c r="K400" s="43"/>
      <c r="L400" s="43" t="s">
        <v>15</v>
      </c>
    </row>
    <row r="401" spans="1:12">
      <c r="A401" s="43">
        <v>400</v>
      </c>
      <c r="B401" s="43">
        <v>1</v>
      </c>
      <c r="C401" s="43">
        <v>2</v>
      </c>
      <c r="D401" s="43" t="s">
        <v>588</v>
      </c>
      <c r="E401" s="43" t="s">
        <v>17</v>
      </c>
      <c r="F401" s="44">
        <v>28</v>
      </c>
      <c r="G401" s="43">
        <v>0</v>
      </c>
      <c r="H401" s="43">
        <v>0</v>
      </c>
      <c r="I401" s="44">
        <v>240929</v>
      </c>
      <c r="J401" s="43">
        <v>12.65</v>
      </c>
      <c r="K401" s="43"/>
      <c r="L401" s="43" t="s">
        <v>15</v>
      </c>
    </row>
    <row r="402" spans="1:12">
      <c r="A402" s="43">
        <v>401</v>
      </c>
      <c r="B402" s="43">
        <v>1</v>
      </c>
      <c r="C402" s="43">
        <v>3</v>
      </c>
      <c r="D402" s="43" t="s">
        <v>589</v>
      </c>
      <c r="E402" s="43" t="s">
        <v>13</v>
      </c>
      <c r="F402" s="44">
        <v>39</v>
      </c>
      <c r="G402" s="43">
        <v>0</v>
      </c>
      <c r="H402" s="43">
        <v>0</v>
      </c>
      <c r="I402" s="44" t="s">
        <v>590</v>
      </c>
      <c r="J402" s="43">
        <v>7.925</v>
      </c>
      <c r="K402" s="43"/>
      <c r="L402" s="43" t="s">
        <v>15</v>
      </c>
    </row>
    <row r="403" spans="1:12">
      <c r="A403" s="43">
        <v>402</v>
      </c>
      <c r="B403" s="43">
        <v>0</v>
      </c>
      <c r="C403" s="43">
        <v>3</v>
      </c>
      <c r="D403" s="43" t="s">
        <v>591</v>
      </c>
      <c r="E403" s="43" t="s">
        <v>13</v>
      </c>
      <c r="F403" s="44">
        <v>26</v>
      </c>
      <c r="G403" s="43">
        <v>0</v>
      </c>
      <c r="H403" s="43">
        <v>0</v>
      </c>
      <c r="I403" s="44">
        <v>341826</v>
      </c>
      <c r="J403" s="43">
        <v>8.05</v>
      </c>
      <c r="K403" s="43"/>
      <c r="L403" s="43" t="s">
        <v>15</v>
      </c>
    </row>
    <row r="404" spans="1:12">
      <c r="A404" s="43">
        <v>403</v>
      </c>
      <c r="B404" s="43">
        <v>0</v>
      </c>
      <c r="C404" s="43">
        <v>3</v>
      </c>
      <c r="D404" s="43" t="s">
        <v>592</v>
      </c>
      <c r="E404" s="43" t="s">
        <v>17</v>
      </c>
      <c r="F404" s="44">
        <v>21</v>
      </c>
      <c r="G404" s="43">
        <v>1</v>
      </c>
      <c r="H404" s="43">
        <v>0</v>
      </c>
      <c r="I404" s="44">
        <v>4137</v>
      </c>
      <c r="J404" s="43">
        <v>9.825</v>
      </c>
      <c r="K404" s="43"/>
      <c r="L404" s="43" t="s">
        <v>15</v>
      </c>
    </row>
    <row r="405" spans="1:12">
      <c r="A405" s="43">
        <v>404</v>
      </c>
      <c r="B405" s="43">
        <v>0</v>
      </c>
      <c r="C405" s="43">
        <v>3</v>
      </c>
      <c r="D405" s="43" t="s">
        <v>593</v>
      </c>
      <c r="E405" s="43" t="s">
        <v>13</v>
      </c>
      <c r="F405" s="44">
        <v>28</v>
      </c>
      <c r="G405" s="43">
        <v>1</v>
      </c>
      <c r="H405" s="43">
        <v>0</v>
      </c>
      <c r="I405" s="44" t="s">
        <v>225</v>
      </c>
      <c r="J405" s="43">
        <v>15.85</v>
      </c>
      <c r="K405" s="43"/>
      <c r="L405" s="43" t="s">
        <v>15</v>
      </c>
    </row>
    <row r="406" spans="1:12">
      <c r="A406" s="43">
        <v>405</v>
      </c>
      <c r="B406" s="43">
        <v>0</v>
      </c>
      <c r="C406" s="43">
        <v>3</v>
      </c>
      <c r="D406" s="43" t="s">
        <v>594</v>
      </c>
      <c r="E406" s="43" t="s">
        <v>17</v>
      </c>
      <c r="F406" s="44">
        <v>20</v>
      </c>
      <c r="G406" s="43">
        <v>0</v>
      </c>
      <c r="H406" s="43">
        <v>0</v>
      </c>
      <c r="I406" s="44">
        <v>315096</v>
      </c>
      <c r="J406" s="43">
        <v>8.6625</v>
      </c>
      <c r="K406" s="43"/>
      <c r="L406" s="43" t="s">
        <v>15</v>
      </c>
    </row>
    <row r="407" spans="1:12">
      <c r="A407" s="43">
        <v>406</v>
      </c>
      <c r="B407" s="43">
        <v>0</v>
      </c>
      <c r="C407" s="43">
        <v>2</v>
      </c>
      <c r="D407" s="43" t="s">
        <v>595</v>
      </c>
      <c r="E407" s="43" t="s">
        <v>13</v>
      </c>
      <c r="F407" s="44">
        <v>34</v>
      </c>
      <c r="G407" s="43">
        <v>1</v>
      </c>
      <c r="H407" s="43">
        <v>0</v>
      </c>
      <c r="I407" s="44">
        <v>28664</v>
      </c>
      <c r="J407" s="43">
        <v>21</v>
      </c>
      <c r="K407" s="43"/>
      <c r="L407" s="43" t="s">
        <v>15</v>
      </c>
    </row>
    <row r="408" spans="1:12">
      <c r="A408" s="43">
        <v>407</v>
      </c>
      <c r="B408" s="43">
        <v>0</v>
      </c>
      <c r="C408" s="43">
        <v>3</v>
      </c>
      <c r="D408" s="43" t="s">
        <v>596</v>
      </c>
      <c r="E408" s="43" t="s">
        <v>13</v>
      </c>
      <c r="F408" s="44">
        <v>51</v>
      </c>
      <c r="G408" s="43">
        <v>0</v>
      </c>
      <c r="H408" s="43">
        <v>0</v>
      </c>
      <c r="I408" s="44">
        <v>347064</v>
      </c>
      <c r="J408" s="43">
        <v>7.75</v>
      </c>
      <c r="K408" s="43"/>
      <c r="L408" s="43" t="s">
        <v>15</v>
      </c>
    </row>
    <row r="409" spans="1:12">
      <c r="A409" s="43">
        <v>408</v>
      </c>
      <c r="B409" s="43">
        <v>1</v>
      </c>
      <c r="C409" s="43">
        <v>2</v>
      </c>
      <c r="D409" s="43" t="s">
        <v>597</v>
      </c>
      <c r="E409" s="43" t="s">
        <v>13</v>
      </c>
      <c r="F409" s="44">
        <v>3</v>
      </c>
      <c r="G409" s="43">
        <v>1</v>
      </c>
      <c r="H409" s="43">
        <v>1</v>
      </c>
      <c r="I409" s="44">
        <v>29106</v>
      </c>
      <c r="J409" s="43">
        <v>18.75</v>
      </c>
      <c r="K409" s="43"/>
      <c r="L409" s="43" t="s">
        <v>15</v>
      </c>
    </row>
    <row r="410" spans="1:12">
      <c r="A410" s="43">
        <v>409</v>
      </c>
      <c r="B410" s="43">
        <v>0</v>
      </c>
      <c r="C410" s="43">
        <v>3</v>
      </c>
      <c r="D410" s="43" t="s">
        <v>598</v>
      </c>
      <c r="E410" s="43" t="s">
        <v>13</v>
      </c>
      <c r="F410" s="44">
        <v>21</v>
      </c>
      <c r="G410" s="43">
        <v>0</v>
      </c>
      <c r="H410" s="43">
        <v>0</v>
      </c>
      <c r="I410" s="44">
        <v>312992</v>
      </c>
      <c r="J410" s="43">
        <v>7.775</v>
      </c>
      <c r="K410" s="43"/>
      <c r="L410" s="43" t="s">
        <v>15</v>
      </c>
    </row>
    <row r="411" spans="1:12">
      <c r="A411" s="43">
        <v>410</v>
      </c>
      <c r="B411" s="43">
        <v>0</v>
      </c>
      <c r="C411" s="43">
        <v>3</v>
      </c>
      <c r="D411" s="43" t="s">
        <v>599</v>
      </c>
      <c r="E411" s="43" t="s">
        <v>17</v>
      </c>
      <c r="F411" s="44" t="s">
        <v>27</v>
      </c>
      <c r="G411" s="43">
        <v>3</v>
      </c>
      <c r="H411" s="43">
        <v>1</v>
      </c>
      <c r="I411" s="44">
        <v>4133</v>
      </c>
      <c r="J411" s="43">
        <v>25.4667</v>
      </c>
      <c r="K411" s="43"/>
      <c r="L411" s="43" t="s">
        <v>15</v>
      </c>
    </row>
    <row r="412" spans="1:12">
      <c r="A412" s="43">
        <v>411</v>
      </c>
      <c r="B412" s="43">
        <v>0</v>
      </c>
      <c r="C412" s="43">
        <v>3</v>
      </c>
      <c r="D412" s="43" t="s">
        <v>600</v>
      </c>
      <c r="E412" s="43" t="s">
        <v>13</v>
      </c>
      <c r="F412" s="44" t="s">
        <v>27</v>
      </c>
      <c r="G412" s="43">
        <v>0</v>
      </c>
      <c r="H412" s="43">
        <v>0</v>
      </c>
      <c r="I412" s="44">
        <v>349222</v>
      </c>
      <c r="J412" s="43">
        <v>7.8958</v>
      </c>
      <c r="K412" s="43"/>
      <c r="L412" s="43" t="s">
        <v>15</v>
      </c>
    </row>
    <row r="413" spans="1:12">
      <c r="A413" s="43">
        <v>412</v>
      </c>
      <c r="B413" s="43">
        <v>0</v>
      </c>
      <c r="C413" s="43">
        <v>3</v>
      </c>
      <c r="D413" s="43" t="s">
        <v>601</v>
      </c>
      <c r="E413" s="43" t="s">
        <v>13</v>
      </c>
      <c r="F413" s="44" t="s">
        <v>27</v>
      </c>
      <c r="G413" s="43">
        <v>0</v>
      </c>
      <c r="H413" s="43">
        <v>0</v>
      </c>
      <c r="I413" s="44">
        <v>394140</v>
      </c>
      <c r="J413" s="43">
        <v>6.8583</v>
      </c>
      <c r="K413" s="43"/>
      <c r="L413" s="43" t="s">
        <v>28</v>
      </c>
    </row>
    <row r="414" spans="1:12">
      <c r="A414" s="43">
        <v>413</v>
      </c>
      <c r="B414" s="43">
        <v>1</v>
      </c>
      <c r="C414" s="43">
        <v>1</v>
      </c>
      <c r="D414" s="43" t="s">
        <v>602</v>
      </c>
      <c r="E414" s="43" t="s">
        <v>17</v>
      </c>
      <c r="F414" s="44">
        <v>33</v>
      </c>
      <c r="G414" s="43">
        <v>1</v>
      </c>
      <c r="H414" s="43">
        <v>0</v>
      </c>
      <c r="I414" s="44">
        <v>19928</v>
      </c>
      <c r="J414" s="43">
        <v>90</v>
      </c>
      <c r="K414" s="43" t="s">
        <v>374</v>
      </c>
      <c r="L414" s="43" t="s">
        <v>28</v>
      </c>
    </row>
    <row r="415" spans="1:12">
      <c r="A415" s="43">
        <v>414</v>
      </c>
      <c r="B415" s="43">
        <v>0</v>
      </c>
      <c r="C415" s="43">
        <v>2</v>
      </c>
      <c r="D415" s="43" t="s">
        <v>603</v>
      </c>
      <c r="E415" s="43" t="s">
        <v>13</v>
      </c>
      <c r="F415" s="44" t="s">
        <v>27</v>
      </c>
      <c r="G415" s="43">
        <v>0</v>
      </c>
      <c r="H415" s="43">
        <v>0</v>
      </c>
      <c r="I415" s="44">
        <v>239853</v>
      </c>
      <c r="J415" s="43">
        <v>0</v>
      </c>
      <c r="K415" s="43"/>
      <c r="L415" s="43" t="s">
        <v>15</v>
      </c>
    </row>
    <row r="416" spans="1:12">
      <c r="A416" s="43">
        <v>415</v>
      </c>
      <c r="B416" s="43">
        <v>1</v>
      </c>
      <c r="C416" s="43">
        <v>3</v>
      </c>
      <c r="D416" s="43" t="s">
        <v>604</v>
      </c>
      <c r="E416" s="43" t="s">
        <v>13</v>
      </c>
      <c r="F416" s="44">
        <v>44</v>
      </c>
      <c r="G416" s="43">
        <v>0</v>
      </c>
      <c r="H416" s="43">
        <v>0</v>
      </c>
      <c r="I416" s="44" t="s">
        <v>605</v>
      </c>
      <c r="J416" s="43">
        <v>7.925</v>
      </c>
      <c r="K416" s="43"/>
      <c r="L416" s="43" t="s">
        <v>15</v>
      </c>
    </row>
    <row r="417" spans="1:12">
      <c r="A417" s="43">
        <v>416</v>
      </c>
      <c r="B417" s="43">
        <v>0</v>
      </c>
      <c r="C417" s="43">
        <v>3</v>
      </c>
      <c r="D417" s="43" t="s">
        <v>606</v>
      </c>
      <c r="E417" s="43" t="s">
        <v>17</v>
      </c>
      <c r="F417" s="44" t="s">
        <v>27</v>
      </c>
      <c r="G417" s="43">
        <v>0</v>
      </c>
      <c r="H417" s="43">
        <v>0</v>
      </c>
      <c r="I417" s="44">
        <v>343095</v>
      </c>
      <c r="J417" s="43">
        <v>8.05</v>
      </c>
      <c r="K417" s="43"/>
      <c r="L417" s="43" t="s">
        <v>15</v>
      </c>
    </row>
    <row r="418" spans="1:12">
      <c r="A418" s="43">
        <v>417</v>
      </c>
      <c r="B418" s="43">
        <v>1</v>
      </c>
      <c r="C418" s="43">
        <v>2</v>
      </c>
      <c r="D418" s="43" t="s">
        <v>607</v>
      </c>
      <c r="E418" s="43" t="s">
        <v>17</v>
      </c>
      <c r="F418" s="44">
        <v>34</v>
      </c>
      <c r="G418" s="43">
        <v>1</v>
      </c>
      <c r="H418" s="43">
        <v>1</v>
      </c>
      <c r="I418" s="44">
        <v>28220</v>
      </c>
      <c r="J418" s="43">
        <v>32.5</v>
      </c>
      <c r="K418" s="43"/>
      <c r="L418" s="43" t="s">
        <v>15</v>
      </c>
    </row>
    <row r="419" spans="1:12">
      <c r="A419" s="43">
        <v>418</v>
      </c>
      <c r="B419" s="43">
        <v>1</v>
      </c>
      <c r="C419" s="43">
        <v>2</v>
      </c>
      <c r="D419" s="43" t="s">
        <v>608</v>
      </c>
      <c r="E419" s="43" t="s">
        <v>17</v>
      </c>
      <c r="F419" s="44">
        <v>18</v>
      </c>
      <c r="G419" s="43">
        <v>0</v>
      </c>
      <c r="H419" s="43">
        <v>2</v>
      </c>
      <c r="I419" s="44">
        <v>250652</v>
      </c>
      <c r="J419" s="43">
        <v>13</v>
      </c>
      <c r="K419" s="43"/>
      <c r="L419" s="43" t="s">
        <v>15</v>
      </c>
    </row>
    <row r="420" spans="1:12">
      <c r="A420" s="43">
        <v>419</v>
      </c>
      <c r="B420" s="43">
        <v>0</v>
      </c>
      <c r="C420" s="43">
        <v>2</v>
      </c>
      <c r="D420" s="43" t="s">
        <v>609</v>
      </c>
      <c r="E420" s="43" t="s">
        <v>13</v>
      </c>
      <c r="F420" s="44">
        <v>30</v>
      </c>
      <c r="G420" s="43">
        <v>0</v>
      </c>
      <c r="H420" s="43">
        <v>0</v>
      </c>
      <c r="I420" s="44">
        <v>28228</v>
      </c>
      <c r="J420" s="43">
        <v>13</v>
      </c>
      <c r="K420" s="43"/>
      <c r="L420" s="43" t="s">
        <v>15</v>
      </c>
    </row>
    <row r="421" spans="1:12">
      <c r="A421" s="43">
        <v>420</v>
      </c>
      <c r="B421" s="43">
        <v>0</v>
      </c>
      <c r="C421" s="43">
        <v>3</v>
      </c>
      <c r="D421" s="43" t="s">
        <v>610</v>
      </c>
      <c r="E421" s="43" t="s">
        <v>17</v>
      </c>
      <c r="F421" s="44">
        <v>10</v>
      </c>
      <c r="G421" s="43">
        <v>0</v>
      </c>
      <c r="H421" s="43">
        <v>2</v>
      </c>
      <c r="I421" s="44">
        <v>345773</v>
      </c>
      <c r="J421" s="43">
        <v>24.15</v>
      </c>
      <c r="K421" s="43"/>
      <c r="L421" s="43" t="s">
        <v>15</v>
      </c>
    </row>
    <row r="422" spans="1:12">
      <c r="A422" s="43">
        <v>421</v>
      </c>
      <c r="B422" s="43">
        <v>0</v>
      </c>
      <c r="C422" s="43">
        <v>3</v>
      </c>
      <c r="D422" s="43" t="s">
        <v>611</v>
      </c>
      <c r="E422" s="43" t="s">
        <v>13</v>
      </c>
      <c r="F422" s="44" t="s">
        <v>27</v>
      </c>
      <c r="G422" s="43">
        <v>0</v>
      </c>
      <c r="H422" s="43">
        <v>0</v>
      </c>
      <c r="I422" s="44">
        <v>349254</v>
      </c>
      <c r="J422" s="43">
        <v>7.8958</v>
      </c>
      <c r="K422" s="43"/>
      <c r="L422" s="43" t="s">
        <v>20</v>
      </c>
    </row>
    <row r="423" spans="1:12">
      <c r="A423" s="43">
        <v>422</v>
      </c>
      <c r="B423" s="43">
        <v>0</v>
      </c>
      <c r="C423" s="43">
        <v>3</v>
      </c>
      <c r="D423" s="43" t="s">
        <v>612</v>
      </c>
      <c r="E423" s="43" t="s">
        <v>13</v>
      </c>
      <c r="F423" s="44">
        <v>21</v>
      </c>
      <c r="G423" s="43">
        <v>0</v>
      </c>
      <c r="H423" s="43">
        <v>0</v>
      </c>
      <c r="I423" s="44" t="s">
        <v>613</v>
      </c>
      <c r="J423" s="43">
        <v>7.7333</v>
      </c>
      <c r="K423" s="43"/>
      <c r="L423" s="43" t="s">
        <v>28</v>
      </c>
    </row>
    <row r="424" spans="1:12">
      <c r="A424" s="43">
        <v>423</v>
      </c>
      <c r="B424" s="43">
        <v>0</v>
      </c>
      <c r="C424" s="43">
        <v>3</v>
      </c>
      <c r="D424" s="43" t="s">
        <v>614</v>
      </c>
      <c r="E424" s="43" t="s">
        <v>13</v>
      </c>
      <c r="F424" s="44">
        <v>29</v>
      </c>
      <c r="G424" s="43">
        <v>0</v>
      </c>
      <c r="H424" s="43">
        <v>0</v>
      </c>
      <c r="I424" s="44">
        <v>315082</v>
      </c>
      <c r="J424" s="43">
        <v>7.875</v>
      </c>
      <c r="K424" s="43"/>
      <c r="L424" s="43" t="s">
        <v>15</v>
      </c>
    </row>
    <row r="425" spans="1:12">
      <c r="A425" s="43">
        <v>424</v>
      </c>
      <c r="B425" s="43">
        <v>0</v>
      </c>
      <c r="C425" s="43">
        <v>3</v>
      </c>
      <c r="D425" s="43" t="s">
        <v>615</v>
      </c>
      <c r="E425" s="43" t="s">
        <v>17</v>
      </c>
      <c r="F425" s="44">
        <v>28</v>
      </c>
      <c r="G425" s="43">
        <v>1</v>
      </c>
      <c r="H425" s="43">
        <v>1</v>
      </c>
      <c r="I425" s="44">
        <v>347080</v>
      </c>
      <c r="J425" s="43">
        <v>14.4</v>
      </c>
      <c r="K425" s="43"/>
      <c r="L425" s="43" t="s">
        <v>15</v>
      </c>
    </row>
    <row r="426" spans="1:12">
      <c r="A426" s="43">
        <v>425</v>
      </c>
      <c r="B426" s="43">
        <v>0</v>
      </c>
      <c r="C426" s="43">
        <v>3</v>
      </c>
      <c r="D426" s="43" t="s">
        <v>616</v>
      </c>
      <c r="E426" s="43" t="s">
        <v>13</v>
      </c>
      <c r="F426" s="44">
        <v>18</v>
      </c>
      <c r="G426" s="43">
        <v>1</v>
      </c>
      <c r="H426" s="43">
        <v>1</v>
      </c>
      <c r="I426" s="44">
        <v>370129</v>
      </c>
      <c r="J426" s="43">
        <v>20.2125</v>
      </c>
      <c r="K426" s="43"/>
      <c r="L426" s="43" t="s">
        <v>15</v>
      </c>
    </row>
    <row r="427" spans="1:12">
      <c r="A427" s="43">
        <v>426</v>
      </c>
      <c r="B427" s="43">
        <v>0</v>
      </c>
      <c r="C427" s="43">
        <v>3</v>
      </c>
      <c r="D427" s="43" t="s">
        <v>617</v>
      </c>
      <c r="E427" s="43" t="s">
        <v>13</v>
      </c>
      <c r="F427" s="44" t="s">
        <v>27</v>
      </c>
      <c r="G427" s="43">
        <v>0</v>
      </c>
      <c r="H427" s="43">
        <v>0</v>
      </c>
      <c r="I427" s="44" t="s">
        <v>618</v>
      </c>
      <c r="J427" s="43">
        <v>7.25</v>
      </c>
      <c r="K427" s="43"/>
      <c r="L427" s="43" t="s">
        <v>15</v>
      </c>
    </row>
    <row r="428" spans="1:12">
      <c r="A428" s="43">
        <v>427</v>
      </c>
      <c r="B428" s="43">
        <v>1</v>
      </c>
      <c r="C428" s="43">
        <v>2</v>
      </c>
      <c r="D428" s="43" t="s">
        <v>619</v>
      </c>
      <c r="E428" s="43" t="s">
        <v>17</v>
      </c>
      <c r="F428" s="44">
        <v>28</v>
      </c>
      <c r="G428" s="43">
        <v>1</v>
      </c>
      <c r="H428" s="43">
        <v>0</v>
      </c>
      <c r="I428" s="44">
        <v>2003</v>
      </c>
      <c r="J428" s="43">
        <v>26</v>
      </c>
      <c r="K428" s="43"/>
      <c r="L428" s="43" t="s">
        <v>15</v>
      </c>
    </row>
    <row r="429" spans="1:12">
      <c r="A429" s="43">
        <v>428</v>
      </c>
      <c r="B429" s="43">
        <v>1</v>
      </c>
      <c r="C429" s="43">
        <v>2</v>
      </c>
      <c r="D429" s="43" t="s">
        <v>620</v>
      </c>
      <c r="E429" s="43" t="s">
        <v>17</v>
      </c>
      <c r="F429" s="44">
        <v>19</v>
      </c>
      <c r="G429" s="43">
        <v>0</v>
      </c>
      <c r="H429" s="43">
        <v>0</v>
      </c>
      <c r="I429" s="44">
        <v>250655</v>
      </c>
      <c r="J429" s="43">
        <v>26</v>
      </c>
      <c r="K429" s="43"/>
      <c r="L429" s="43" t="s">
        <v>15</v>
      </c>
    </row>
    <row r="430" spans="1:12">
      <c r="A430" s="43">
        <v>429</v>
      </c>
      <c r="B430" s="43">
        <v>0</v>
      </c>
      <c r="C430" s="43">
        <v>3</v>
      </c>
      <c r="D430" s="43" t="s">
        <v>621</v>
      </c>
      <c r="E430" s="43" t="s">
        <v>13</v>
      </c>
      <c r="F430" s="44" t="s">
        <v>27</v>
      </c>
      <c r="G430" s="43">
        <v>0</v>
      </c>
      <c r="H430" s="43">
        <v>0</v>
      </c>
      <c r="I430" s="44">
        <v>364851</v>
      </c>
      <c r="J430" s="43">
        <v>7.75</v>
      </c>
      <c r="K430" s="43"/>
      <c r="L430" s="43" t="s">
        <v>28</v>
      </c>
    </row>
    <row r="431" spans="1:12">
      <c r="A431" s="43">
        <v>430</v>
      </c>
      <c r="B431" s="43">
        <v>1</v>
      </c>
      <c r="C431" s="43">
        <v>3</v>
      </c>
      <c r="D431" s="43" t="s">
        <v>622</v>
      </c>
      <c r="E431" s="43" t="s">
        <v>13</v>
      </c>
      <c r="F431" s="44">
        <v>32</v>
      </c>
      <c r="G431" s="43">
        <v>0</v>
      </c>
      <c r="H431" s="43">
        <v>0</v>
      </c>
      <c r="I431" s="44" t="s">
        <v>623</v>
      </c>
      <c r="J431" s="43">
        <v>8.05</v>
      </c>
      <c r="K431" s="43" t="s">
        <v>624</v>
      </c>
      <c r="L431" s="43" t="s">
        <v>15</v>
      </c>
    </row>
    <row r="432" spans="1:12">
      <c r="A432" s="43">
        <v>431</v>
      </c>
      <c r="B432" s="43">
        <v>1</v>
      </c>
      <c r="C432" s="43">
        <v>1</v>
      </c>
      <c r="D432" s="43" t="s">
        <v>625</v>
      </c>
      <c r="E432" s="43" t="s">
        <v>13</v>
      </c>
      <c r="F432" s="44">
        <v>28</v>
      </c>
      <c r="G432" s="43">
        <v>0</v>
      </c>
      <c r="H432" s="43">
        <v>0</v>
      </c>
      <c r="I432" s="44">
        <v>110564</v>
      </c>
      <c r="J432" s="43">
        <v>26.55</v>
      </c>
      <c r="K432" s="43" t="s">
        <v>99</v>
      </c>
      <c r="L432" s="43" t="s">
        <v>15</v>
      </c>
    </row>
    <row r="433" spans="1:12">
      <c r="A433" s="43">
        <v>432</v>
      </c>
      <c r="B433" s="43">
        <v>1</v>
      </c>
      <c r="C433" s="43">
        <v>3</v>
      </c>
      <c r="D433" s="43" t="s">
        <v>626</v>
      </c>
      <c r="E433" s="43" t="s">
        <v>17</v>
      </c>
      <c r="F433" s="44" t="s">
        <v>27</v>
      </c>
      <c r="G433" s="43">
        <v>1</v>
      </c>
      <c r="H433" s="43">
        <v>0</v>
      </c>
      <c r="I433" s="44">
        <v>376564</v>
      </c>
      <c r="J433" s="43">
        <v>16.1</v>
      </c>
      <c r="K433" s="43"/>
      <c r="L433" s="43" t="s">
        <v>15</v>
      </c>
    </row>
    <row r="434" spans="1:12">
      <c r="A434" s="43">
        <v>433</v>
      </c>
      <c r="B434" s="43">
        <v>1</v>
      </c>
      <c r="C434" s="43">
        <v>2</v>
      </c>
      <c r="D434" s="43" t="s">
        <v>627</v>
      </c>
      <c r="E434" s="43" t="s">
        <v>17</v>
      </c>
      <c r="F434" s="44">
        <v>42</v>
      </c>
      <c r="G434" s="43">
        <v>1</v>
      </c>
      <c r="H434" s="43">
        <v>0</v>
      </c>
      <c r="I434" s="44" t="s">
        <v>628</v>
      </c>
      <c r="J434" s="43">
        <v>26</v>
      </c>
      <c r="K434" s="43"/>
      <c r="L434" s="43" t="s">
        <v>15</v>
      </c>
    </row>
    <row r="435" spans="1:12">
      <c r="A435" s="43">
        <v>434</v>
      </c>
      <c r="B435" s="43">
        <v>0</v>
      </c>
      <c r="C435" s="43">
        <v>3</v>
      </c>
      <c r="D435" s="43" t="s">
        <v>629</v>
      </c>
      <c r="E435" s="43" t="s">
        <v>13</v>
      </c>
      <c r="F435" s="44">
        <v>17</v>
      </c>
      <c r="G435" s="43">
        <v>0</v>
      </c>
      <c r="H435" s="43">
        <v>0</v>
      </c>
      <c r="I435" s="44" t="s">
        <v>630</v>
      </c>
      <c r="J435" s="43">
        <v>7.125</v>
      </c>
      <c r="K435" s="43"/>
      <c r="L435" s="43" t="s">
        <v>15</v>
      </c>
    </row>
    <row r="436" spans="1:12">
      <c r="A436" s="43">
        <v>435</v>
      </c>
      <c r="B436" s="43">
        <v>0</v>
      </c>
      <c r="C436" s="43">
        <v>1</v>
      </c>
      <c r="D436" s="43" t="s">
        <v>631</v>
      </c>
      <c r="E436" s="43" t="s">
        <v>13</v>
      </c>
      <c r="F436" s="44">
        <v>50</v>
      </c>
      <c r="G436" s="43">
        <v>1</v>
      </c>
      <c r="H436" s="43">
        <v>0</v>
      </c>
      <c r="I436" s="44">
        <v>13507</v>
      </c>
      <c r="J436" s="43">
        <v>55.9</v>
      </c>
      <c r="K436" s="43" t="s">
        <v>632</v>
      </c>
      <c r="L436" s="43" t="s">
        <v>15</v>
      </c>
    </row>
    <row r="437" spans="1:12">
      <c r="A437" s="43">
        <v>436</v>
      </c>
      <c r="B437" s="43">
        <v>1</v>
      </c>
      <c r="C437" s="43">
        <v>1</v>
      </c>
      <c r="D437" s="43" t="s">
        <v>633</v>
      </c>
      <c r="E437" s="43" t="s">
        <v>17</v>
      </c>
      <c r="F437" s="44">
        <v>14</v>
      </c>
      <c r="G437" s="43">
        <v>1</v>
      </c>
      <c r="H437" s="43">
        <v>2</v>
      </c>
      <c r="I437" s="44">
        <v>113760</v>
      </c>
      <c r="J437" s="43">
        <v>120</v>
      </c>
      <c r="K437" s="43" t="s">
        <v>579</v>
      </c>
      <c r="L437" s="43" t="s">
        <v>15</v>
      </c>
    </row>
    <row r="438" spans="1:12">
      <c r="A438" s="43">
        <v>437</v>
      </c>
      <c r="B438" s="43">
        <v>0</v>
      </c>
      <c r="C438" s="43">
        <v>3</v>
      </c>
      <c r="D438" s="43" t="s">
        <v>634</v>
      </c>
      <c r="E438" s="43" t="s">
        <v>17</v>
      </c>
      <c r="F438" s="44">
        <v>21</v>
      </c>
      <c r="G438" s="43">
        <v>2</v>
      </c>
      <c r="H438" s="43">
        <v>2</v>
      </c>
      <c r="I438" s="44" t="s">
        <v>144</v>
      </c>
      <c r="J438" s="43">
        <v>34.375</v>
      </c>
      <c r="K438" s="43"/>
      <c r="L438" s="43" t="s">
        <v>15</v>
      </c>
    </row>
    <row r="439" spans="1:12">
      <c r="A439" s="43">
        <v>438</v>
      </c>
      <c r="B439" s="43">
        <v>1</v>
      </c>
      <c r="C439" s="43">
        <v>2</v>
      </c>
      <c r="D439" s="43" t="s">
        <v>635</v>
      </c>
      <c r="E439" s="43" t="s">
        <v>17</v>
      </c>
      <c r="F439" s="44">
        <v>24</v>
      </c>
      <c r="G439" s="43">
        <v>2</v>
      </c>
      <c r="H439" s="43">
        <v>3</v>
      </c>
      <c r="I439" s="44">
        <v>29106</v>
      </c>
      <c r="J439" s="43">
        <v>18.75</v>
      </c>
      <c r="K439" s="43"/>
      <c r="L439" s="43" t="s">
        <v>15</v>
      </c>
    </row>
    <row r="440" spans="1:12">
      <c r="A440" s="43">
        <v>439</v>
      </c>
      <c r="B440" s="43">
        <v>0</v>
      </c>
      <c r="C440" s="43">
        <v>1</v>
      </c>
      <c r="D440" s="43" t="s">
        <v>636</v>
      </c>
      <c r="E440" s="43" t="s">
        <v>13</v>
      </c>
      <c r="F440" s="44">
        <v>64</v>
      </c>
      <c r="G440" s="43">
        <v>1</v>
      </c>
      <c r="H440" s="43">
        <v>4</v>
      </c>
      <c r="I440" s="44">
        <v>19950</v>
      </c>
      <c r="J440" s="43">
        <v>263</v>
      </c>
      <c r="K440" s="43" t="s">
        <v>58</v>
      </c>
      <c r="L440" s="43" t="s">
        <v>15</v>
      </c>
    </row>
    <row r="441" spans="1:12">
      <c r="A441" s="43">
        <v>440</v>
      </c>
      <c r="B441" s="43">
        <v>0</v>
      </c>
      <c r="C441" s="43">
        <v>2</v>
      </c>
      <c r="D441" s="43" t="s">
        <v>637</v>
      </c>
      <c r="E441" s="43" t="s">
        <v>13</v>
      </c>
      <c r="F441" s="44">
        <v>31</v>
      </c>
      <c r="G441" s="43">
        <v>0</v>
      </c>
      <c r="H441" s="43">
        <v>0</v>
      </c>
      <c r="I441" s="44" t="s">
        <v>638</v>
      </c>
      <c r="J441" s="43">
        <v>10.5</v>
      </c>
      <c r="K441" s="43"/>
      <c r="L441" s="43" t="s">
        <v>15</v>
      </c>
    </row>
    <row r="442" spans="1:12">
      <c r="A442" s="43">
        <v>441</v>
      </c>
      <c r="B442" s="43">
        <v>1</v>
      </c>
      <c r="C442" s="43">
        <v>2</v>
      </c>
      <c r="D442" s="43" t="s">
        <v>639</v>
      </c>
      <c r="E442" s="43" t="s">
        <v>17</v>
      </c>
      <c r="F442" s="44">
        <v>45</v>
      </c>
      <c r="G442" s="43">
        <v>1</v>
      </c>
      <c r="H442" s="43">
        <v>1</v>
      </c>
      <c r="I442" s="44" t="s">
        <v>478</v>
      </c>
      <c r="J442" s="43">
        <v>26.25</v>
      </c>
      <c r="K442" s="43"/>
      <c r="L442" s="43" t="s">
        <v>15</v>
      </c>
    </row>
    <row r="443" spans="1:12">
      <c r="A443" s="43">
        <v>442</v>
      </c>
      <c r="B443" s="43">
        <v>0</v>
      </c>
      <c r="C443" s="43">
        <v>3</v>
      </c>
      <c r="D443" s="43" t="s">
        <v>640</v>
      </c>
      <c r="E443" s="43" t="s">
        <v>13</v>
      </c>
      <c r="F443" s="44">
        <v>20</v>
      </c>
      <c r="G443" s="43">
        <v>0</v>
      </c>
      <c r="H443" s="43">
        <v>0</v>
      </c>
      <c r="I443" s="44">
        <v>345769</v>
      </c>
      <c r="J443" s="43">
        <v>9.5</v>
      </c>
      <c r="K443" s="43"/>
      <c r="L443" s="43" t="s">
        <v>15</v>
      </c>
    </row>
    <row r="444" spans="1:12">
      <c r="A444" s="43">
        <v>443</v>
      </c>
      <c r="B444" s="43">
        <v>0</v>
      </c>
      <c r="C444" s="43">
        <v>3</v>
      </c>
      <c r="D444" s="43" t="s">
        <v>641</v>
      </c>
      <c r="E444" s="43" t="s">
        <v>13</v>
      </c>
      <c r="F444" s="44">
        <v>25</v>
      </c>
      <c r="G444" s="43">
        <v>1</v>
      </c>
      <c r="H444" s="43">
        <v>0</v>
      </c>
      <c r="I444" s="44">
        <v>347076</v>
      </c>
      <c r="J444" s="43">
        <v>7.775</v>
      </c>
      <c r="K444" s="43"/>
      <c r="L444" s="43" t="s">
        <v>15</v>
      </c>
    </row>
    <row r="445" spans="1:12">
      <c r="A445" s="43">
        <v>444</v>
      </c>
      <c r="B445" s="43">
        <v>1</v>
      </c>
      <c r="C445" s="43">
        <v>2</v>
      </c>
      <c r="D445" s="43" t="s">
        <v>642</v>
      </c>
      <c r="E445" s="43" t="s">
        <v>17</v>
      </c>
      <c r="F445" s="44">
        <v>28</v>
      </c>
      <c r="G445" s="43">
        <v>0</v>
      </c>
      <c r="H445" s="43">
        <v>0</v>
      </c>
      <c r="I445" s="44">
        <v>230434</v>
      </c>
      <c r="J445" s="43">
        <v>13</v>
      </c>
      <c r="K445" s="43"/>
      <c r="L445" s="43" t="s">
        <v>15</v>
      </c>
    </row>
    <row r="446" spans="1:12">
      <c r="A446" s="43">
        <v>445</v>
      </c>
      <c r="B446" s="43">
        <v>1</v>
      </c>
      <c r="C446" s="43">
        <v>3</v>
      </c>
      <c r="D446" s="43" t="s">
        <v>643</v>
      </c>
      <c r="E446" s="43" t="s">
        <v>13</v>
      </c>
      <c r="F446" s="44" t="s">
        <v>27</v>
      </c>
      <c r="G446" s="43">
        <v>0</v>
      </c>
      <c r="H446" s="43">
        <v>0</v>
      </c>
      <c r="I446" s="44">
        <v>65306</v>
      </c>
      <c r="J446" s="43">
        <v>8.1125</v>
      </c>
      <c r="K446" s="43"/>
      <c r="L446" s="43" t="s">
        <v>15</v>
      </c>
    </row>
    <row r="447" spans="1:12">
      <c r="A447" s="43">
        <v>446</v>
      </c>
      <c r="B447" s="43">
        <v>1</v>
      </c>
      <c r="C447" s="43">
        <v>1</v>
      </c>
      <c r="D447" s="43" t="s">
        <v>644</v>
      </c>
      <c r="E447" s="43" t="s">
        <v>13</v>
      </c>
      <c r="F447" s="44">
        <v>4</v>
      </c>
      <c r="G447" s="43">
        <v>0</v>
      </c>
      <c r="H447" s="43">
        <v>2</v>
      </c>
      <c r="I447" s="44">
        <v>33638</v>
      </c>
      <c r="J447" s="43">
        <v>81.8583</v>
      </c>
      <c r="K447" s="43" t="s">
        <v>645</v>
      </c>
      <c r="L447" s="43" t="s">
        <v>15</v>
      </c>
    </row>
    <row r="448" spans="1:12">
      <c r="A448" s="43">
        <v>447</v>
      </c>
      <c r="B448" s="43">
        <v>1</v>
      </c>
      <c r="C448" s="43">
        <v>2</v>
      </c>
      <c r="D448" s="43" t="s">
        <v>646</v>
      </c>
      <c r="E448" s="43" t="s">
        <v>17</v>
      </c>
      <c r="F448" s="44">
        <v>13</v>
      </c>
      <c r="G448" s="43">
        <v>0</v>
      </c>
      <c r="H448" s="43">
        <v>1</v>
      </c>
      <c r="I448" s="44">
        <v>250644</v>
      </c>
      <c r="J448" s="43">
        <v>19.5</v>
      </c>
      <c r="K448" s="43"/>
      <c r="L448" s="43" t="s">
        <v>15</v>
      </c>
    </row>
    <row r="449" spans="1:12">
      <c r="A449" s="43">
        <v>448</v>
      </c>
      <c r="B449" s="43">
        <v>1</v>
      </c>
      <c r="C449" s="43">
        <v>1</v>
      </c>
      <c r="D449" s="43" t="s">
        <v>647</v>
      </c>
      <c r="E449" s="43" t="s">
        <v>13</v>
      </c>
      <c r="F449" s="44">
        <v>34</v>
      </c>
      <c r="G449" s="43">
        <v>0</v>
      </c>
      <c r="H449" s="43">
        <v>0</v>
      </c>
      <c r="I449" s="44">
        <v>113794</v>
      </c>
      <c r="J449" s="43">
        <v>26.55</v>
      </c>
      <c r="K449" s="43"/>
      <c r="L449" s="43" t="s">
        <v>15</v>
      </c>
    </row>
    <row r="450" spans="1:12">
      <c r="A450" s="43">
        <v>449</v>
      </c>
      <c r="B450" s="43">
        <v>1</v>
      </c>
      <c r="C450" s="43">
        <v>3</v>
      </c>
      <c r="D450" s="43" t="s">
        <v>648</v>
      </c>
      <c r="E450" s="43" t="s">
        <v>17</v>
      </c>
      <c r="F450" s="44">
        <v>5</v>
      </c>
      <c r="G450" s="43">
        <v>2</v>
      </c>
      <c r="H450" s="43">
        <v>1</v>
      </c>
      <c r="I450" s="44">
        <v>2666</v>
      </c>
      <c r="J450" s="43">
        <v>19.2583</v>
      </c>
      <c r="K450" s="43"/>
      <c r="L450" s="43" t="s">
        <v>20</v>
      </c>
    </row>
    <row r="451" spans="1:12">
      <c r="A451" s="43">
        <v>450</v>
      </c>
      <c r="B451" s="43">
        <v>1</v>
      </c>
      <c r="C451" s="43">
        <v>1</v>
      </c>
      <c r="D451" s="43" t="s">
        <v>649</v>
      </c>
      <c r="E451" s="43" t="s">
        <v>13</v>
      </c>
      <c r="F451" s="44">
        <v>52</v>
      </c>
      <c r="G451" s="43">
        <v>0</v>
      </c>
      <c r="H451" s="43">
        <v>0</v>
      </c>
      <c r="I451" s="44">
        <v>113786</v>
      </c>
      <c r="J451" s="43">
        <v>30.5</v>
      </c>
      <c r="K451" s="43" t="s">
        <v>650</v>
      </c>
      <c r="L451" s="43" t="s">
        <v>15</v>
      </c>
    </row>
    <row r="452" spans="1:12">
      <c r="A452" s="43">
        <v>451</v>
      </c>
      <c r="B452" s="43">
        <v>0</v>
      </c>
      <c r="C452" s="43">
        <v>2</v>
      </c>
      <c r="D452" s="43" t="s">
        <v>651</v>
      </c>
      <c r="E452" s="43" t="s">
        <v>13</v>
      </c>
      <c r="F452" s="44">
        <v>36</v>
      </c>
      <c r="G452" s="43">
        <v>1</v>
      </c>
      <c r="H452" s="43">
        <v>2</v>
      </c>
      <c r="I452" s="44" t="s">
        <v>104</v>
      </c>
      <c r="J452" s="43">
        <v>27.75</v>
      </c>
      <c r="K452" s="43"/>
      <c r="L452" s="43" t="s">
        <v>15</v>
      </c>
    </row>
    <row r="453" spans="1:12">
      <c r="A453" s="43">
        <v>452</v>
      </c>
      <c r="B453" s="43">
        <v>0</v>
      </c>
      <c r="C453" s="43">
        <v>3</v>
      </c>
      <c r="D453" s="43" t="s">
        <v>652</v>
      </c>
      <c r="E453" s="43" t="s">
        <v>13</v>
      </c>
      <c r="F453" s="44" t="s">
        <v>27</v>
      </c>
      <c r="G453" s="43">
        <v>1</v>
      </c>
      <c r="H453" s="43">
        <v>0</v>
      </c>
      <c r="I453" s="44">
        <v>65303</v>
      </c>
      <c r="J453" s="43">
        <v>19.9667</v>
      </c>
      <c r="K453" s="43"/>
      <c r="L453" s="43" t="s">
        <v>15</v>
      </c>
    </row>
    <row r="454" spans="1:12">
      <c r="A454" s="43">
        <v>453</v>
      </c>
      <c r="B454" s="43">
        <v>0</v>
      </c>
      <c r="C454" s="43">
        <v>1</v>
      </c>
      <c r="D454" s="43" t="s">
        <v>653</v>
      </c>
      <c r="E454" s="43" t="s">
        <v>13</v>
      </c>
      <c r="F454" s="44">
        <v>30</v>
      </c>
      <c r="G454" s="43">
        <v>0</v>
      </c>
      <c r="H454" s="43">
        <v>0</v>
      </c>
      <c r="I454" s="44">
        <v>113051</v>
      </c>
      <c r="J454" s="43">
        <v>27.75</v>
      </c>
      <c r="K454" s="43" t="s">
        <v>654</v>
      </c>
      <c r="L454" s="43" t="s">
        <v>20</v>
      </c>
    </row>
    <row r="455" spans="1:12">
      <c r="A455" s="43">
        <v>454</v>
      </c>
      <c r="B455" s="43">
        <v>1</v>
      </c>
      <c r="C455" s="43">
        <v>1</v>
      </c>
      <c r="D455" s="43" t="s">
        <v>655</v>
      </c>
      <c r="E455" s="43" t="s">
        <v>13</v>
      </c>
      <c r="F455" s="44">
        <v>49</v>
      </c>
      <c r="G455" s="43">
        <v>1</v>
      </c>
      <c r="H455" s="43">
        <v>0</v>
      </c>
      <c r="I455" s="44">
        <v>17453</v>
      </c>
      <c r="J455" s="43">
        <v>89.1042</v>
      </c>
      <c r="K455" s="43" t="s">
        <v>656</v>
      </c>
      <c r="L455" s="43" t="s">
        <v>20</v>
      </c>
    </row>
    <row r="456" spans="1:12">
      <c r="A456" s="43">
        <v>455</v>
      </c>
      <c r="B456" s="43">
        <v>0</v>
      </c>
      <c r="C456" s="43">
        <v>3</v>
      </c>
      <c r="D456" s="43" t="s">
        <v>657</v>
      </c>
      <c r="E456" s="43" t="s">
        <v>13</v>
      </c>
      <c r="F456" s="44" t="s">
        <v>27</v>
      </c>
      <c r="G456" s="43">
        <v>0</v>
      </c>
      <c r="H456" s="43">
        <v>0</v>
      </c>
      <c r="I456" s="44" t="s">
        <v>658</v>
      </c>
      <c r="J456" s="43">
        <v>8.05</v>
      </c>
      <c r="K456" s="43"/>
      <c r="L456" s="43" t="s">
        <v>15</v>
      </c>
    </row>
    <row r="457" spans="1:12">
      <c r="A457" s="43">
        <v>456</v>
      </c>
      <c r="B457" s="43">
        <v>1</v>
      </c>
      <c r="C457" s="43">
        <v>3</v>
      </c>
      <c r="D457" s="43" t="s">
        <v>659</v>
      </c>
      <c r="E457" s="43" t="s">
        <v>13</v>
      </c>
      <c r="F457" s="44">
        <v>29</v>
      </c>
      <c r="G457" s="43">
        <v>0</v>
      </c>
      <c r="H457" s="43">
        <v>0</v>
      </c>
      <c r="I457" s="44">
        <v>349240</v>
      </c>
      <c r="J457" s="43">
        <v>7.8958</v>
      </c>
      <c r="K457" s="43"/>
      <c r="L457" s="43" t="s">
        <v>20</v>
      </c>
    </row>
    <row r="458" spans="1:12">
      <c r="A458" s="43">
        <v>457</v>
      </c>
      <c r="B458" s="43">
        <v>0</v>
      </c>
      <c r="C458" s="43">
        <v>1</v>
      </c>
      <c r="D458" s="43" t="s">
        <v>660</v>
      </c>
      <c r="E458" s="43" t="s">
        <v>13</v>
      </c>
      <c r="F458" s="44">
        <v>65</v>
      </c>
      <c r="G458" s="43">
        <v>0</v>
      </c>
      <c r="H458" s="43">
        <v>0</v>
      </c>
      <c r="I458" s="44">
        <v>13509</v>
      </c>
      <c r="J458" s="43">
        <v>26.55</v>
      </c>
      <c r="K458" s="43" t="s">
        <v>661</v>
      </c>
      <c r="L458" s="43" t="s">
        <v>15</v>
      </c>
    </row>
    <row r="459" spans="1:12">
      <c r="A459" s="43">
        <v>458</v>
      </c>
      <c r="B459" s="43">
        <v>1</v>
      </c>
      <c r="C459" s="43">
        <v>1</v>
      </c>
      <c r="D459" s="43" t="s">
        <v>662</v>
      </c>
      <c r="E459" s="43" t="s">
        <v>17</v>
      </c>
      <c r="F459" s="44" t="s">
        <v>27</v>
      </c>
      <c r="G459" s="43">
        <v>1</v>
      </c>
      <c r="H459" s="43">
        <v>0</v>
      </c>
      <c r="I459" s="44">
        <v>17464</v>
      </c>
      <c r="J459" s="43">
        <v>51.8625</v>
      </c>
      <c r="K459" s="43" t="s">
        <v>663</v>
      </c>
      <c r="L459" s="43" t="s">
        <v>15</v>
      </c>
    </row>
    <row r="460" spans="1:12">
      <c r="A460" s="43">
        <v>459</v>
      </c>
      <c r="B460" s="43">
        <v>1</v>
      </c>
      <c r="C460" s="43">
        <v>2</v>
      </c>
      <c r="D460" s="43" t="s">
        <v>664</v>
      </c>
      <c r="E460" s="43" t="s">
        <v>17</v>
      </c>
      <c r="F460" s="44">
        <v>50</v>
      </c>
      <c r="G460" s="43">
        <v>0</v>
      </c>
      <c r="H460" s="43">
        <v>0</v>
      </c>
      <c r="I460" s="44" t="s">
        <v>665</v>
      </c>
      <c r="J460" s="43">
        <v>10.5</v>
      </c>
      <c r="K460" s="43"/>
      <c r="L460" s="43" t="s">
        <v>15</v>
      </c>
    </row>
    <row r="461" spans="1:12">
      <c r="A461" s="43">
        <v>460</v>
      </c>
      <c r="B461" s="43">
        <v>0</v>
      </c>
      <c r="C461" s="43">
        <v>3</v>
      </c>
      <c r="D461" s="43" t="s">
        <v>666</v>
      </c>
      <c r="E461" s="43" t="s">
        <v>13</v>
      </c>
      <c r="F461" s="44" t="s">
        <v>27</v>
      </c>
      <c r="G461" s="43">
        <v>0</v>
      </c>
      <c r="H461" s="43">
        <v>0</v>
      </c>
      <c r="I461" s="44">
        <v>371060</v>
      </c>
      <c r="J461" s="43">
        <v>7.75</v>
      </c>
      <c r="K461" s="43"/>
      <c r="L461" s="43" t="s">
        <v>28</v>
      </c>
    </row>
    <row r="462" spans="1:12">
      <c r="A462" s="43">
        <v>461</v>
      </c>
      <c r="B462" s="43">
        <v>1</v>
      </c>
      <c r="C462" s="43">
        <v>1</v>
      </c>
      <c r="D462" s="43" t="s">
        <v>667</v>
      </c>
      <c r="E462" s="43" t="s">
        <v>13</v>
      </c>
      <c r="F462" s="44">
        <v>48</v>
      </c>
      <c r="G462" s="43">
        <v>0</v>
      </c>
      <c r="H462" s="43">
        <v>0</v>
      </c>
      <c r="I462" s="44">
        <v>19952</v>
      </c>
      <c r="J462" s="43">
        <v>26.55</v>
      </c>
      <c r="K462" s="43" t="s">
        <v>668</v>
      </c>
      <c r="L462" s="43" t="s">
        <v>15</v>
      </c>
    </row>
    <row r="463" spans="1:12">
      <c r="A463" s="43">
        <v>462</v>
      </c>
      <c r="B463" s="43">
        <v>0</v>
      </c>
      <c r="C463" s="43">
        <v>3</v>
      </c>
      <c r="D463" s="43" t="s">
        <v>669</v>
      </c>
      <c r="E463" s="43" t="s">
        <v>13</v>
      </c>
      <c r="F463" s="44">
        <v>34</v>
      </c>
      <c r="G463" s="43">
        <v>0</v>
      </c>
      <c r="H463" s="43">
        <v>0</v>
      </c>
      <c r="I463" s="44">
        <v>364506</v>
      </c>
      <c r="J463" s="43">
        <v>8.05</v>
      </c>
      <c r="K463" s="43"/>
      <c r="L463" s="43" t="s">
        <v>15</v>
      </c>
    </row>
    <row r="464" spans="1:12">
      <c r="A464" s="43">
        <v>463</v>
      </c>
      <c r="B464" s="43">
        <v>0</v>
      </c>
      <c r="C464" s="43">
        <v>1</v>
      </c>
      <c r="D464" s="43" t="s">
        <v>670</v>
      </c>
      <c r="E464" s="43" t="s">
        <v>13</v>
      </c>
      <c r="F464" s="44">
        <v>47</v>
      </c>
      <c r="G464" s="43">
        <v>0</v>
      </c>
      <c r="H464" s="43">
        <v>0</v>
      </c>
      <c r="I464" s="44">
        <v>111320</v>
      </c>
      <c r="J464" s="43">
        <v>38.5</v>
      </c>
      <c r="K464" s="43" t="s">
        <v>671</v>
      </c>
      <c r="L464" s="43" t="s">
        <v>15</v>
      </c>
    </row>
    <row r="465" spans="1:12">
      <c r="A465" s="43">
        <v>464</v>
      </c>
      <c r="B465" s="43">
        <v>0</v>
      </c>
      <c r="C465" s="43">
        <v>2</v>
      </c>
      <c r="D465" s="43" t="s">
        <v>672</v>
      </c>
      <c r="E465" s="43" t="s">
        <v>13</v>
      </c>
      <c r="F465" s="44">
        <v>48</v>
      </c>
      <c r="G465" s="43">
        <v>0</v>
      </c>
      <c r="H465" s="43">
        <v>0</v>
      </c>
      <c r="I465" s="44">
        <v>234360</v>
      </c>
      <c r="J465" s="43">
        <v>13</v>
      </c>
      <c r="K465" s="43"/>
      <c r="L465" s="43" t="s">
        <v>15</v>
      </c>
    </row>
    <row r="466" spans="1:12">
      <c r="A466" s="43">
        <v>465</v>
      </c>
      <c r="B466" s="43">
        <v>0</v>
      </c>
      <c r="C466" s="43">
        <v>3</v>
      </c>
      <c r="D466" s="43" t="s">
        <v>673</v>
      </c>
      <c r="E466" s="43" t="s">
        <v>13</v>
      </c>
      <c r="F466" s="44" t="s">
        <v>27</v>
      </c>
      <c r="G466" s="43">
        <v>0</v>
      </c>
      <c r="H466" s="43">
        <v>0</v>
      </c>
      <c r="I466" s="44" t="s">
        <v>674</v>
      </c>
      <c r="J466" s="43">
        <v>8.05</v>
      </c>
      <c r="K466" s="43"/>
      <c r="L466" s="43" t="s">
        <v>15</v>
      </c>
    </row>
    <row r="467" spans="1:12">
      <c r="A467" s="43">
        <v>466</v>
      </c>
      <c r="B467" s="43">
        <v>0</v>
      </c>
      <c r="C467" s="43">
        <v>3</v>
      </c>
      <c r="D467" s="43" t="s">
        <v>675</v>
      </c>
      <c r="E467" s="43" t="s">
        <v>13</v>
      </c>
      <c r="F467" s="44">
        <v>38</v>
      </c>
      <c r="G467" s="43">
        <v>0</v>
      </c>
      <c r="H467" s="43">
        <v>0</v>
      </c>
      <c r="I467" s="44" t="s">
        <v>676</v>
      </c>
      <c r="J467" s="43">
        <v>7.05</v>
      </c>
      <c r="K467" s="43"/>
      <c r="L467" s="43" t="s">
        <v>15</v>
      </c>
    </row>
    <row r="468" spans="1:12">
      <c r="A468" s="43">
        <v>467</v>
      </c>
      <c r="B468" s="43">
        <v>0</v>
      </c>
      <c r="C468" s="43">
        <v>2</v>
      </c>
      <c r="D468" s="43" t="s">
        <v>677</v>
      </c>
      <c r="E468" s="43" t="s">
        <v>13</v>
      </c>
      <c r="F468" s="44" t="s">
        <v>27</v>
      </c>
      <c r="G468" s="43">
        <v>0</v>
      </c>
      <c r="H468" s="43">
        <v>0</v>
      </c>
      <c r="I468" s="44">
        <v>239853</v>
      </c>
      <c r="J468" s="43">
        <v>0</v>
      </c>
      <c r="K468" s="43"/>
      <c r="L468" s="43" t="s">
        <v>15</v>
      </c>
    </row>
    <row r="469" spans="1:12">
      <c r="A469" s="43">
        <v>468</v>
      </c>
      <c r="B469" s="43">
        <v>0</v>
      </c>
      <c r="C469" s="43">
        <v>1</v>
      </c>
      <c r="D469" s="43" t="s">
        <v>678</v>
      </c>
      <c r="E469" s="43" t="s">
        <v>13</v>
      </c>
      <c r="F469" s="44">
        <v>56</v>
      </c>
      <c r="G469" s="43">
        <v>0</v>
      </c>
      <c r="H469" s="43">
        <v>0</v>
      </c>
      <c r="I469" s="44">
        <v>113792</v>
      </c>
      <c r="J469" s="43">
        <v>26.55</v>
      </c>
      <c r="K469" s="43"/>
      <c r="L469" s="43" t="s">
        <v>15</v>
      </c>
    </row>
    <row r="470" spans="1:12">
      <c r="A470" s="43">
        <v>469</v>
      </c>
      <c r="B470" s="43">
        <v>0</v>
      </c>
      <c r="C470" s="43">
        <v>3</v>
      </c>
      <c r="D470" s="43" t="s">
        <v>679</v>
      </c>
      <c r="E470" s="43" t="s">
        <v>13</v>
      </c>
      <c r="F470" s="44" t="s">
        <v>27</v>
      </c>
      <c r="G470" s="43">
        <v>0</v>
      </c>
      <c r="H470" s="43">
        <v>0</v>
      </c>
      <c r="I470" s="44">
        <v>36209</v>
      </c>
      <c r="J470" s="43">
        <v>7.725</v>
      </c>
      <c r="K470" s="43"/>
      <c r="L470" s="43" t="s">
        <v>28</v>
      </c>
    </row>
    <row r="471" spans="1:12">
      <c r="A471" s="43">
        <v>470</v>
      </c>
      <c r="B471" s="43">
        <v>1</v>
      </c>
      <c r="C471" s="43">
        <v>3</v>
      </c>
      <c r="D471" s="43" t="s">
        <v>680</v>
      </c>
      <c r="E471" s="43" t="s">
        <v>17</v>
      </c>
      <c r="F471" s="44">
        <v>0.75</v>
      </c>
      <c r="G471" s="43">
        <v>2</v>
      </c>
      <c r="H471" s="43">
        <v>1</v>
      </c>
      <c r="I471" s="44">
        <v>2666</v>
      </c>
      <c r="J471" s="43">
        <v>19.2583</v>
      </c>
      <c r="K471" s="43"/>
      <c r="L471" s="43" t="s">
        <v>20</v>
      </c>
    </row>
    <row r="472" spans="1:12">
      <c r="A472" s="43">
        <v>471</v>
      </c>
      <c r="B472" s="43">
        <v>0</v>
      </c>
      <c r="C472" s="43">
        <v>3</v>
      </c>
      <c r="D472" s="43" t="s">
        <v>681</v>
      </c>
      <c r="E472" s="43" t="s">
        <v>13</v>
      </c>
      <c r="F472" s="44" t="s">
        <v>27</v>
      </c>
      <c r="G472" s="43">
        <v>0</v>
      </c>
      <c r="H472" s="43">
        <v>0</v>
      </c>
      <c r="I472" s="44">
        <v>323592</v>
      </c>
      <c r="J472" s="43">
        <v>7.25</v>
      </c>
      <c r="K472" s="43"/>
      <c r="L472" s="43" t="s">
        <v>15</v>
      </c>
    </row>
    <row r="473" spans="1:12">
      <c r="A473" s="43">
        <v>472</v>
      </c>
      <c r="B473" s="43">
        <v>0</v>
      </c>
      <c r="C473" s="43">
        <v>3</v>
      </c>
      <c r="D473" s="43" t="s">
        <v>682</v>
      </c>
      <c r="E473" s="43" t="s">
        <v>13</v>
      </c>
      <c r="F473" s="44">
        <v>38</v>
      </c>
      <c r="G473" s="43">
        <v>0</v>
      </c>
      <c r="H473" s="43">
        <v>0</v>
      </c>
      <c r="I473" s="44">
        <v>315089</v>
      </c>
      <c r="J473" s="43">
        <v>8.6625</v>
      </c>
      <c r="K473" s="43"/>
      <c r="L473" s="43" t="s">
        <v>15</v>
      </c>
    </row>
    <row r="474" spans="1:12">
      <c r="A474" s="43">
        <v>473</v>
      </c>
      <c r="B474" s="43">
        <v>1</v>
      </c>
      <c r="C474" s="43">
        <v>2</v>
      </c>
      <c r="D474" s="43" t="s">
        <v>683</v>
      </c>
      <c r="E474" s="43" t="s">
        <v>17</v>
      </c>
      <c r="F474" s="44">
        <v>33</v>
      </c>
      <c r="G474" s="43">
        <v>1</v>
      </c>
      <c r="H474" s="43">
        <v>2</v>
      </c>
      <c r="I474" s="44" t="s">
        <v>104</v>
      </c>
      <c r="J474" s="43">
        <v>27.75</v>
      </c>
      <c r="K474" s="43"/>
      <c r="L474" s="43" t="s">
        <v>15</v>
      </c>
    </row>
    <row r="475" spans="1:12">
      <c r="A475" s="43">
        <v>474</v>
      </c>
      <c r="B475" s="43">
        <v>1</v>
      </c>
      <c r="C475" s="43">
        <v>2</v>
      </c>
      <c r="D475" s="43" t="s">
        <v>684</v>
      </c>
      <c r="E475" s="43" t="s">
        <v>17</v>
      </c>
      <c r="F475" s="44">
        <v>23</v>
      </c>
      <c r="G475" s="43">
        <v>0</v>
      </c>
      <c r="H475" s="43">
        <v>0</v>
      </c>
      <c r="I475" s="44" t="s">
        <v>685</v>
      </c>
      <c r="J475" s="43">
        <v>13.7917</v>
      </c>
      <c r="K475" s="43" t="s">
        <v>443</v>
      </c>
      <c r="L475" s="43" t="s">
        <v>20</v>
      </c>
    </row>
    <row r="476" spans="1:12">
      <c r="A476" s="43">
        <v>475</v>
      </c>
      <c r="B476" s="43">
        <v>0</v>
      </c>
      <c r="C476" s="43">
        <v>3</v>
      </c>
      <c r="D476" s="43" t="s">
        <v>686</v>
      </c>
      <c r="E476" s="43" t="s">
        <v>17</v>
      </c>
      <c r="F476" s="44">
        <v>22</v>
      </c>
      <c r="G476" s="43">
        <v>0</v>
      </c>
      <c r="H476" s="43">
        <v>0</v>
      </c>
      <c r="I476" s="44">
        <v>7553</v>
      </c>
      <c r="J476" s="43">
        <v>9.8375</v>
      </c>
      <c r="K476" s="43"/>
      <c r="L476" s="43" t="s">
        <v>15</v>
      </c>
    </row>
    <row r="477" spans="1:12">
      <c r="A477" s="43">
        <v>476</v>
      </c>
      <c r="B477" s="43">
        <v>0</v>
      </c>
      <c r="C477" s="43">
        <v>1</v>
      </c>
      <c r="D477" s="43" t="s">
        <v>687</v>
      </c>
      <c r="E477" s="43" t="s">
        <v>13</v>
      </c>
      <c r="F477" s="44" t="s">
        <v>27</v>
      </c>
      <c r="G477" s="43">
        <v>0</v>
      </c>
      <c r="H477" s="43">
        <v>0</v>
      </c>
      <c r="I477" s="44">
        <v>110465</v>
      </c>
      <c r="J477" s="43">
        <v>52</v>
      </c>
      <c r="K477" s="43" t="s">
        <v>688</v>
      </c>
      <c r="L477" s="43" t="s">
        <v>15</v>
      </c>
    </row>
    <row r="478" spans="1:12">
      <c r="A478" s="43">
        <v>477</v>
      </c>
      <c r="B478" s="43">
        <v>0</v>
      </c>
      <c r="C478" s="43">
        <v>2</v>
      </c>
      <c r="D478" s="43" t="s">
        <v>689</v>
      </c>
      <c r="E478" s="43" t="s">
        <v>13</v>
      </c>
      <c r="F478" s="44">
        <v>34</v>
      </c>
      <c r="G478" s="43">
        <v>1</v>
      </c>
      <c r="H478" s="43">
        <v>0</v>
      </c>
      <c r="I478" s="44">
        <v>31027</v>
      </c>
      <c r="J478" s="43">
        <v>21</v>
      </c>
      <c r="K478" s="43"/>
      <c r="L478" s="43" t="s">
        <v>15</v>
      </c>
    </row>
    <row r="479" spans="1:12">
      <c r="A479" s="43">
        <v>478</v>
      </c>
      <c r="B479" s="43">
        <v>0</v>
      </c>
      <c r="C479" s="43">
        <v>3</v>
      </c>
      <c r="D479" s="43" t="s">
        <v>690</v>
      </c>
      <c r="E479" s="43" t="s">
        <v>13</v>
      </c>
      <c r="F479" s="44">
        <v>29</v>
      </c>
      <c r="G479" s="43">
        <v>1</v>
      </c>
      <c r="H479" s="43">
        <v>0</v>
      </c>
      <c r="I479" s="44">
        <v>3460</v>
      </c>
      <c r="J479" s="43">
        <v>7.0458</v>
      </c>
      <c r="K479" s="43"/>
      <c r="L479" s="43" t="s">
        <v>15</v>
      </c>
    </row>
    <row r="480" spans="1:12">
      <c r="A480" s="43">
        <v>479</v>
      </c>
      <c r="B480" s="43">
        <v>0</v>
      </c>
      <c r="C480" s="43">
        <v>3</v>
      </c>
      <c r="D480" s="43" t="s">
        <v>691</v>
      </c>
      <c r="E480" s="43" t="s">
        <v>13</v>
      </c>
      <c r="F480" s="44">
        <v>22</v>
      </c>
      <c r="G480" s="43">
        <v>0</v>
      </c>
      <c r="H480" s="43">
        <v>0</v>
      </c>
      <c r="I480" s="44">
        <v>350060</v>
      </c>
      <c r="J480" s="43">
        <v>7.5208</v>
      </c>
      <c r="K480" s="43"/>
      <c r="L480" s="43" t="s">
        <v>15</v>
      </c>
    </row>
    <row r="481" spans="1:12">
      <c r="A481" s="43">
        <v>480</v>
      </c>
      <c r="B481" s="43">
        <v>1</v>
      </c>
      <c r="C481" s="43">
        <v>3</v>
      </c>
      <c r="D481" s="43" t="s">
        <v>692</v>
      </c>
      <c r="E481" s="43" t="s">
        <v>17</v>
      </c>
      <c r="F481" s="44">
        <v>2</v>
      </c>
      <c r="G481" s="43">
        <v>0</v>
      </c>
      <c r="H481" s="43">
        <v>1</v>
      </c>
      <c r="I481" s="44">
        <v>3101298</v>
      </c>
      <c r="J481" s="43">
        <v>12.2875</v>
      </c>
      <c r="K481" s="43"/>
      <c r="L481" s="43" t="s">
        <v>15</v>
      </c>
    </row>
    <row r="482" spans="1:12">
      <c r="A482" s="43">
        <v>481</v>
      </c>
      <c r="B482" s="43">
        <v>0</v>
      </c>
      <c r="C482" s="43">
        <v>3</v>
      </c>
      <c r="D482" s="43" t="s">
        <v>693</v>
      </c>
      <c r="E482" s="43" t="s">
        <v>13</v>
      </c>
      <c r="F482" s="44">
        <v>9</v>
      </c>
      <c r="G482" s="43">
        <v>5</v>
      </c>
      <c r="H482" s="43">
        <v>2</v>
      </c>
      <c r="I482" s="44" t="s">
        <v>106</v>
      </c>
      <c r="J482" s="43">
        <v>46.9</v>
      </c>
      <c r="K482" s="43"/>
      <c r="L482" s="43" t="s">
        <v>15</v>
      </c>
    </row>
    <row r="483" spans="1:12">
      <c r="A483" s="43">
        <v>482</v>
      </c>
      <c r="B483" s="43">
        <v>0</v>
      </c>
      <c r="C483" s="43">
        <v>2</v>
      </c>
      <c r="D483" s="43" t="s">
        <v>694</v>
      </c>
      <c r="E483" s="43" t="s">
        <v>13</v>
      </c>
      <c r="F483" s="44" t="s">
        <v>27</v>
      </c>
      <c r="G483" s="43">
        <v>0</v>
      </c>
      <c r="H483" s="43">
        <v>0</v>
      </c>
      <c r="I483" s="44">
        <v>239854</v>
      </c>
      <c r="J483" s="43">
        <v>0</v>
      </c>
      <c r="K483" s="43"/>
      <c r="L483" s="43" t="s">
        <v>15</v>
      </c>
    </row>
    <row r="484" spans="1:12">
      <c r="A484" s="43">
        <v>483</v>
      </c>
      <c r="B484" s="43">
        <v>0</v>
      </c>
      <c r="C484" s="43">
        <v>3</v>
      </c>
      <c r="D484" s="43" t="s">
        <v>695</v>
      </c>
      <c r="E484" s="43" t="s">
        <v>13</v>
      </c>
      <c r="F484" s="44">
        <v>50</v>
      </c>
      <c r="G484" s="43">
        <v>0</v>
      </c>
      <c r="H484" s="43">
        <v>0</v>
      </c>
      <c r="I484" s="44" t="s">
        <v>696</v>
      </c>
      <c r="J484" s="43">
        <v>8.05</v>
      </c>
      <c r="K484" s="43"/>
      <c r="L484" s="43" t="s">
        <v>15</v>
      </c>
    </row>
    <row r="485" spans="1:12">
      <c r="A485" s="43">
        <v>484</v>
      </c>
      <c r="B485" s="43">
        <v>1</v>
      </c>
      <c r="C485" s="43">
        <v>3</v>
      </c>
      <c r="D485" s="43" t="s">
        <v>697</v>
      </c>
      <c r="E485" s="43" t="s">
        <v>17</v>
      </c>
      <c r="F485" s="44">
        <v>63</v>
      </c>
      <c r="G485" s="43">
        <v>0</v>
      </c>
      <c r="H485" s="43">
        <v>0</v>
      </c>
      <c r="I485" s="44">
        <v>4134</v>
      </c>
      <c r="J485" s="43">
        <v>9.5875</v>
      </c>
      <c r="K485" s="43"/>
      <c r="L485" s="43" t="s">
        <v>15</v>
      </c>
    </row>
    <row r="486" spans="1:12">
      <c r="A486" s="43">
        <v>485</v>
      </c>
      <c r="B486" s="43">
        <v>1</v>
      </c>
      <c r="C486" s="43">
        <v>1</v>
      </c>
      <c r="D486" s="43" t="s">
        <v>698</v>
      </c>
      <c r="E486" s="43" t="s">
        <v>13</v>
      </c>
      <c r="F486" s="44">
        <v>25</v>
      </c>
      <c r="G486" s="43">
        <v>1</v>
      </c>
      <c r="H486" s="43">
        <v>0</v>
      </c>
      <c r="I486" s="44">
        <v>11967</v>
      </c>
      <c r="J486" s="43">
        <v>91.0792</v>
      </c>
      <c r="K486" s="43" t="s">
        <v>440</v>
      </c>
      <c r="L486" s="43" t="s">
        <v>20</v>
      </c>
    </row>
    <row r="487" spans="1:12">
      <c r="A487" s="43">
        <v>486</v>
      </c>
      <c r="B487" s="43">
        <v>0</v>
      </c>
      <c r="C487" s="43">
        <v>3</v>
      </c>
      <c r="D487" s="43" t="s">
        <v>699</v>
      </c>
      <c r="E487" s="43" t="s">
        <v>17</v>
      </c>
      <c r="F487" s="44" t="s">
        <v>27</v>
      </c>
      <c r="G487" s="43">
        <v>3</v>
      </c>
      <c r="H487" s="43">
        <v>1</v>
      </c>
      <c r="I487" s="44">
        <v>4133</v>
      </c>
      <c r="J487" s="43">
        <v>25.4667</v>
      </c>
      <c r="K487" s="43"/>
      <c r="L487" s="43" t="s">
        <v>15</v>
      </c>
    </row>
    <row r="488" spans="1:12">
      <c r="A488" s="43">
        <v>487</v>
      </c>
      <c r="B488" s="43">
        <v>1</v>
      </c>
      <c r="C488" s="43">
        <v>1</v>
      </c>
      <c r="D488" s="43" t="s">
        <v>700</v>
      </c>
      <c r="E488" s="43" t="s">
        <v>17</v>
      </c>
      <c r="F488" s="44">
        <v>35</v>
      </c>
      <c r="G488" s="43">
        <v>1</v>
      </c>
      <c r="H488" s="43">
        <v>0</v>
      </c>
      <c r="I488" s="44">
        <v>19943</v>
      </c>
      <c r="J488" s="43">
        <v>90</v>
      </c>
      <c r="K488" s="43" t="s">
        <v>343</v>
      </c>
      <c r="L488" s="43" t="s">
        <v>15</v>
      </c>
    </row>
    <row r="489" spans="1:12">
      <c r="A489" s="43">
        <v>488</v>
      </c>
      <c r="B489" s="43">
        <v>0</v>
      </c>
      <c r="C489" s="43">
        <v>1</v>
      </c>
      <c r="D489" s="43" t="s">
        <v>701</v>
      </c>
      <c r="E489" s="43" t="s">
        <v>13</v>
      </c>
      <c r="F489" s="44">
        <v>58</v>
      </c>
      <c r="G489" s="43">
        <v>0</v>
      </c>
      <c r="H489" s="43">
        <v>0</v>
      </c>
      <c r="I489" s="44">
        <v>11771</v>
      </c>
      <c r="J489" s="43">
        <v>29.7</v>
      </c>
      <c r="K489" s="43" t="s">
        <v>702</v>
      </c>
      <c r="L489" s="43" t="s">
        <v>20</v>
      </c>
    </row>
    <row r="490" spans="1:12">
      <c r="A490" s="43">
        <v>489</v>
      </c>
      <c r="B490" s="43">
        <v>0</v>
      </c>
      <c r="C490" s="43">
        <v>3</v>
      </c>
      <c r="D490" s="43" t="s">
        <v>703</v>
      </c>
      <c r="E490" s="43" t="s">
        <v>13</v>
      </c>
      <c r="F490" s="44">
        <v>30</v>
      </c>
      <c r="G490" s="43">
        <v>0</v>
      </c>
      <c r="H490" s="43">
        <v>0</v>
      </c>
      <c r="I490" s="44" t="s">
        <v>704</v>
      </c>
      <c r="J490" s="43">
        <v>8.05</v>
      </c>
      <c r="K490" s="43"/>
      <c r="L490" s="43" t="s">
        <v>15</v>
      </c>
    </row>
    <row r="491" spans="1:12">
      <c r="A491" s="43">
        <v>490</v>
      </c>
      <c r="B491" s="43">
        <v>1</v>
      </c>
      <c r="C491" s="43">
        <v>3</v>
      </c>
      <c r="D491" s="43" t="s">
        <v>705</v>
      </c>
      <c r="E491" s="43" t="s">
        <v>13</v>
      </c>
      <c r="F491" s="44">
        <v>9</v>
      </c>
      <c r="G491" s="43">
        <v>1</v>
      </c>
      <c r="H491" s="43">
        <v>1</v>
      </c>
      <c r="I491" s="44" t="s">
        <v>523</v>
      </c>
      <c r="J491" s="43">
        <v>15.9</v>
      </c>
      <c r="K491" s="43"/>
      <c r="L491" s="43" t="s">
        <v>15</v>
      </c>
    </row>
    <row r="492" spans="1:12">
      <c r="A492" s="43">
        <v>491</v>
      </c>
      <c r="B492" s="43">
        <v>0</v>
      </c>
      <c r="C492" s="43">
        <v>3</v>
      </c>
      <c r="D492" s="43" t="s">
        <v>706</v>
      </c>
      <c r="E492" s="43" t="s">
        <v>13</v>
      </c>
      <c r="F492" s="44" t="s">
        <v>27</v>
      </c>
      <c r="G492" s="43">
        <v>1</v>
      </c>
      <c r="H492" s="43">
        <v>0</v>
      </c>
      <c r="I492" s="44">
        <v>65304</v>
      </c>
      <c r="J492" s="43">
        <v>19.9667</v>
      </c>
      <c r="K492" s="43"/>
      <c r="L492" s="43" t="s">
        <v>15</v>
      </c>
    </row>
    <row r="493" spans="1:12">
      <c r="A493" s="43">
        <v>492</v>
      </c>
      <c r="B493" s="43">
        <v>0</v>
      </c>
      <c r="C493" s="43">
        <v>3</v>
      </c>
      <c r="D493" s="43" t="s">
        <v>707</v>
      </c>
      <c r="E493" s="43" t="s">
        <v>13</v>
      </c>
      <c r="F493" s="44">
        <v>21</v>
      </c>
      <c r="G493" s="43">
        <v>0</v>
      </c>
      <c r="H493" s="43">
        <v>0</v>
      </c>
      <c r="I493" s="44" t="s">
        <v>708</v>
      </c>
      <c r="J493" s="43">
        <v>7.25</v>
      </c>
      <c r="K493" s="43"/>
      <c r="L493" s="43" t="s">
        <v>15</v>
      </c>
    </row>
    <row r="494" spans="1:12">
      <c r="A494" s="43">
        <v>493</v>
      </c>
      <c r="B494" s="43">
        <v>0</v>
      </c>
      <c r="C494" s="43">
        <v>1</v>
      </c>
      <c r="D494" s="43" t="s">
        <v>709</v>
      </c>
      <c r="E494" s="43" t="s">
        <v>13</v>
      </c>
      <c r="F494" s="44">
        <v>55</v>
      </c>
      <c r="G494" s="43">
        <v>0</v>
      </c>
      <c r="H494" s="43">
        <v>0</v>
      </c>
      <c r="I494" s="44">
        <v>113787</v>
      </c>
      <c r="J494" s="43">
        <v>30.5</v>
      </c>
      <c r="K494" s="43" t="s">
        <v>710</v>
      </c>
      <c r="L494" s="43" t="s">
        <v>15</v>
      </c>
    </row>
    <row r="495" spans="1:12">
      <c r="A495" s="43">
        <v>494</v>
      </c>
      <c r="B495" s="43">
        <v>0</v>
      </c>
      <c r="C495" s="43">
        <v>1</v>
      </c>
      <c r="D495" s="43" t="s">
        <v>711</v>
      </c>
      <c r="E495" s="43" t="s">
        <v>13</v>
      </c>
      <c r="F495" s="44">
        <v>71</v>
      </c>
      <c r="G495" s="43">
        <v>0</v>
      </c>
      <c r="H495" s="43">
        <v>0</v>
      </c>
      <c r="I495" s="44" t="s">
        <v>712</v>
      </c>
      <c r="J495" s="43">
        <v>49.5042</v>
      </c>
      <c r="K495" s="43"/>
      <c r="L495" s="43" t="s">
        <v>20</v>
      </c>
    </row>
    <row r="496" spans="1:12">
      <c r="A496" s="43">
        <v>495</v>
      </c>
      <c r="B496" s="43">
        <v>0</v>
      </c>
      <c r="C496" s="43">
        <v>3</v>
      </c>
      <c r="D496" s="43" t="s">
        <v>713</v>
      </c>
      <c r="E496" s="43" t="s">
        <v>13</v>
      </c>
      <c r="F496" s="44">
        <v>21</v>
      </c>
      <c r="G496" s="43">
        <v>0</v>
      </c>
      <c r="H496" s="43">
        <v>0</v>
      </c>
      <c r="I496" s="44" t="s">
        <v>714</v>
      </c>
      <c r="J496" s="43">
        <v>8.05</v>
      </c>
      <c r="K496" s="43"/>
      <c r="L496" s="43" t="s">
        <v>15</v>
      </c>
    </row>
    <row r="497" spans="1:12">
      <c r="A497" s="43">
        <v>496</v>
      </c>
      <c r="B497" s="43">
        <v>0</v>
      </c>
      <c r="C497" s="43">
        <v>3</v>
      </c>
      <c r="D497" s="43" t="s">
        <v>715</v>
      </c>
      <c r="E497" s="43" t="s">
        <v>13</v>
      </c>
      <c r="F497" s="44" t="s">
        <v>27</v>
      </c>
      <c r="G497" s="43">
        <v>0</v>
      </c>
      <c r="H497" s="43">
        <v>0</v>
      </c>
      <c r="I497" s="44">
        <v>2627</v>
      </c>
      <c r="J497" s="43">
        <v>14.4583</v>
      </c>
      <c r="K497" s="43"/>
      <c r="L497" s="43" t="s">
        <v>20</v>
      </c>
    </row>
    <row r="498" spans="1:12">
      <c r="A498" s="43">
        <v>497</v>
      </c>
      <c r="B498" s="43">
        <v>1</v>
      </c>
      <c r="C498" s="43">
        <v>1</v>
      </c>
      <c r="D498" s="43" t="s">
        <v>716</v>
      </c>
      <c r="E498" s="43" t="s">
        <v>17</v>
      </c>
      <c r="F498" s="44">
        <v>54</v>
      </c>
      <c r="G498" s="43">
        <v>1</v>
      </c>
      <c r="H498" s="43">
        <v>0</v>
      </c>
      <c r="I498" s="44">
        <v>36947</v>
      </c>
      <c r="J498" s="43">
        <v>78.2667</v>
      </c>
      <c r="K498" s="43" t="s">
        <v>717</v>
      </c>
      <c r="L498" s="43" t="s">
        <v>20</v>
      </c>
    </row>
    <row r="499" spans="1:12">
      <c r="A499" s="43">
        <v>498</v>
      </c>
      <c r="B499" s="43">
        <v>0</v>
      </c>
      <c r="C499" s="43">
        <v>3</v>
      </c>
      <c r="D499" s="43" t="s">
        <v>718</v>
      </c>
      <c r="E499" s="43" t="s">
        <v>13</v>
      </c>
      <c r="F499" s="44" t="s">
        <v>27</v>
      </c>
      <c r="G499" s="43">
        <v>0</v>
      </c>
      <c r="H499" s="43">
        <v>0</v>
      </c>
      <c r="I499" s="44" t="s">
        <v>719</v>
      </c>
      <c r="J499" s="43">
        <v>15.1</v>
      </c>
      <c r="K499" s="43"/>
      <c r="L499" s="43" t="s">
        <v>15</v>
      </c>
    </row>
    <row r="500" spans="1:12">
      <c r="A500" s="43">
        <v>499</v>
      </c>
      <c r="B500" s="43">
        <v>0</v>
      </c>
      <c r="C500" s="43">
        <v>1</v>
      </c>
      <c r="D500" s="43" t="s">
        <v>720</v>
      </c>
      <c r="E500" s="43" t="s">
        <v>17</v>
      </c>
      <c r="F500" s="44">
        <v>25</v>
      </c>
      <c r="G500" s="43">
        <v>1</v>
      </c>
      <c r="H500" s="43">
        <v>2</v>
      </c>
      <c r="I500" s="44">
        <v>113781</v>
      </c>
      <c r="J500" s="43">
        <v>151.55</v>
      </c>
      <c r="K500" s="43" t="s">
        <v>450</v>
      </c>
      <c r="L500" s="43" t="s">
        <v>15</v>
      </c>
    </row>
    <row r="501" spans="1:12">
      <c r="A501" s="43">
        <v>500</v>
      </c>
      <c r="B501" s="43">
        <v>0</v>
      </c>
      <c r="C501" s="43">
        <v>3</v>
      </c>
      <c r="D501" s="43" t="s">
        <v>721</v>
      </c>
      <c r="E501" s="43" t="s">
        <v>13</v>
      </c>
      <c r="F501" s="44">
        <v>24</v>
      </c>
      <c r="G501" s="43">
        <v>0</v>
      </c>
      <c r="H501" s="43">
        <v>0</v>
      </c>
      <c r="I501" s="44">
        <v>350035</v>
      </c>
      <c r="J501" s="43">
        <v>7.7958</v>
      </c>
      <c r="K501" s="43"/>
      <c r="L501" s="43" t="s">
        <v>15</v>
      </c>
    </row>
    <row r="502" spans="1:12">
      <c r="A502" s="43">
        <v>501</v>
      </c>
      <c r="B502" s="43">
        <v>0</v>
      </c>
      <c r="C502" s="43">
        <v>3</v>
      </c>
      <c r="D502" s="43" t="s">
        <v>722</v>
      </c>
      <c r="E502" s="43" t="s">
        <v>13</v>
      </c>
      <c r="F502" s="44">
        <v>17</v>
      </c>
      <c r="G502" s="43">
        <v>0</v>
      </c>
      <c r="H502" s="43">
        <v>0</v>
      </c>
      <c r="I502" s="44">
        <v>315086</v>
      </c>
      <c r="J502" s="43">
        <v>8.6625</v>
      </c>
      <c r="K502" s="43"/>
      <c r="L502" s="43" t="s">
        <v>15</v>
      </c>
    </row>
    <row r="503" spans="1:12">
      <c r="A503" s="43">
        <v>502</v>
      </c>
      <c r="B503" s="43">
        <v>0</v>
      </c>
      <c r="C503" s="43">
        <v>3</v>
      </c>
      <c r="D503" s="43" t="s">
        <v>723</v>
      </c>
      <c r="E503" s="43" t="s">
        <v>17</v>
      </c>
      <c r="F503" s="44">
        <v>21</v>
      </c>
      <c r="G503" s="43">
        <v>0</v>
      </c>
      <c r="H503" s="43">
        <v>0</v>
      </c>
      <c r="I503" s="44">
        <v>364846</v>
      </c>
      <c r="J503" s="43">
        <v>7.75</v>
      </c>
      <c r="K503" s="43"/>
      <c r="L503" s="43" t="s">
        <v>28</v>
      </c>
    </row>
    <row r="504" spans="1:12">
      <c r="A504" s="43">
        <v>503</v>
      </c>
      <c r="B504" s="43">
        <v>0</v>
      </c>
      <c r="C504" s="43">
        <v>3</v>
      </c>
      <c r="D504" s="43" t="s">
        <v>724</v>
      </c>
      <c r="E504" s="43" t="s">
        <v>17</v>
      </c>
      <c r="F504" s="44" t="s">
        <v>27</v>
      </c>
      <c r="G504" s="43">
        <v>0</v>
      </c>
      <c r="H504" s="43">
        <v>0</v>
      </c>
      <c r="I504" s="44">
        <v>330909</v>
      </c>
      <c r="J504" s="43">
        <v>7.6292</v>
      </c>
      <c r="K504" s="43"/>
      <c r="L504" s="43" t="s">
        <v>28</v>
      </c>
    </row>
    <row r="505" spans="1:12">
      <c r="A505" s="43">
        <v>504</v>
      </c>
      <c r="B505" s="43">
        <v>0</v>
      </c>
      <c r="C505" s="43">
        <v>3</v>
      </c>
      <c r="D505" s="43" t="s">
        <v>725</v>
      </c>
      <c r="E505" s="43" t="s">
        <v>17</v>
      </c>
      <c r="F505" s="44">
        <v>37</v>
      </c>
      <c r="G505" s="43">
        <v>0</v>
      </c>
      <c r="H505" s="43">
        <v>0</v>
      </c>
      <c r="I505" s="44">
        <v>4135</v>
      </c>
      <c r="J505" s="43">
        <v>9.5875</v>
      </c>
      <c r="K505" s="43"/>
      <c r="L505" s="43" t="s">
        <v>15</v>
      </c>
    </row>
    <row r="506" spans="1:12">
      <c r="A506" s="43">
        <v>505</v>
      </c>
      <c r="B506" s="43">
        <v>1</v>
      </c>
      <c r="C506" s="43">
        <v>1</v>
      </c>
      <c r="D506" s="43" t="s">
        <v>726</v>
      </c>
      <c r="E506" s="43" t="s">
        <v>17</v>
      </c>
      <c r="F506" s="44">
        <v>16</v>
      </c>
      <c r="G506" s="43">
        <v>0</v>
      </c>
      <c r="H506" s="43">
        <v>0</v>
      </c>
      <c r="I506" s="44">
        <v>110152</v>
      </c>
      <c r="J506" s="43">
        <v>86.5</v>
      </c>
      <c r="K506" s="43" t="s">
        <v>727</v>
      </c>
      <c r="L506" s="43" t="s">
        <v>15</v>
      </c>
    </row>
    <row r="507" spans="1:12">
      <c r="A507" s="43">
        <v>506</v>
      </c>
      <c r="B507" s="43">
        <v>0</v>
      </c>
      <c r="C507" s="43">
        <v>1</v>
      </c>
      <c r="D507" s="43" t="s">
        <v>728</v>
      </c>
      <c r="E507" s="43" t="s">
        <v>13</v>
      </c>
      <c r="F507" s="44">
        <v>18</v>
      </c>
      <c r="G507" s="43">
        <v>1</v>
      </c>
      <c r="H507" s="43">
        <v>0</v>
      </c>
      <c r="I507" s="44" t="s">
        <v>463</v>
      </c>
      <c r="J507" s="43">
        <v>108.9</v>
      </c>
      <c r="K507" s="43" t="s">
        <v>464</v>
      </c>
      <c r="L507" s="43" t="s">
        <v>20</v>
      </c>
    </row>
    <row r="508" spans="1:12">
      <c r="A508" s="43">
        <v>507</v>
      </c>
      <c r="B508" s="43">
        <v>1</v>
      </c>
      <c r="C508" s="43">
        <v>2</v>
      </c>
      <c r="D508" s="43" t="s">
        <v>729</v>
      </c>
      <c r="E508" s="43" t="s">
        <v>17</v>
      </c>
      <c r="F508" s="44">
        <v>33</v>
      </c>
      <c r="G508" s="43">
        <v>0</v>
      </c>
      <c r="H508" s="43">
        <v>2</v>
      </c>
      <c r="I508" s="44">
        <v>26360</v>
      </c>
      <c r="J508" s="43">
        <v>26</v>
      </c>
      <c r="K508" s="43"/>
      <c r="L508" s="43" t="s">
        <v>15</v>
      </c>
    </row>
    <row r="509" spans="1:12">
      <c r="A509" s="43">
        <v>508</v>
      </c>
      <c r="B509" s="43">
        <v>1</v>
      </c>
      <c r="C509" s="43">
        <v>1</v>
      </c>
      <c r="D509" s="43" t="s">
        <v>730</v>
      </c>
      <c r="E509" s="43" t="s">
        <v>13</v>
      </c>
      <c r="F509" s="44" t="s">
        <v>27</v>
      </c>
      <c r="G509" s="43">
        <v>0</v>
      </c>
      <c r="H509" s="43">
        <v>0</v>
      </c>
      <c r="I509" s="44">
        <v>111427</v>
      </c>
      <c r="J509" s="43">
        <v>26.55</v>
      </c>
      <c r="K509" s="43"/>
      <c r="L509" s="43" t="s">
        <v>15</v>
      </c>
    </row>
    <row r="510" spans="1:12">
      <c r="A510" s="43">
        <v>509</v>
      </c>
      <c r="B510" s="43">
        <v>0</v>
      </c>
      <c r="C510" s="43">
        <v>3</v>
      </c>
      <c r="D510" s="43" t="s">
        <v>731</v>
      </c>
      <c r="E510" s="43" t="s">
        <v>13</v>
      </c>
      <c r="F510" s="44">
        <v>28</v>
      </c>
      <c r="G510" s="43">
        <v>0</v>
      </c>
      <c r="H510" s="43">
        <v>0</v>
      </c>
      <c r="I510" s="44" t="s">
        <v>732</v>
      </c>
      <c r="J510" s="43">
        <v>22.525</v>
      </c>
      <c r="K510" s="43"/>
      <c r="L510" s="43" t="s">
        <v>15</v>
      </c>
    </row>
    <row r="511" spans="1:12">
      <c r="A511" s="43">
        <v>510</v>
      </c>
      <c r="B511" s="43">
        <v>1</v>
      </c>
      <c r="C511" s="43">
        <v>3</v>
      </c>
      <c r="D511" s="43" t="s">
        <v>733</v>
      </c>
      <c r="E511" s="43" t="s">
        <v>13</v>
      </c>
      <c r="F511" s="44">
        <v>26</v>
      </c>
      <c r="G511" s="43">
        <v>0</v>
      </c>
      <c r="H511" s="43">
        <v>0</v>
      </c>
      <c r="I511" s="44">
        <v>1601</v>
      </c>
      <c r="J511" s="43">
        <v>56.4958</v>
      </c>
      <c r="K511" s="43"/>
      <c r="L511" s="43" t="s">
        <v>15</v>
      </c>
    </row>
    <row r="512" spans="1:12">
      <c r="A512" s="43">
        <v>511</v>
      </c>
      <c r="B512" s="43">
        <v>1</v>
      </c>
      <c r="C512" s="43">
        <v>3</v>
      </c>
      <c r="D512" s="43" t="s">
        <v>734</v>
      </c>
      <c r="E512" s="43" t="s">
        <v>13</v>
      </c>
      <c r="F512" s="44">
        <v>29</v>
      </c>
      <c r="G512" s="43">
        <v>0</v>
      </c>
      <c r="H512" s="43">
        <v>0</v>
      </c>
      <c r="I512" s="44">
        <v>382651</v>
      </c>
      <c r="J512" s="43">
        <v>7.75</v>
      </c>
      <c r="K512" s="43"/>
      <c r="L512" s="43" t="s">
        <v>28</v>
      </c>
    </row>
    <row r="513" spans="1:12">
      <c r="A513" s="43">
        <v>512</v>
      </c>
      <c r="B513" s="43">
        <v>0</v>
      </c>
      <c r="C513" s="43">
        <v>3</v>
      </c>
      <c r="D513" s="43" t="s">
        <v>735</v>
      </c>
      <c r="E513" s="43" t="s">
        <v>13</v>
      </c>
      <c r="F513" s="44" t="s">
        <v>27</v>
      </c>
      <c r="G513" s="43">
        <v>0</v>
      </c>
      <c r="H513" s="43">
        <v>0</v>
      </c>
      <c r="I513" s="44" t="s">
        <v>736</v>
      </c>
      <c r="J513" s="43">
        <v>8.05</v>
      </c>
      <c r="K513" s="43"/>
      <c r="L513" s="43" t="s">
        <v>15</v>
      </c>
    </row>
    <row r="514" spans="1:12">
      <c r="A514" s="43">
        <v>513</v>
      </c>
      <c r="B514" s="43">
        <v>1</v>
      </c>
      <c r="C514" s="43">
        <v>1</v>
      </c>
      <c r="D514" s="43" t="s">
        <v>737</v>
      </c>
      <c r="E514" s="43" t="s">
        <v>13</v>
      </c>
      <c r="F514" s="44">
        <v>36</v>
      </c>
      <c r="G514" s="43">
        <v>0</v>
      </c>
      <c r="H514" s="43">
        <v>0</v>
      </c>
      <c r="I514" s="44" t="s">
        <v>738</v>
      </c>
      <c r="J514" s="43">
        <v>26.2875</v>
      </c>
      <c r="K514" s="43" t="s">
        <v>739</v>
      </c>
      <c r="L514" s="43" t="s">
        <v>15</v>
      </c>
    </row>
    <row r="515" spans="1:12">
      <c r="A515" s="43">
        <v>514</v>
      </c>
      <c r="B515" s="43">
        <v>1</v>
      </c>
      <c r="C515" s="43">
        <v>1</v>
      </c>
      <c r="D515" s="43" t="s">
        <v>740</v>
      </c>
      <c r="E515" s="43" t="s">
        <v>17</v>
      </c>
      <c r="F515" s="44">
        <v>54</v>
      </c>
      <c r="G515" s="43">
        <v>1</v>
      </c>
      <c r="H515" s="43">
        <v>0</v>
      </c>
      <c r="I515" s="44" t="s">
        <v>741</v>
      </c>
      <c r="J515" s="43">
        <v>59.4</v>
      </c>
      <c r="K515" s="43"/>
      <c r="L515" s="43" t="s">
        <v>20</v>
      </c>
    </row>
    <row r="516" spans="1:12">
      <c r="A516" s="43">
        <v>515</v>
      </c>
      <c r="B516" s="43">
        <v>0</v>
      </c>
      <c r="C516" s="43">
        <v>3</v>
      </c>
      <c r="D516" s="43" t="s">
        <v>742</v>
      </c>
      <c r="E516" s="43" t="s">
        <v>13</v>
      </c>
      <c r="F516" s="44">
        <v>24</v>
      </c>
      <c r="G516" s="43">
        <v>0</v>
      </c>
      <c r="H516" s="43">
        <v>0</v>
      </c>
      <c r="I516" s="44">
        <v>349209</v>
      </c>
      <c r="J516" s="43">
        <v>7.4958</v>
      </c>
      <c r="K516" s="43"/>
      <c r="L516" s="43" t="s">
        <v>15</v>
      </c>
    </row>
    <row r="517" spans="1:12">
      <c r="A517" s="43">
        <v>516</v>
      </c>
      <c r="B517" s="43">
        <v>0</v>
      </c>
      <c r="C517" s="43">
        <v>1</v>
      </c>
      <c r="D517" s="43" t="s">
        <v>743</v>
      </c>
      <c r="E517" s="43" t="s">
        <v>13</v>
      </c>
      <c r="F517" s="44">
        <v>47</v>
      </c>
      <c r="G517" s="43">
        <v>0</v>
      </c>
      <c r="H517" s="43">
        <v>0</v>
      </c>
      <c r="I517" s="44">
        <v>36967</v>
      </c>
      <c r="J517" s="43">
        <v>34.0208</v>
      </c>
      <c r="K517" s="43" t="s">
        <v>744</v>
      </c>
      <c r="L517" s="43" t="s">
        <v>15</v>
      </c>
    </row>
    <row r="518" spans="1:12">
      <c r="A518" s="43">
        <v>517</v>
      </c>
      <c r="B518" s="43">
        <v>1</v>
      </c>
      <c r="C518" s="43">
        <v>2</v>
      </c>
      <c r="D518" s="43" t="s">
        <v>745</v>
      </c>
      <c r="E518" s="43" t="s">
        <v>17</v>
      </c>
      <c r="F518" s="44">
        <v>34</v>
      </c>
      <c r="G518" s="43">
        <v>0</v>
      </c>
      <c r="H518" s="43">
        <v>0</v>
      </c>
      <c r="I518" s="44" t="s">
        <v>746</v>
      </c>
      <c r="J518" s="43">
        <v>10.5</v>
      </c>
      <c r="K518" s="43" t="s">
        <v>118</v>
      </c>
      <c r="L518" s="43" t="s">
        <v>15</v>
      </c>
    </row>
    <row r="519" spans="1:12">
      <c r="A519" s="43">
        <v>518</v>
      </c>
      <c r="B519" s="43">
        <v>0</v>
      </c>
      <c r="C519" s="43">
        <v>3</v>
      </c>
      <c r="D519" s="43" t="s">
        <v>747</v>
      </c>
      <c r="E519" s="43" t="s">
        <v>13</v>
      </c>
      <c r="F519" s="44" t="s">
        <v>27</v>
      </c>
      <c r="G519" s="43">
        <v>0</v>
      </c>
      <c r="H519" s="43">
        <v>0</v>
      </c>
      <c r="I519" s="44">
        <v>371110</v>
      </c>
      <c r="J519" s="43">
        <v>24.15</v>
      </c>
      <c r="K519" s="43"/>
      <c r="L519" s="43" t="s">
        <v>28</v>
      </c>
    </row>
    <row r="520" spans="1:12">
      <c r="A520" s="43">
        <v>519</v>
      </c>
      <c r="B520" s="43">
        <v>1</v>
      </c>
      <c r="C520" s="43">
        <v>2</v>
      </c>
      <c r="D520" s="43" t="s">
        <v>748</v>
      </c>
      <c r="E520" s="43" t="s">
        <v>17</v>
      </c>
      <c r="F520" s="44">
        <v>36</v>
      </c>
      <c r="G520" s="43">
        <v>1</v>
      </c>
      <c r="H520" s="43">
        <v>0</v>
      </c>
      <c r="I520" s="44">
        <v>226875</v>
      </c>
      <c r="J520" s="43">
        <v>26</v>
      </c>
      <c r="K520" s="43"/>
      <c r="L520" s="43" t="s">
        <v>15</v>
      </c>
    </row>
    <row r="521" spans="1:12">
      <c r="A521" s="43">
        <v>520</v>
      </c>
      <c r="B521" s="43">
        <v>0</v>
      </c>
      <c r="C521" s="43">
        <v>3</v>
      </c>
      <c r="D521" s="43" t="s">
        <v>749</v>
      </c>
      <c r="E521" s="43" t="s">
        <v>13</v>
      </c>
      <c r="F521" s="44">
        <v>32</v>
      </c>
      <c r="G521" s="43">
        <v>0</v>
      </c>
      <c r="H521" s="43">
        <v>0</v>
      </c>
      <c r="I521" s="44">
        <v>349242</v>
      </c>
      <c r="J521" s="43">
        <v>7.8958</v>
      </c>
      <c r="K521" s="43"/>
      <c r="L521" s="43" t="s">
        <v>15</v>
      </c>
    </row>
    <row r="522" spans="1:12">
      <c r="A522" s="43">
        <v>521</v>
      </c>
      <c r="B522" s="43">
        <v>1</v>
      </c>
      <c r="C522" s="43">
        <v>1</v>
      </c>
      <c r="D522" s="43" t="s">
        <v>750</v>
      </c>
      <c r="E522" s="43" t="s">
        <v>17</v>
      </c>
      <c r="F522" s="44">
        <v>30</v>
      </c>
      <c r="G522" s="43">
        <v>0</v>
      </c>
      <c r="H522" s="43">
        <v>0</v>
      </c>
      <c r="I522" s="44">
        <v>12749</v>
      </c>
      <c r="J522" s="43">
        <v>93.5</v>
      </c>
      <c r="K522" s="43" t="s">
        <v>751</v>
      </c>
      <c r="L522" s="43" t="s">
        <v>15</v>
      </c>
    </row>
    <row r="523" spans="1:12">
      <c r="A523" s="43">
        <v>522</v>
      </c>
      <c r="B523" s="43">
        <v>0</v>
      </c>
      <c r="C523" s="43">
        <v>3</v>
      </c>
      <c r="D523" s="43" t="s">
        <v>752</v>
      </c>
      <c r="E523" s="43" t="s">
        <v>13</v>
      </c>
      <c r="F523" s="44">
        <v>22</v>
      </c>
      <c r="G523" s="43">
        <v>0</v>
      </c>
      <c r="H523" s="43">
        <v>0</v>
      </c>
      <c r="I523" s="44">
        <v>349252</v>
      </c>
      <c r="J523" s="43">
        <v>7.8958</v>
      </c>
      <c r="K523" s="43"/>
      <c r="L523" s="43" t="s">
        <v>15</v>
      </c>
    </row>
    <row r="524" spans="1:12">
      <c r="A524" s="43">
        <v>523</v>
      </c>
      <c r="B524" s="43">
        <v>0</v>
      </c>
      <c r="C524" s="43">
        <v>3</v>
      </c>
      <c r="D524" s="43" t="s">
        <v>753</v>
      </c>
      <c r="E524" s="43" t="s">
        <v>13</v>
      </c>
      <c r="F524" s="44" t="s">
        <v>27</v>
      </c>
      <c r="G524" s="43">
        <v>0</v>
      </c>
      <c r="H524" s="43">
        <v>0</v>
      </c>
      <c r="I524" s="44">
        <v>2624</v>
      </c>
      <c r="J524" s="43">
        <v>7.225</v>
      </c>
      <c r="K524" s="43"/>
      <c r="L524" s="43" t="s">
        <v>20</v>
      </c>
    </row>
    <row r="525" spans="1:12">
      <c r="A525" s="43">
        <v>524</v>
      </c>
      <c r="B525" s="43">
        <v>1</v>
      </c>
      <c r="C525" s="43">
        <v>1</v>
      </c>
      <c r="D525" s="43" t="s">
        <v>754</v>
      </c>
      <c r="E525" s="43" t="s">
        <v>17</v>
      </c>
      <c r="F525" s="44">
        <v>44</v>
      </c>
      <c r="G525" s="43">
        <v>0</v>
      </c>
      <c r="H525" s="43">
        <v>1</v>
      </c>
      <c r="I525" s="44">
        <v>111361</v>
      </c>
      <c r="J525" s="43">
        <v>57.9792</v>
      </c>
      <c r="K525" s="43" t="s">
        <v>498</v>
      </c>
      <c r="L525" s="43" t="s">
        <v>20</v>
      </c>
    </row>
    <row r="526" spans="1:12">
      <c r="A526" s="43">
        <v>525</v>
      </c>
      <c r="B526" s="43">
        <v>0</v>
      </c>
      <c r="C526" s="43">
        <v>3</v>
      </c>
      <c r="D526" s="43" t="s">
        <v>755</v>
      </c>
      <c r="E526" s="43" t="s">
        <v>13</v>
      </c>
      <c r="F526" s="44" t="s">
        <v>27</v>
      </c>
      <c r="G526" s="43">
        <v>0</v>
      </c>
      <c r="H526" s="43">
        <v>0</v>
      </c>
      <c r="I526" s="44">
        <v>2700</v>
      </c>
      <c r="J526" s="43">
        <v>7.2292</v>
      </c>
      <c r="K526" s="43"/>
      <c r="L526" s="43" t="s">
        <v>20</v>
      </c>
    </row>
    <row r="527" spans="1:12">
      <c r="A527" s="43">
        <v>526</v>
      </c>
      <c r="B527" s="43">
        <v>0</v>
      </c>
      <c r="C527" s="43">
        <v>3</v>
      </c>
      <c r="D527" s="43" t="s">
        <v>756</v>
      </c>
      <c r="E527" s="43" t="s">
        <v>13</v>
      </c>
      <c r="F527" s="44">
        <v>40.5</v>
      </c>
      <c r="G527" s="43">
        <v>0</v>
      </c>
      <c r="H527" s="43">
        <v>0</v>
      </c>
      <c r="I527" s="44">
        <v>367232</v>
      </c>
      <c r="J527" s="43">
        <v>7.75</v>
      </c>
      <c r="K527" s="43"/>
      <c r="L527" s="43" t="s">
        <v>28</v>
      </c>
    </row>
    <row r="528" spans="1:12">
      <c r="A528" s="43">
        <v>527</v>
      </c>
      <c r="B528" s="43">
        <v>1</v>
      </c>
      <c r="C528" s="43">
        <v>2</v>
      </c>
      <c r="D528" s="43" t="s">
        <v>757</v>
      </c>
      <c r="E528" s="43" t="s">
        <v>17</v>
      </c>
      <c r="F528" s="44">
        <v>50</v>
      </c>
      <c r="G528" s="43">
        <v>0</v>
      </c>
      <c r="H528" s="43">
        <v>0</v>
      </c>
      <c r="I528" s="44" t="s">
        <v>758</v>
      </c>
      <c r="J528" s="43">
        <v>10.5</v>
      </c>
      <c r="K528" s="43"/>
      <c r="L528" s="43" t="s">
        <v>15</v>
      </c>
    </row>
    <row r="529" spans="1:12">
      <c r="A529" s="43">
        <v>528</v>
      </c>
      <c r="B529" s="43">
        <v>0</v>
      </c>
      <c r="C529" s="43">
        <v>1</v>
      </c>
      <c r="D529" s="43" t="s">
        <v>759</v>
      </c>
      <c r="E529" s="43" t="s">
        <v>13</v>
      </c>
      <c r="F529" s="44" t="s">
        <v>27</v>
      </c>
      <c r="G529" s="43">
        <v>0</v>
      </c>
      <c r="H529" s="43">
        <v>0</v>
      </c>
      <c r="I529" s="44" t="s">
        <v>760</v>
      </c>
      <c r="J529" s="43">
        <v>221.7792</v>
      </c>
      <c r="K529" s="43" t="s">
        <v>761</v>
      </c>
      <c r="L529" s="43" t="s">
        <v>15</v>
      </c>
    </row>
    <row r="530" spans="1:12">
      <c r="A530" s="43">
        <v>529</v>
      </c>
      <c r="B530" s="43">
        <v>0</v>
      </c>
      <c r="C530" s="43">
        <v>3</v>
      </c>
      <c r="D530" s="43" t="s">
        <v>762</v>
      </c>
      <c r="E530" s="43" t="s">
        <v>13</v>
      </c>
      <c r="F530" s="44">
        <v>39</v>
      </c>
      <c r="G530" s="43">
        <v>0</v>
      </c>
      <c r="H530" s="43">
        <v>0</v>
      </c>
      <c r="I530" s="44">
        <v>3101296</v>
      </c>
      <c r="J530" s="43">
        <v>7.925</v>
      </c>
      <c r="K530" s="43"/>
      <c r="L530" s="43" t="s">
        <v>15</v>
      </c>
    </row>
    <row r="531" spans="1:12">
      <c r="A531" s="43">
        <v>530</v>
      </c>
      <c r="B531" s="43">
        <v>0</v>
      </c>
      <c r="C531" s="43">
        <v>2</v>
      </c>
      <c r="D531" s="43" t="s">
        <v>763</v>
      </c>
      <c r="E531" s="43" t="s">
        <v>13</v>
      </c>
      <c r="F531" s="44">
        <v>23</v>
      </c>
      <c r="G531" s="43">
        <v>2</v>
      </c>
      <c r="H531" s="43">
        <v>1</v>
      </c>
      <c r="I531" s="44">
        <v>29104</v>
      </c>
      <c r="J531" s="43">
        <v>11.5</v>
      </c>
      <c r="K531" s="43"/>
      <c r="L531" s="43" t="s">
        <v>15</v>
      </c>
    </row>
    <row r="532" spans="1:12">
      <c r="A532" s="43">
        <v>531</v>
      </c>
      <c r="B532" s="43">
        <v>1</v>
      </c>
      <c r="C532" s="43">
        <v>2</v>
      </c>
      <c r="D532" s="43" t="s">
        <v>764</v>
      </c>
      <c r="E532" s="43" t="s">
        <v>17</v>
      </c>
      <c r="F532" s="44">
        <v>2</v>
      </c>
      <c r="G532" s="43">
        <v>1</v>
      </c>
      <c r="H532" s="43">
        <v>1</v>
      </c>
      <c r="I532" s="44">
        <v>26360</v>
      </c>
      <c r="J532" s="43">
        <v>26</v>
      </c>
      <c r="K532" s="43"/>
      <c r="L532" s="43" t="s">
        <v>15</v>
      </c>
    </row>
    <row r="533" spans="1:12">
      <c r="A533" s="43">
        <v>532</v>
      </c>
      <c r="B533" s="43">
        <v>0</v>
      </c>
      <c r="C533" s="43">
        <v>3</v>
      </c>
      <c r="D533" s="43" t="s">
        <v>765</v>
      </c>
      <c r="E533" s="43" t="s">
        <v>13</v>
      </c>
      <c r="F533" s="44" t="s">
        <v>27</v>
      </c>
      <c r="G533" s="43">
        <v>0</v>
      </c>
      <c r="H533" s="43">
        <v>0</v>
      </c>
      <c r="I533" s="44">
        <v>2641</v>
      </c>
      <c r="J533" s="43">
        <v>7.2292</v>
      </c>
      <c r="K533" s="43"/>
      <c r="L533" s="43" t="s">
        <v>20</v>
      </c>
    </row>
    <row r="534" spans="1:12">
      <c r="A534" s="43">
        <v>533</v>
      </c>
      <c r="B534" s="43">
        <v>0</v>
      </c>
      <c r="C534" s="43">
        <v>3</v>
      </c>
      <c r="D534" s="43" t="s">
        <v>766</v>
      </c>
      <c r="E534" s="43" t="s">
        <v>13</v>
      </c>
      <c r="F534" s="44">
        <v>17</v>
      </c>
      <c r="G534" s="43">
        <v>1</v>
      </c>
      <c r="H534" s="43">
        <v>1</v>
      </c>
      <c r="I534" s="44">
        <v>2690</v>
      </c>
      <c r="J534" s="43">
        <v>7.2292</v>
      </c>
      <c r="K534" s="43"/>
      <c r="L534" s="43" t="s">
        <v>20</v>
      </c>
    </row>
    <row r="535" spans="1:12">
      <c r="A535" s="43">
        <v>534</v>
      </c>
      <c r="B535" s="43">
        <v>1</v>
      </c>
      <c r="C535" s="43">
        <v>3</v>
      </c>
      <c r="D535" s="43" t="s">
        <v>767</v>
      </c>
      <c r="E535" s="43" t="s">
        <v>17</v>
      </c>
      <c r="F535" s="44" t="s">
        <v>27</v>
      </c>
      <c r="G535" s="43">
        <v>0</v>
      </c>
      <c r="H535" s="43">
        <v>2</v>
      </c>
      <c r="I535" s="44">
        <v>2668</v>
      </c>
      <c r="J535" s="43">
        <v>22.3583</v>
      </c>
      <c r="K535" s="43"/>
      <c r="L535" s="43" t="s">
        <v>20</v>
      </c>
    </row>
    <row r="536" spans="1:12">
      <c r="A536" s="43">
        <v>535</v>
      </c>
      <c r="B536" s="43">
        <v>0</v>
      </c>
      <c r="C536" s="43">
        <v>3</v>
      </c>
      <c r="D536" s="43" t="s">
        <v>768</v>
      </c>
      <c r="E536" s="43" t="s">
        <v>17</v>
      </c>
      <c r="F536" s="44">
        <v>30</v>
      </c>
      <c r="G536" s="43">
        <v>0</v>
      </c>
      <c r="H536" s="43">
        <v>0</v>
      </c>
      <c r="I536" s="44">
        <v>315084</v>
      </c>
      <c r="J536" s="43">
        <v>8.6625</v>
      </c>
      <c r="K536" s="43"/>
      <c r="L536" s="43" t="s">
        <v>15</v>
      </c>
    </row>
    <row r="537" spans="1:12">
      <c r="A537" s="43">
        <v>536</v>
      </c>
      <c r="B537" s="43">
        <v>1</v>
      </c>
      <c r="C537" s="43">
        <v>2</v>
      </c>
      <c r="D537" s="43" t="s">
        <v>769</v>
      </c>
      <c r="E537" s="43" t="s">
        <v>17</v>
      </c>
      <c r="F537" s="44">
        <v>7</v>
      </c>
      <c r="G537" s="43">
        <v>0</v>
      </c>
      <c r="H537" s="43">
        <v>2</v>
      </c>
      <c r="I537" s="44" t="s">
        <v>478</v>
      </c>
      <c r="J537" s="43">
        <v>26.25</v>
      </c>
      <c r="K537" s="43"/>
      <c r="L537" s="43" t="s">
        <v>15</v>
      </c>
    </row>
    <row r="538" spans="1:12">
      <c r="A538" s="43">
        <v>537</v>
      </c>
      <c r="B538" s="43">
        <v>0</v>
      </c>
      <c r="C538" s="43">
        <v>1</v>
      </c>
      <c r="D538" s="43" t="s">
        <v>770</v>
      </c>
      <c r="E538" s="43" t="s">
        <v>13</v>
      </c>
      <c r="F538" s="44">
        <v>45</v>
      </c>
      <c r="G538" s="43">
        <v>0</v>
      </c>
      <c r="H538" s="43">
        <v>0</v>
      </c>
      <c r="I538" s="44">
        <v>113050</v>
      </c>
      <c r="J538" s="43">
        <v>26.55</v>
      </c>
      <c r="K538" s="43" t="s">
        <v>771</v>
      </c>
      <c r="L538" s="43" t="s">
        <v>15</v>
      </c>
    </row>
    <row r="539" spans="1:12">
      <c r="A539" s="43">
        <v>538</v>
      </c>
      <c r="B539" s="43">
        <v>1</v>
      </c>
      <c r="C539" s="43">
        <v>1</v>
      </c>
      <c r="D539" s="43" t="s">
        <v>772</v>
      </c>
      <c r="E539" s="43" t="s">
        <v>17</v>
      </c>
      <c r="F539" s="44">
        <v>30</v>
      </c>
      <c r="G539" s="43">
        <v>0</v>
      </c>
      <c r="H539" s="43">
        <v>0</v>
      </c>
      <c r="I539" s="44" t="s">
        <v>773</v>
      </c>
      <c r="J539" s="43">
        <v>106.425</v>
      </c>
      <c r="K539" s="43"/>
      <c r="L539" s="43" t="s">
        <v>20</v>
      </c>
    </row>
    <row r="540" spans="1:12">
      <c r="A540" s="43">
        <v>539</v>
      </c>
      <c r="B540" s="43">
        <v>0</v>
      </c>
      <c r="C540" s="43">
        <v>3</v>
      </c>
      <c r="D540" s="43" t="s">
        <v>774</v>
      </c>
      <c r="E540" s="43" t="s">
        <v>13</v>
      </c>
      <c r="F540" s="44" t="s">
        <v>27</v>
      </c>
      <c r="G540" s="43">
        <v>0</v>
      </c>
      <c r="H540" s="43">
        <v>0</v>
      </c>
      <c r="I540" s="44">
        <v>364498</v>
      </c>
      <c r="J540" s="43">
        <v>14.5</v>
      </c>
      <c r="K540" s="43"/>
      <c r="L540" s="43" t="s">
        <v>15</v>
      </c>
    </row>
    <row r="541" spans="1:12">
      <c r="A541" s="43">
        <v>540</v>
      </c>
      <c r="B541" s="43">
        <v>1</v>
      </c>
      <c r="C541" s="43">
        <v>1</v>
      </c>
      <c r="D541" s="43" t="s">
        <v>775</v>
      </c>
      <c r="E541" s="43" t="s">
        <v>17</v>
      </c>
      <c r="F541" s="44">
        <v>22</v>
      </c>
      <c r="G541" s="43">
        <v>0</v>
      </c>
      <c r="H541" s="43">
        <v>2</v>
      </c>
      <c r="I541" s="44">
        <v>13568</v>
      </c>
      <c r="J541" s="43">
        <v>49.5</v>
      </c>
      <c r="K541" s="43" t="s">
        <v>776</v>
      </c>
      <c r="L541" s="43" t="s">
        <v>20</v>
      </c>
    </row>
    <row r="542" spans="1:12">
      <c r="A542" s="43">
        <v>541</v>
      </c>
      <c r="B542" s="43">
        <v>1</v>
      </c>
      <c r="C542" s="43">
        <v>1</v>
      </c>
      <c r="D542" s="43" t="s">
        <v>777</v>
      </c>
      <c r="E542" s="43" t="s">
        <v>17</v>
      </c>
      <c r="F542" s="44">
        <v>36</v>
      </c>
      <c r="G542" s="43">
        <v>0</v>
      </c>
      <c r="H542" s="43">
        <v>2</v>
      </c>
      <c r="I542" s="44" t="s">
        <v>778</v>
      </c>
      <c r="J542" s="43">
        <v>71</v>
      </c>
      <c r="K542" s="43" t="s">
        <v>779</v>
      </c>
      <c r="L542" s="43" t="s">
        <v>15</v>
      </c>
    </row>
    <row r="543" spans="1:12">
      <c r="A543" s="43">
        <v>542</v>
      </c>
      <c r="B543" s="43">
        <v>0</v>
      </c>
      <c r="C543" s="43">
        <v>3</v>
      </c>
      <c r="D543" s="43" t="s">
        <v>780</v>
      </c>
      <c r="E543" s="43" t="s">
        <v>17</v>
      </c>
      <c r="F543" s="44">
        <v>9</v>
      </c>
      <c r="G543" s="43">
        <v>4</v>
      </c>
      <c r="H543" s="43">
        <v>2</v>
      </c>
      <c r="I543" s="44">
        <v>347082</v>
      </c>
      <c r="J543" s="43">
        <v>31.275</v>
      </c>
      <c r="K543" s="43"/>
      <c r="L543" s="43" t="s">
        <v>15</v>
      </c>
    </row>
    <row r="544" spans="1:12">
      <c r="A544" s="43">
        <v>543</v>
      </c>
      <c r="B544" s="43">
        <v>0</v>
      </c>
      <c r="C544" s="43">
        <v>3</v>
      </c>
      <c r="D544" s="43" t="s">
        <v>781</v>
      </c>
      <c r="E544" s="43" t="s">
        <v>17</v>
      </c>
      <c r="F544" s="44">
        <v>11</v>
      </c>
      <c r="G544" s="43">
        <v>4</v>
      </c>
      <c r="H544" s="43">
        <v>2</v>
      </c>
      <c r="I544" s="44">
        <v>347082</v>
      </c>
      <c r="J544" s="43">
        <v>31.275</v>
      </c>
      <c r="K544" s="43"/>
      <c r="L544" s="43" t="s">
        <v>15</v>
      </c>
    </row>
    <row r="545" spans="1:12">
      <c r="A545" s="43">
        <v>544</v>
      </c>
      <c r="B545" s="43">
        <v>1</v>
      </c>
      <c r="C545" s="43">
        <v>2</v>
      </c>
      <c r="D545" s="43" t="s">
        <v>782</v>
      </c>
      <c r="E545" s="43" t="s">
        <v>13</v>
      </c>
      <c r="F545" s="44">
        <v>32</v>
      </c>
      <c r="G545" s="43">
        <v>1</v>
      </c>
      <c r="H545" s="43">
        <v>0</v>
      </c>
      <c r="I545" s="44">
        <v>2908</v>
      </c>
      <c r="J545" s="43">
        <v>26</v>
      </c>
      <c r="K545" s="43"/>
      <c r="L545" s="43" t="s">
        <v>15</v>
      </c>
    </row>
    <row r="546" spans="1:12">
      <c r="A546" s="43">
        <v>545</v>
      </c>
      <c r="B546" s="43">
        <v>0</v>
      </c>
      <c r="C546" s="43">
        <v>1</v>
      </c>
      <c r="D546" s="43" t="s">
        <v>783</v>
      </c>
      <c r="E546" s="43" t="s">
        <v>13</v>
      </c>
      <c r="F546" s="44">
        <v>50</v>
      </c>
      <c r="G546" s="43">
        <v>1</v>
      </c>
      <c r="H546" s="43">
        <v>0</v>
      </c>
      <c r="I546" s="44" t="s">
        <v>773</v>
      </c>
      <c r="J546" s="43">
        <v>106.425</v>
      </c>
      <c r="K546" s="43" t="s">
        <v>784</v>
      </c>
      <c r="L546" s="43" t="s">
        <v>20</v>
      </c>
    </row>
    <row r="547" spans="1:12">
      <c r="A547" s="43">
        <v>546</v>
      </c>
      <c r="B547" s="43">
        <v>0</v>
      </c>
      <c r="C547" s="43">
        <v>1</v>
      </c>
      <c r="D547" s="43" t="s">
        <v>785</v>
      </c>
      <c r="E547" s="43" t="s">
        <v>13</v>
      </c>
      <c r="F547" s="44">
        <v>64</v>
      </c>
      <c r="G547" s="43">
        <v>0</v>
      </c>
      <c r="H547" s="43">
        <v>0</v>
      </c>
      <c r="I547" s="44">
        <v>693</v>
      </c>
      <c r="J547" s="43">
        <v>26</v>
      </c>
      <c r="K547" s="43"/>
      <c r="L547" s="43" t="s">
        <v>15</v>
      </c>
    </row>
    <row r="548" spans="1:12">
      <c r="A548" s="43">
        <v>547</v>
      </c>
      <c r="B548" s="43">
        <v>1</v>
      </c>
      <c r="C548" s="43">
        <v>2</v>
      </c>
      <c r="D548" s="43" t="s">
        <v>786</v>
      </c>
      <c r="E548" s="43" t="s">
        <v>17</v>
      </c>
      <c r="F548" s="44">
        <v>19</v>
      </c>
      <c r="G548" s="43">
        <v>1</v>
      </c>
      <c r="H548" s="43">
        <v>0</v>
      </c>
      <c r="I548" s="44">
        <v>2908</v>
      </c>
      <c r="J548" s="43">
        <v>26</v>
      </c>
      <c r="K548" s="43"/>
      <c r="L548" s="43" t="s">
        <v>15</v>
      </c>
    </row>
    <row r="549" spans="1:12">
      <c r="A549" s="43">
        <v>548</v>
      </c>
      <c r="B549" s="43">
        <v>1</v>
      </c>
      <c r="C549" s="43">
        <v>2</v>
      </c>
      <c r="D549" s="43" t="s">
        <v>787</v>
      </c>
      <c r="E549" s="43" t="s">
        <v>13</v>
      </c>
      <c r="F549" s="44" t="s">
        <v>27</v>
      </c>
      <c r="G549" s="43">
        <v>0</v>
      </c>
      <c r="H549" s="43">
        <v>0</v>
      </c>
      <c r="I549" s="44" t="s">
        <v>788</v>
      </c>
      <c r="J549" s="43">
        <v>13.8625</v>
      </c>
      <c r="K549" s="43"/>
      <c r="L549" s="43" t="s">
        <v>20</v>
      </c>
    </row>
    <row r="550" spans="1:12">
      <c r="A550" s="43">
        <v>549</v>
      </c>
      <c r="B550" s="43">
        <v>0</v>
      </c>
      <c r="C550" s="43">
        <v>3</v>
      </c>
      <c r="D550" s="43" t="s">
        <v>789</v>
      </c>
      <c r="E550" s="43" t="s">
        <v>13</v>
      </c>
      <c r="F550" s="44">
        <v>33</v>
      </c>
      <c r="G550" s="43">
        <v>1</v>
      </c>
      <c r="H550" s="43">
        <v>1</v>
      </c>
      <c r="I550" s="44">
        <v>363291</v>
      </c>
      <c r="J550" s="43">
        <v>20.525</v>
      </c>
      <c r="K550" s="43"/>
      <c r="L550" s="43" t="s">
        <v>15</v>
      </c>
    </row>
    <row r="551" spans="1:12">
      <c r="A551" s="43">
        <v>550</v>
      </c>
      <c r="B551" s="43">
        <v>1</v>
      </c>
      <c r="C551" s="43">
        <v>2</v>
      </c>
      <c r="D551" s="43" t="s">
        <v>790</v>
      </c>
      <c r="E551" s="43" t="s">
        <v>13</v>
      </c>
      <c r="F551" s="44">
        <v>8</v>
      </c>
      <c r="G551" s="43">
        <v>1</v>
      </c>
      <c r="H551" s="43">
        <v>1</v>
      </c>
      <c r="I551" s="44" t="s">
        <v>229</v>
      </c>
      <c r="J551" s="43">
        <v>36.75</v>
      </c>
      <c r="K551" s="43"/>
      <c r="L551" s="43" t="s">
        <v>15</v>
      </c>
    </row>
    <row r="552" spans="1:12">
      <c r="A552" s="43">
        <v>551</v>
      </c>
      <c r="B552" s="43">
        <v>1</v>
      </c>
      <c r="C552" s="43">
        <v>1</v>
      </c>
      <c r="D552" s="43" t="s">
        <v>791</v>
      </c>
      <c r="E552" s="43" t="s">
        <v>13</v>
      </c>
      <c r="F552" s="44">
        <v>17</v>
      </c>
      <c r="G552" s="43">
        <v>0</v>
      </c>
      <c r="H552" s="43">
        <v>2</v>
      </c>
      <c r="I552" s="44">
        <v>17421</v>
      </c>
      <c r="J552" s="43">
        <v>110.8833</v>
      </c>
      <c r="K552" s="43" t="s">
        <v>792</v>
      </c>
      <c r="L552" s="43" t="s">
        <v>20</v>
      </c>
    </row>
    <row r="553" spans="1:12">
      <c r="A553" s="43">
        <v>552</v>
      </c>
      <c r="B553" s="43">
        <v>0</v>
      </c>
      <c r="C553" s="43">
        <v>2</v>
      </c>
      <c r="D553" s="43" t="s">
        <v>793</v>
      </c>
      <c r="E553" s="43" t="s">
        <v>13</v>
      </c>
      <c r="F553" s="44">
        <v>27</v>
      </c>
      <c r="G553" s="43">
        <v>0</v>
      </c>
      <c r="H553" s="43">
        <v>0</v>
      </c>
      <c r="I553" s="44">
        <v>244358</v>
      </c>
      <c r="J553" s="43">
        <v>26</v>
      </c>
      <c r="K553" s="43"/>
      <c r="L553" s="43" t="s">
        <v>15</v>
      </c>
    </row>
    <row r="554" spans="1:12">
      <c r="A554" s="43">
        <v>553</v>
      </c>
      <c r="B554" s="43">
        <v>0</v>
      </c>
      <c r="C554" s="43">
        <v>3</v>
      </c>
      <c r="D554" s="43" t="s">
        <v>794</v>
      </c>
      <c r="E554" s="43" t="s">
        <v>13</v>
      </c>
      <c r="F554" s="44" t="s">
        <v>27</v>
      </c>
      <c r="G554" s="43">
        <v>0</v>
      </c>
      <c r="H554" s="43">
        <v>0</v>
      </c>
      <c r="I554" s="44">
        <v>330979</v>
      </c>
      <c r="J554" s="43">
        <v>7.8292</v>
      </c>
      <c r="K554" s="43"/>
      <c r="L554" s="43" t="s">
        <v>28</v>
      </c>
    </row>
    <row r="555" spans="1:12">
      <c r="A555" s="43">
        <v>554</v>
      </c>
      <c r="B555" s="43">
        <v>1</v>
      </c>
      <c r="C555" s="43">
        <v>3</v>
      </c>
      <c r="D555" s="43" t="s">
        <v>795</v>
      </c>
      <c r="E555" s="43" t="s">
        <v>13</v>
      </c>
      <c r="F555" s="44">
        <v>22</v>
      </c>
      <c r="G555" s="43">
        <v>0</v>
      </c>
      <c r="H555" s="43">
        <v>0</v>
      </c>
      <c r="I555" s="44">
        <v>2620</v>
      </c>
      <c r="J555" s="43">
        <v>7.225</v>
      </c>
      <c r="K555" s="43"/>
      <c r="L555" s="43" t="s">
        <v>20</v>
      </c>
    </row>
    <row r="556" spans="1:12">
      <c r="A556" s="43">
        <v>555</v>
      </c>
      <c r="B556" s="43">
        <v>1</v>
      </c>
      <c r="C556" s="43">
        <v>3</v>
      </c>
      <c r="D556" s="43" t="s">
        <v>796</v>
      </c>
      <c r="E556" s="43" t="s">
        <v>17</v>
      </c>
      <c r="F556" s="44">
        <v>22</v>
      </c>
      <c r="G556" s="43">
        <v>0</v>
      </c>
      <c r="H556" s="43">
        <v>0</v>
      </c>
      <c r="I556" s="44">
        <v>347085</v>
      </c>
      <c r="J556" s="43">
        <v>7.775</v>
      </c>
      <c r="K556" s="43"/>
      <c r="L556" s="43" t="s">
        <v>15</v>
      </c>
    </row>
    <row r="557" spans="1:12">
      <c r="A557" s="43">
        <v>556</v>
      </c>
      <c r="B557" s="43">
        <v>0</v>
      </c>
      <c r="C557" s="43">
        <v>1</v>
      </c>
      <c r="D557" s="43" t="s">
        <v>797</v>
      </c>
      <c r="E557" s="43" t="s">
        <v>13</v>
      </c>
      <c r="F557" s="44">
        <v>62</v>
      </c>
      <c r="G557" s="43">
        <v>0</v>
      </c>
      <c r="H557" s="43">
        <v>0</v>
      </c>
      <c r="I557" s="44">
        <v>113807</v>
      </c>
      <c r="J557" s="43">
        <v>26.55</v>
      </c>
      <c r="K557" s="43"/>
      <c r="L557" s="43" t="s">
        <v>15</v>
      </c>
    </row>
    <row r="558" spans="1:12">
      <c r="A558" s="43">
        <v>557</v>
      </c>
      <c r="B558" s="43">
        <v>1</v>
      </c>
      <c r="C558" s="43">
        <v>1</v>
      </c>
      <c r="D558" s="43" t="s">
        <v>798</v>
      </c>
      <c r="E558" s="43" t="s">
        <v>17</v>
      </c>
      <c r="F558" s="44">
        <v>48</v>
      </c>
      <c r="G558" s="43">
        <v>1</v>
      </c>
      <c r="H558" s="43">
        <v>0</v>
      </c>
      <c r="I558" s="44">
        <v>11755</v>
      </c>
      <c r="J558" s="43">
        <v>39.6</v>
      </c>
      <c r="K558" s="43" t="s">
        <v>799</v>
      </c>
      <c r="L558" s="43" t="s">
        <v>20</v>
      </c>
    </row>
    <row r="559" spans="1:12">
      <c r="A559" s="43">
        <v>558</v>
      </c>
      <c r="B559" s="43">
        <v>0</v>
      </c>
      <c r="C559" s="43">
        <v>1</v>
      </c>
      <c r="D559" s="43" t="s">
        <v>800</v>
      </c>
      <c r="E559" s="43" t="s">
        <v>13</v>
      </c>
      <c r="F559" s="44" t="s">
        <v>27</v>
      </c>
      <c r="G559" s="43">
        <v>0</v>
      </c>
      <c r="H559" s="43">
        <v>0</v>
      </c>
      <c r="I559" s="44" t="s">
        <v>566</v>
      </c>
      <c r="J559" s="43">
        <v>227.525</v>
      </c>
      <c r="K559" s="43"/>
      <c r="L559" s="43" t="s">
        <v>20</v>
      </c>
    </row>
    <row r="560" spans="1:12">
      <c r="A560" s="43">
        <v>559</v>
      </c>
      <c r="B560" s="43">
        <v>1</v>
      </c>
      <c r="C560" s="43">
        <v>1</v>
      </c>
      <c r="D560" s="43" t="s">
        <v>801</v>
      </c>
      <c r="E560" s="43" t="s">
        <v>17</v>
      </c>
      <c r="F560" s="44">
        <v>39</v>
      </c>
      <c r="G560" s="43">
        <v>1</v>
      </c>
      <c r="H560" s="43">
        <v>1</v>
      </c>
      <c r="I560" s="44">
        <v>110413</v>
      </c>
      <c r="J560" s="43">
        <v>79.65</v>
      </c>
      <c r="K560" s="43" t="s">
        <v>398</v>
      </c>
      <c r="L560" s="43" t="s">
        <v>15</v>
      </c>
    </row>
    <row r="561" spans="1:12">
      <c r="A561" s="43">
        <v>560</v>
      </c>
      <c r="B561" s="43">
        <v>1</v>
      </c>
      <c r="C561" s="43">
        <v>3</v>
      </c>
      <c r="D561" s="43" t="s">
        <v>802</v>
      </c>
      <c r="E561" s="43" t="s">
        <v>17</v>
      </c>
      <c r="F561" s="44">
        <v>36</v>
      </c>
      <c r="G561" s="43">
        <v>1</v>
      </c>
      <c r="H561" s="43">
        <v>0</v>
      </c>
      <c r="I561" s="44">
        <v>345572</v>
      </c>
      <c r="J561" s="43">
        <v>17.4</v>
      </c>
      <c r="K561" s="43"/>
      <c r="L561" s="43" t="s">
        <v>15</v>
      </c>
    </row>
    <row r="562" spans="1:12">
      <c r="A562" s="43">
        <v>561</v>
      </c>
      <c r="B562" s="43">
        <v>0</v>
      </c>
      <c r="C562" s="43">
        <v>3</v>
      </c>
      <c r="D562" s="43" t="s">
        <v>803</v>
      </c>
      <c r="E562" s="43" t="s">
        <v>13</v>
      </c>
      <c r="F562" s="44" t="s">
        <v>27</v>
      </c>
      <c r="G562" s="43">
        <v>0</v>
      </c>
      <c r="H562" s="43">
        <v>0</v>
      </c>
      <c r="I562" s="44">
        <v>372622</v>
      </c>
      <c r="J562" s="43">
        <v>7.75</v>
      </c>
      <c r="K562" s="43"/>
      <c r="L562" s="43" t="s">
        <v>28</v>
      </c>
    </row>
    <row r="563" spans="1:12">
      <c r="A563" s="43">
        <v>562</v>
      </c>
      <c r="B563" s="43">
        <v>0</v>
      </c>
      <c r="C563" s="43">
        <v>3</v>
      </c>
      <c r="D563" s="43" t="s">
        <v>804</v>
      </c>
      <c r="E563" s="43" t="s">
        <v>13</v>
      </c>
      <c r="F563" s="44">
        <v>40</v>
      </c>
      <c r="G563" s="43">
        <v>0</v>
      </c>
      <c r="H563" s="43">
        <v>0</v>
      </c>
      <c r="I563" s="44">
        <v>349251</v>
      </c>
      <c r="J563" s="43">
        <v>7.8958</v>
      </c>
      <c r="K563" s="43"/>
      <c r="L563" s="43" t="s">
        <v>15</v>
      </c>
    </row>
    <row r="564" spans="1:12">
      <c r="A564" s="43">
        <v>563</v>
      </c>
      <c r="B564" s="43">
        <v>0</v>
      </c>
      <c r="C564" s="43">
        <v>2</v>
      </c>
      <c r="D564" s="43" t="s">
        <v>805</v>
      </c>
      <c r="E564" s="43" t="s">
        <v>13</v>
      </c>
      <c r="F564" s="44">
        <v>28</v>
      </c>
      <c r="G564" s="43">
        <v>0</v>
      </c>
      <c r="H564" s="43">
        <v>0</v>
      </c>
      <c r="I564" s="44">
        <v>218629</v>
      </c>
      <c r="J564" s="43">
        <v>13.5</v>
      </c>
      <c r="K564" s="43"/>
      <c r="L564" s="43" t="s">
        <v>15</v>
      </c>
    </row>
    <row r="565" spans="1:12">
      <c r="A565" s="43">
        <v>564</v>
      </c>
      <c r="B565" s="43">
        <v>0</v>
      </c>
      <c r="C565" s="43">
        <v>3</v>
      </c>
      <c r="D565" s="43" t="s">
        <v>806</v>
      </c>
      <c r="E565" s="43" t="s">
        <v>13</v>
      </c>
      <c r="F565" s="44" t="s">
        <v>27</v>
      </c>
      <c r="G565" s="43">
        <v>0</v>
      </c>
      <c r="H565" s="43">
        <v>0</v>
      </c>
      <c r="I565" s="44" t="s">
        <v>807</v>
      </c>
      <c r="J565" s="43">
        <v>8.05</v>
      </c>
      <c r="K565" s="43"/>
      <c r="L565" s="43" t="s">
        <v>15</v>
      </c>
    </row>
    <row r="566" spans="1:12">
      <c r="A566" s="43">
        <v>565</v>
      </c>
      <c r="B566" s="43">
        <v>0</v>
      </c>
      <c r="C566" s="43">
        <v>3</v>
      </c>
      <c r="D566" s="43" t="s">
        <v>808</v>
      </c>
      <c r="E566" s="43" t="s">
        <v>17</v>
      </c>
      <c r="F566" s="44" t="s">
        <v>27</v>
      </c>
      <c r="G566" s="43">
        <v>0</v>
      </c>
      <c r="H566" s="43">
        <v>0</v>
      </c>
      <c r="I566" s="44" t="s">
        <v>809</v>
      </c>
      <c r="J566" s="43">
        <v>8.05</v>
      </c>
      <c r="K566" s="43"/>
      <c r="L566" s="43" t="s">
        <v>15</v>
      </c>
    </row>
    <row r="567" spans="1:12">
      <c r="A567" s="43">
        <v>566</v>
      </c>
      <c r="B567" s="43">
        <v>0</v>
      </c>
      <c r="C567" s="43">
        <v>3</v>
      </c>
      <c r="D567" s="43" t="s">
        <v>810</v>
      </c>
      <c r="E567" s="43" t="s">
        <v>13</v>
      </c>
      <c r="F567" s="44">
        <v>24</v>
      </c>
      <c r="G567" s="43">
        <v>2</v>
      </c>
      <c r="H567" s="43">
        <v>0</v>
      </c>
      <c r="I567" s="44" t="s">
        <v>811</v>
      </c>
      <c r="J567" s="43">
        <v>24.15</v>
      </c>
      <c r="K567" s="43"/>
      <c r="L567" s="43" t="s">
        <v>15</v>
      </c>
    </row>
    <row r="568" spans="1:12">
      <c r="A568" s="43">
        <v>567</v>
      </c>
      <c r="B568" s="43">
        <v>0</v>
      </c>
      <c r="C568" s="43">
        <v>3</v>
      </c>
      <c r="D568" s="43" t="s">
        <v>812</v>
      </c>
      <c r="E568" s="43" t="s">
        <v>13</v>
      </c>
      <c r="F568" s="44">
        <v>19</v>
      </c>
      <c r="G568" s="43">
        <v>0</v>
      </c>
      <c r="H568" s="43">
        <v>0</v>
      </c>
      <c r="I568" s="44">
        <v>349205</v>
      </c>
      <c r="J568" s="43">
        <v>7.8958</v>
      </c>
      <c r="K568" s="43"/>
      <c r="L568" s="43" t="s">
        <v>15</v>
      </c>
    </row>
    <row r="569" spans="1:12">
      <c r="A569" s="43">
        <v>568</v>
      </c>
      <c r="B569" s="43">
        <v>0</v>
      </c>
      <c r="C569" s="43">
        <v>3</v>
      </c>
      <c r="D569" s="43" t="s">
        <v>813</v>
      </c>
      <c r="E569" s="43" t="s">
        <v>17</v>
      </c>
      <c r="F569" s="44">
        <v>29</v>
      </c>
      <c r="G569" s="43">
        <v>0</v>
      </c>
      <c r="H569" s="43">
        <v>4</v>
      </c>
      <c r="I569" s="44">
        <v>349909</v>
      </c>
      <c r="J569" s="43">
        <v>21.075</v>
      </c>
      <c r="K569" s="43"/>
      <c r="L569" s="43" t="s">
        <v>15</v>
      </c>
    </row>
    <row r="570" spans="1:12">
      <c r="A570" s="43">
        <v>569</v>
      </c>
      <c r="B570" s="43">
        <v>0</v>
      </c>
      <c r="C570" s="43">
        <v>3</v>
      </c>
      <c r="D570" s="43" t="s">
        <v>814</v>
      </c>
      <c r="E570" s="43" t="s">
        <v>13</v>
      </c>
      <c r="F570" s="44" t="s">
        <v>27</v>
      </c>
      <c r="G570" s="43">
        <v>0</v>
      </c>
      <c r="H570" s="43">
        <v>0</v>
      </c>
      <c r="I570" s="44">
        <v>2686</v>
      </c>
      <c r="J570" s="43">
        <v>7.2292</v>
      </c>
      <c r="K570" s="43"/>
      <c r="L570" s="43" t="s">
        <v>20</v>
      </c>
    </row>
    <row r="571" spans="1:12">
      <c r="A571" s="43">
        <v>570</v>
      </c>
      <c r="B571" s="43">
        <v>1</v>
      </c>
      <c r="C571" s="43">
        <v>3</v>
      </c>
      <c r="D571" s="43" t="s">
        <v>815</v>
      </c>
      <c r="E571" s="43" t="s">
        <v>13</v>
      </c>
      <c r="F571" s="44">
        <v>32</v>
      </c>
      <c r="G571" s="43">
        <v>0</v>
      </c>
      <c r="H571" s="43">
        <v>0</v>
      </c>
      <c r="I571" s="44">
        <v>350417</v>
      </c>
      <c r="J571" s="43">
        <v>7.8542</v>
      </c>
      <c r="K571" s="43"/>
      <c r="L571" s="43" t="s">
        <v>15</v>
      </c>
    </row>
    <row r="572" spans="1:12">
      <c r="A572" s="43">
        <v>571</v>
      </c>
      <c r="B572" s="43">
        <v>1</v>
      </c>
      <c r="C572" s="43">
        <v>2</v>
      </c>
      <c r="D572" s="43" t="s">
        <v>816</v>
      </c>
      <c r="E572" s="43" t="s">
        <v>13</v>
      </c>
      <c r="F572" s="44">
        <v>62</v>
      </c>
      <c r="G572" s="43">
        <v>0</v>
      </c>
      <c r="H572" s="43">
        <v>0</v>
      </c>
      <c r="I572" s="44" t="s">
        <v>817</v>
      </c>
      <c r="J572" s="43">
        <v>10.5</v>
      </c>
      <c r="K572" s="43"/>
      <c r="L572" s="43" t="s">
        <v>15</v>
      </c>
    </row>
    <row r="573" spans="1:12">
      <c r="A573" s="43">
        <v>572</v>
      </c>
      <c r="B573" s="43">
        <v>1</v>
      </c>
      <c r="C573" s="43">
        <v>1</v>
      </c>
      <c r="D573" s="43" t="s">
        <v>818</v>
      </c>
      <c r="E573" s="43" t="s">
        <v>17</v>
      </c>
      <c r="F573" s="44">
        <v>53</v>
      </c>
      <c r="G573" s="43">
        <v>2</v>
      </c>
      <c r="H573" s="43">
        <v>0</v>
      </c>
      <c r="I573" s="44">
        <v>11769</v>
      </c>
      <c r="J573" s="43">
        <v>51.4792</v>
      </c>
      <c r="K573" s="43" t="s">
        <v>819</v>
      </c>
      <c r="L573" s="43" t="s">
        <v>15</v>
      </c>
    </row>
    <row r="574" spans="1:12">
      <c r="A574" s="43">
        <v>573</v>
      </c>
      <c r="B574" s="43">
        <v>1</v>
      </c>
      <c r="C574" s="43">
        <v>1</v>
      </c>
      <c r="D574" s="43" t="s">
        <v>820</v>
      </c>
      <c r="E574" s="43" t="s">
        <v>13</v>
      </c>
      <c r="F574" s="44">
        <v>36</v>
      </c>
      <c r="G574" s="43">
        <v>0</v>
      </c>
      <c r="H574" s="43">
        <v>0</v>
      </c>
      <c r="I574" s="44" t="s">
        <v>821</v>
      </c>
      <c r="J574" s="43">
        <v>26.3875</v>
      </c>
      <c r="K574" s="43" t="s">
        <v>739</v>
      </c>
      <c r="L574" s="43" t="s">
        <v>15</v>
      </c>
    </row>
    <row r="575" spans="1:12">
      <c r="A575" s="43">
        <v>574</v>
      </c>
      <c r="B575" s="43">
        <v>1</v>
      </c>
      <c r="C575" s="43">
        <v>3</v>
      </c>
      <c r="D575" s="43" t="s">
        <v>822</v>
      </c>
      <c r="E575" s="43" t="s">
        <v>17</v>
      </c>
      <c r="F575" s="44" t="s">
        <v>27</v>
      </c>
      <c r="G575" s="43">
        <v>0</v>
      </c>
      <c r="H575" s="43">
        <v>0</v>
      </c>
      <c r="I575" s="44">
        <v>14312</v>
      </c>
      <c r="J575" s="43">
        <v>7.75</v>
      </c>
      <c r="K575" s="43"/>
      <c r="L575" s="43" t="s">
        <v>28</v>
      </c>
    </row>
    <row r="576" spans="1:12">
      <c r="A576" s="43">
        <v>575</v>
      </c>
      <c r="B576" s="43">
        <v>0</v>
      </c>
      <c r="C576" s="43">
        <v>3</v>
      </c>
      <c r="D576" s="43" t="s">
        <v>823</v>
      </c>
      <c r="E576" s="43" t="s">
        <v>13</v>
      </c>
      <c r="F576" s="44">
        <v>16</v>
      </c>
      <c r="G576" s="43">
        <v>0</v>
      </c>
      <c r="H576" s="43">
        <v>0</v>
      </c>
      <c r="I576" s="44" t="s">
        <v>824</v>
      </c>
      <c r="J576" s="43">
        <v>8.05</v>
      </c>
      <c r="K576" s="43"/>
      <c r="L576" s="43" t="s">
        <v>15</v>
      </c>
    </row>
    <row r="577" spans="1:12">
      <c r="A577" s="43">
        <v>576</v>
      </c>
      <c r="B577" s="43">
        <v>0</v>
      </c>
      <c r="C577" s="43">
        <v>3</v>
      </c>
      <c r="D577" s="43" t="s">
        <v>825</v>
      </c>
      <c r="E577" s="43" t="s">
        <v>13</v>
      </c>
      <c r="F577" s="44">
        <v>19</v>
      </c>
      <c r="G577" s="43">
        <v>0</v>
      </c>
      <c r="H577" s="43">
        <v>0</v>
      </c>
      <c r="I577" s="44">
        <v>358585</v>
      </c>
      <c r="J577" s="43">
        <v>14.5</v>
      </c>
      <c r="K577" s="43"/>
      <c r="L577" s="43" t="s">
        <v>15</v>
      </c>
    </row>
    <row r="578" spans="1:12">
      <c r="A578" s="43">
        <v>577</v>
      </c>
      <c r="B578" s="43">
        <v>1</v>
      </c>
      <c r="C578" s="43">
        <v>2</v>
      </c>
      <c r="D578" s="43" t="s">
        <v>826</v>
      </c>
      <c r="E578" s="43" t="s">
        <v>17</v>
      </c>
      <c r="F578" s="44">
        <v>34</v>
      </c>
      <c r="G578" s="43">
        <v>0</v>
      </c>
      <c r="H578" s="43">
        <v>0</v>
      </c>
      <c r="I578" s="44">
        <v>243880</v>
      </c>
      <c r="J578" s="43">
        <v>13</v>
      </c>
      <c r="K578" s="43"/>
      <c r="L578" s="43" t="s">
        <v>15</v>
      </c>
    </row>
    <row r="579" spans="1:12">
      <c r="A579" s="43">
        <v>578</v>
      </c>
      <c r="B579" s="43">
        <v>1</v>
      </c>
      <c r="C579" s="43">
        <v>1</v>
      </c>
      <c r="D579" s="43" t="s">
        <v>827</v>
      </c>
      <c r="E579" s="43" t="s">
        <v>17</v>
      </c>
      <c r="F579" s="44">
        <v>39</v>
      </c>
      <c r="G579" s="43">
        <v>1</v>
      </c>
      <c r="H579" s="43">
        <v>0</v>
      </c>
      <c r="I579" s="44">
        <v>13507</v>
      </c>
      <c r="J579" s="43">
        <v>55.9</v>
      </c>
      <c r="K579" s="43" t="s">
        <v>632</v>
      </c>
      <c r="L579" s="43" t="s">
        <v>15</v>
      </c>
    </row>
    <row r="580" spans="1:12">
      <c r="A580" s="43">
        <v>579</v>
      </c>
      <c r="B580" s="43">
        <v>0</v>
      </c>
      <c r="C580" s="43">
        <v>3</v>
      </c>
      <c r="D580" s="43" t="s">
        <v>828</v>
      </c>
      <c r="E580" s="43" t="s">
        <v>17</v>
      </c>
      <c r="F580" s="44" t="s">
        <v>27</v>
      </c>
      <c r="G580" s="43">
        <v>1</v>
      </c>
      <c r="H580" s="43">
        <v>0</v>
      </c>
      <c r="I580" s="44">
        <v>2689</v>
      </c>
      <c r="J580" s="43">
        <v>14.4583</v>
      </c>
      <c r="K580" s="43"/>
      <c r="L580" s="43" t="s">
        <v>20</v>
      </c>
    </row>
    <row r="581" spans="1:12">
      <c r="A581" s="43">
        <v>580</v>
      </c>
      <c r="B581" s="43">
        <v>1</v>
      </c>
      <c r="C581" s="43">
        <v>3</v>
      </c>
      <c r="D581" s="43" t="s">
        <v>829</v>
      </c>
      <c r="E581" s="43" t="s">
        <v>13</v>
      </c>
      <c r="F581" s="44">
        <v>32</v>
      </c>
      <c r="G581" s="43">
        <v>0</v>
      </c>
      <c r="H581" s="43">
        <v>0</v>
      </c>
      <c r="I581" s="44" t="s">
        <v>830</v>
      </c>
      <c r="J581" s="43">
        <v>7.925</v>
      </c>
      <c r="K581" s="43"/>
      <c r="L581" s="43" t="s">
        <v>15</v>
      </c>
    </row>
    <row r="582" spans="1:12">
      <c r="A582" s="43">
        <v>581</v>
      </c>
      <c r="B582" s="43">
        <v>1</v>
      </c>
      <c r="C582" s="43">
        <v>2</v>
      </c>
      <c r="D582" s="43" t="s">
        <v>831</v>
      </c>
      <c r="E582" s="43" t="s">
        <v>17</v>
      </c>
      <c r="F582" s="44">
        <v>25</v>
      </c>
      <c r="G582" s="43">
        <v>1</v>
      </c>
      <c r="H582" s="43">
        <v>1</v>
      </c>
      <c r="I582" s="44">
        <v>237789</v>
      </c>
      <c r="J582" s="43">
        <v>30</v>
      </c>
      <c r="K582" s="43"/>
      <c r="L582" s="43" t="s">
        <v>15</v>
      </c>
    </row>
    <row r="583" spans="1:12">
      <c r="A583" s="43">
        <v>582</v>
      </c>
      <c r="B583" s="43">
        <v>1</v>
      </c>
      <c r="C583" s="43">
        <v>1</v>
      </c>
      <c r="D583" s="43" t="s">
        <v>832</v>
      </c>
      <c r="E583" s="43" t="s">
        <v>17</v>
      </c>
      <c r="F583" s="44">
        <v>39</v>
      </c>
      <c r="G583" s="43">
        <v>1</v>
      </c>
      <c r="H583" s="43">
        <v>1</v>
      </c>
      <c r="I583" s="44">
        <v>17421</v>
      </c>
      <c r="J583" s="43">
        <v>110.8833</v>
      </c>
      <c r="K583" s="43" t="s">
        <v>833</v>
      </c>
      <c r="L583" s="43" t="s">
        <v>20</v>
      </c>
    </row>
    <row r="584" spans="1:12">
      <c r="A584" s="43">
        <v>583</v>
      </c>
      <c r="B584" s="43">
        <v>0</v>
      </c>
      <c r="C584" s="43">
        <v>2</v>
      </c>
      <c r="D584" s="43" t="s">
        <v>834</v>
      </c>
      <c r="E584" s="43" t="s">
        <v>13</v>
      </c>
      <c r="F584" s="44">
        <v>54</v>
      </c>
      <c r="G584" s="43">
        <v>0</v>
      </c>
      <c r="H584" s="43">
        <v>0</v>
      </c>
      <c r="I584" s="44">
        <v>28403</v>
      </c>
      <c r="J584" s="43">
        <v>26</v>
      </c>
      <c r="K584" s="43"/>
      <c r="L584" s="43" t="s">
        <v>15</v>
      </c>
    </row>
    <row r="585" spans="1:12">
      <c r="A585" s="43">
        <v>584</v>
      </c>
      <c r="B585" s="43">
        <v>0</v>
      </c>
      <c r="C585" s="43">
        <v>1</v>
      </c>
      <c r="D585" s="43" t="s">
        <v>835</v>
      </c>
      <c r="E585" s="43" t="s">
        <v>13</v>
      </c>
      <c r="F585" s="44">
        <v>36</v>
      </c>
      <c r="G585" s="43">
        <v>0</v>
      </c>
      <c r="H585" s="43">
        <v>0</v>
      </c>
      <c r="I585" s="44">
        <v>13049</v>
      </c>
      <c r="J585" s="43">
        <v>40.125</v>
      </c>
      <c r="K585" s="43" t="s">
        <v>836</v>
      </c>
      <c r="L585" s="43" t="s">
        <v>20</v>
      </c>
    </row>
    <row r="586" spans="1:12">
      <c r="A586" s="43">
        <v>585</v>
      </c>
      <c r="B586" s="43">
        <v>0</v>
      </c>
      <c r="C586" s="43">
        <v>3</v>
      </c>
      <c r="D586" s="43" t="s">
        <v>837</v>
      </c>
      <c r="E586" s="43" t="s">
        <v>13</v>
      </c>
      <c r="F586" s="44" t="s">
        <v>27</v>
      </c>
      <c r="G586" s="43">
        <v>0</v>
      </c>
      <c r="H586" s="43">
        <v>0</v>
      </c>
      <c r="I586" s="44">
        <v>3411</v>
      </c>
      <c r="J586" s="43">
        <v>8.7125</v>
      </c>
      <c r="K586" s="43"/>
      <c r="L586" s="43" t="s">
        <v>20</v>
      </c>
    </row>
    <row r="587" spans="1:12">
      <c r="A587" s="43">
        <v>586</v>
      </c>
      <c r="B587" s="43">
        <v>1</v>
      </c>
      <c r="C587" s="43">
        <v>1</v>
      </c>
      <c r="D587" s="43" t="s">
        <v>838</v>
      </c>
      <c r="E587" s="43" t="s">
        <v>17</v>
      </c>
      <c r="F587" s="44">
        <v>18</v>
      </c>
      <c r="G587" s="43">
        <v>0</v>
      </c>
      <c r="H587" s="43">
        <v>2</v>
      </c>
      <c r="I587" s="44">
        <v>110413</v>
      </c>
      <c r="J587" s="43">
        <v>79.65</v>
      </c>
      <c r="K587" s="43" t="s">
        <v>839</v>
      </c>
      <c r="L587" s="43" t="s">
        <v>15</v>
      </c>
    </row>
    <row r="588" spans="1:12">
      <c r="A588" s="43">
        <v>587</v>
      </c>
      <c r="B588" s="43">
        <v>0</v>
      </c>
      <c r="C588" s="43">
        <v>2</v>
      </c>
      <c r="D588" s="43" t="s">
        <v>840</v>
      </c>
      <c r="E588" s="43" t="s">
        <v>13</v>
      </c>
      <c r="F588" s="44">
        <v>47</v>
      </c>
      <c r="G588" s="43">
        <v>0</v>
      </c>
      <c r="H588" s="43">
        <v>0</v>
      </c>
      <c r="I588" s="44">
        <v>237565</v>
      </c>
      <c r="J588" s="43">
        <v>15</v>
      </c>
      <c r="K588" s="43"/>
      <c r="L588" s="43" t="s">
        <v>15</v>
      </c>
    </row>
    <row r="589" spans="1:12">
      <c r="A589" s="43">
        <v>588</v>
      </c>
      <c r="B589" s="43">
        <v>1</v>
      </c>
      <c r="C589" s="43">
        <v>1</v>
      </c>
      <c r="D589" s="43" t="s">
        <v>841</v>
      </c>
      <c r="E589" s="43" t="s">
        <v>13</v>
      </c>
      <c r="F589" s="44">
        <v>60</v>
      </c>
      <c r="G589" s="43">
        <v>1</v>
      </c>
      <c r="H589" s="43">
        <v>1</v>
      </c>
      <c r="I589" s="44">
        <v>13567</v>
      </c>
      <c r="J589" s="43">
        <v>79.2</v>
      </c>
      <c r="K589" s="43" t="s">
        <v>842</v>
      </c>
      <c r="L589" s="43" t="s">
        <v>20</v>
      </c>
    </row>
    <row r="590" spans="1:12">
      <c r="A590" s="43">
        <v>589</v>
      </c>
      <c r="B590" s="43">
        <v>0</v>
      </c>
      <c r="C590" s="43">
        <v>3</v>
      </c>
      <c r="D590" s="43" t="s">
        <v>843</v>
      </c>
      <c r="E590" s="43" t="s">
        <v>13</v>
      </c>
      <c r="F590" s="44">
        <v>22</v>
      </c>
      <c r="G590" s="43">
        <v>0</v>
      </c>
      <c r="H590" s="43">
        <v>0</v>
      </c>
      <c r="I590" s="44">
        <v>14973</v>
      </c>
      <c r="J590" s="43">
        <v>8.05</v>
      </c>
      <c r="K590" s="43"/>
      <c r="L590" s="43" t="s">
        <v>15</v>
      </c>
    </row>
    <row r="591" spans="1:12">
      <c r="A591" s="43">
        <v>590</v>
      </c>
      <c r="B591" s="43">
        <v>0</v>
      </c>
      <c r="C591" s="43">
        <v>3</v>
      </c>
      <c r="D591" s="43" t="s">
        <v>844</v>
      </c>
      <c r="E591" s="43" t="s">
        <v>13</v>
      </c>
      <c r="F591" s="44" t="s">
        <v>27</v>
      </c>
      <c r="G591" s="43">
        <v>0</v>
      </c>
      <c r="H591" s="43">
        <v>0</v>
      </c>
      <c r="I591" s="44" t="s">
        <v>845</v>
      </c>
      <c r="J591" s="43">
        <v>8.05</v>
      </c>
      <c r="K591" s="43"/>
      <c r="L591" s="43" t="s">
        <v>15</v>
      </c>
    </row>
    <row r="592" spans="1:12">
      <c r="A592" s="43">
        <v>591</v>
      </c>
      <c r="B592" s="43">
        <v>0</v>
      </c>
      <c r="C592" s="43">
        <v>3</v>
      </c>
      <c r="D592" s="43" t="s">
        <v>846</v>
      </c>
      <c r="E592" s="43" t="s">
        <v>13</v>
      </c>
      <c r="F592" s="44">
        <v>35</v>
      </c>
      <c r="G592" s="43">
        <v>0</v>
      </c>
      <c r="H592" s="43">
        <v>0</v>
      </c>
      <c r="I592" s="44" t="s">
        <v>847</v>
      </c>
      <c r="J592" s="43">
        <v>7.125</v>
      </c>
      <c r="K592" s="43"/>
      <c r="L592" s="43" t="s">
        <v>15</v>
      </c>
    </row>
    <row r="593" spans="1:12">
      <c r="A593" s="43">
        <v>592</v>
      </c>
      <c r="B593" s="43">
        <v>1</v>
      </c>
      <c r="C593" s="43">
        <v>1</v>
      </c>
      <c r="D593" s="43" t="s">
        <v>848</v>
      </c>
      <c r="E593" s="43" t="s">
        <v>17</v>
      </c>
      <c r="F593" s="44">
        <v>52</v>
      </c>
      <c r="G593" s="43">
        <v>1</v>
      </c>
      <c r="H593" s="43">
        <v>0</v>
      </c>
      <c r="I593" s="44">
        <v>36947</v>
      </c>
      <c r="J593" s="43">
        <v>78.2667</v>
      </c>
      <c r="K593" s="43" t="s">
        <v>717</v>
      </c>
      <c r="L593" s="43" t="s">
        <v>20</v>
      </c>
    </row>
    <row r="594" spans="1:12">
      <c r="A594" s="43">
        <v>593</v>
      </c>
      <c r="B594" s="43">
        <v>0</v>
      </c>
      <c r="C594" s="43">
        <v>3</v>
      </c>
      <c r="D594" s="43" t="s">
        <v>849</v>
      </c>
      <c r="E594" s="43" t="s">
        <v>13</v>
      </c>
      <c r="F594" s="44">
        <v>47</v>
      </c>
      <c r="G594" s="43">
        <v>0</v>
      </c>
      <c r="H594" s="43">
        <v>0</v>
      </c>
      <c r="I594" s="44" t="s">
        <v>850</v>
      </c>
      <c r="J594" s="43">
        <v>7.25</v>
      </c>
      <c r="K594" s="43"/>
      <c r="L594" s="43" t="s">
        <v>15</v>
      </c>
    </row>
    <row r="595" spans="1:12">
      <c r="A595" s="43">
        <v>594</v>
      </c>
      <c r="B595" s="43">
        <v>0</v>
      </c>
      <c r="C595" s="43">
        <v>3</v>
      </c>
      <c r="D595" s="43" t="s">
        <v>851</v>
      </c>
      <c r="E595" s="43" t="s">
        <v>17</v>
      </c>
      <c r="F595" s="44" t="s">
        <v>27</v>
      </c>
      <c r="G595" s="43">
        <v>0</v>
      </c>
      <c r="H595" s="43">
        <v>2</v>
      </c>
      <c r="I595" s="44">
        <v>364848</v>
      </c>
      <c r="J595" s="43">
        <v>7.75</v>
      </c>
      <c r="K595" s="43"/>
      <c r="L595" s="43" t="s">
        <v>28</v>
      </c>
    </row>
    <row r="596" spans="1:12">
      <c r="A596" s="43">
        <v>595</v>
      </c>
      <c r="B596" s="43">
        <v>0</v>
      </c>
      <c r="C596" s="43">
        <v>2</v>
      </c>
      <c r="D596" s="43" t="s">
        <v>852</v>
      </c>
      <c r="E596" s="43" t="s">
        <v>13</v>
      </c>
      <c r="F596" s="44">
        <v>37</v>
      </c>
      <c r="G596" s="43">
        <v>1</v>
      </c>
      <c r="H596" s="43">
        <v>0</v>
      </c>
      <c r="I596" s="44" t="s">
        <v>853</v>
      </c>
      <c r="J596" s="43">
        <v>26</v>
      </c>
      <c r="K596" s="43"/>
      <c r="L596" s="43" t="s">
        <v>15</v>
      </c>
    </row>
    <row r="597" spans="1:12">
      <c r="A597" s="43">
        <v>596</v>
      </c>
      <c r="B597" s="43">
        <v>0</v>
      </c>
      <c r="C597" s="43">
        <v>3</v>
      </c>
      <c r="D597" s="43" t="s">
        <v>854</v>
      </c>
      <c r="E597" s="43" t="s">
        <v>13</v>
      </c>
      <c r="F597" s="44">
        <v>36</v>
      </c>
      <c r="G597" s="43">
        <v>1</v>
      </c>
      <c r="H597" s="43">
        <v>1</v>
      </c>
      <c r="I597" s="44">
        <v>345773</v>
      </c>
      <c r="J597" s="43">
        <v>24.15</v>
      </c>
      <c r="K597" s="43"/>
      <c r="L597" s="43" t="s">
        <v>15</v>
      </c>
    </row>
    <row r="598" spans="1:12">
      <c r="A598" s="43">
        <v>597</v>
      </c>
      <c r="B598" s="43">
        <v>1</v>
      </c>
      <c r="C598" s="43">
        <v>2</v>
      </c>
      <c r="D598" s="43" t="s">
        <v>855</v>
      </c>
      <c r="E598" s="43" t="s">
        <v>17</v>
      </c>
      <c r="F598" s="44" t="s">
        <v>27</v>
      </c>
      <c r="G598" s="43">
        <v>0</v>
      </c>
      <c r="H598" s="43">
        <v>0</v>
      </c>
      <c r="I598" s="44">
        <v>248727</v>
      </c>
      <c r="J598" s="43">
        <v>33</v>
      </c>
      <c r="K598" s="43"/>
      <c r="L598" s="43" t="s">
        <v>15</v>
      </c>
    </row>
    <row r="599" spans="1:12">
      <c r="A599" s="43">
        <v>598</v>
      </c>
      <c r="B599" s="43">
        <v>0</v>
      </c>
      <c r="C599" s="43">
        <v>3</v>
      </c>
      <c r="D599" s="43" t="s">
        <v>856</v>
      </c>
      <c r="E599" s="43" t="s">
        <v>13</v>
      </c>
      <c r="F599" s="44">
        <v>49</v>
      </c>
      <c r="G599" s="43">
        <v>0</v>
      </c>
      <c r="H599" s="43">
        <v>0</v>
      </c>
      <c r="I599" s="44" t="s">
        <v>281</v>
      </c>
      <c r="J599" s="43">
        <v>0</v>
      </c>
      <c r="K599" s="43"/>
      <c r="L599" s="43" t="s">
        <v>15</v>
      </c>
    </row>
    <row r="600" spans="1:12">
      <c r="A600" s="43">
        <v>599</v>
      </c>
      <c r="B600" s="43">
        <v>0</v>
      </c>
      <c r="C600" s="43">
        <v>3</v>
      </c>
      <c r="D600" s="43" t="s">
        <v>857</v>
      </c>
      <c r="E600" s="43" t="s">
        <v>13</v>
      </c>
      <c r="F600" s="44" t="s">
        <v>27</v>
      </c>
      <c r="G600" s="43">
        <v>0</v>
      </c>
      <c r="H600" s="43">
        <v>0</v>
      </c>
      <c r="I600" s="44">
        <v>2664</v>
      </c>
      <c r="J600" s="43">
        <v>7.225</v>
      </c>
      <c r="K600" s="43"/>
      <c r="L600" s="43" t="s">
        <v>20</v>
      </c>
    </row>
    <row r="601" spans="1:12">
      <c r="A601" s="43">
        <v>600</v>
      </c>
      <c r="B601" s="43">
        <v>1</v>
      </c>
      <c r="C601" s="43">
        <v>1</v>
      </c>
      <c r="D601" s="43" t="s">
        <v>858</v>
      </c>
      <c r="E601" s="43" t="s">
        <v>13</v>
      </c>
      <c r="F601" s="44">
        <v>49</v>
      </c>
      <c r="G601" s="43">
        <v>1</v>
      </c>
      <c r="H601" s="43">
        <v>0</v>
      </c>
      <c r="I601" s="44" t="s">
        <v>468</v>
      </c>
      <c r="J601" s="43">
        <v>56.9292</v>
      </c>
      <c r="K601" s="43" t="s">
        <v>859</v>
      </c>
      <c r="L601" s="43" t="s">
        <v>20</v>
      </c>
    </row>
    <row r="602" spans="1:12">
      <c r="A602" s="43">
        <v>601</v>
      </c>
      <c r="B602" s="43">
        <v>1</v>
      </c>
      <c r="C602" s="43">
        <v>2</v>
      </c>
      <c r="D602" s="43" t="s">
        <v>860</v>
      </c>
      <c r="E602" s="43" t="s">
        <v>17</v>
      </c>
      <c r="F602" s="44">
        <v>24</v>
      </c>
      <c r="G602" s="43">
        <v>2</v>
      </c>
      <c r="H602" s="43">
        <v>1</v>
      </c>
      <c r="I602" s="44">
        <v>243847</v>
      </c>
      <c r="J602" s="43">
        <v>27</v>
      </c>
      <c r="K602" s="43"/>
      <c r="L602" s="43" t="s">
        <v>15</v>
      </c>
    </row>
    <row r="603" spans="1:12">
      <c r="A603" s="43">
        <v>602</v>
      </c>
      <c r="B603" s="43">
        <v>0</v>
      </c>
      <c r="C603" s="43">
        <v>3</v>
      </c>
      <c r="D603" s="43" t="s">
        <v>861</v>
      </c>
      <c r="E603" s="43" t="s">
        <v>13</v>
      </c>
      <c r="F603" s="44" t="s">
        <v>27</v>
      </c>
      <c r="G603" s="43">
        <v>0</v>
      </c>
      <c r="H603" s="43">
        <v>0</v>
      </c>
      <c r="I603" s="44">
        <v>349214</v>
      </c>
      <c r="J603" s="43">
        <v>7.8958</v>
      </c>
      <c r="K603" s="43"/>
      <c r="L603" s="43" t="s">
        <v>15</v>
      </c>
    </row>
    <row r="604" spans="1:12">
      <c r="A604" s="43">
        <v>603</v>
      </c>
      <c r="B604" s="43">
        <v>0</v>
      </c>
      <c r="C604" s="43">
        <v>1</v>
      </c>
      <c r="D604" s="43" t="s">
        <v>862</v>
      </c>
      <c r="E604" s="43" t="s">
        <v>13</v>
      </c>
      <c r="F604" s="44" t="s">
        <v>27</v>
      </c>
      <c r="G604" s="43">
        <v>0</v>
      </c>
      <c r="H604" s="43">
        <v>0</v>
      </c>
      <c r="I604" s="44">
        <v>113796</v>
      </c>
      <c r="J604" s="43">
        <v>42.4</v>
      </c>
      <c r="K604" s="43"/>
      <c r="L604" s="43" t="s">
        <v>15</v>
      </c>
    </row>
    <row r="605" spans="1:12">
      <c r="A605" s="43">
        <v>604</v>
      </c>
      <c r="B605" s="43">
        <v>0</v>
      </c>
      <c r="C605" s="43">
        <v>3</v>
      </c>
      <c r="D605" s="43" t="s">
        <v>863</v>
      </c>
      <c r="E605" s="43" t="s">
        <v>13</v>
      </c>
      <c r="F605" s="44">
        <v>44</v>
      </c>
      <c r="G605" s="43">
        <v>0</v>
      </c>
      <c r="H605" s="43">
        <v>0</v>
      </c>
      <c r="I605" s="44">
        <v>364511</v>
      </c>
      <c r="J605" s="43">
        <v>8.05</v>
      </c>
      <c r="K605" s="43"/>
      <c r="L605" s="43" t="s">
        <v>15</v>
      </c>
    </row>
    <row r="606" spans="1:12">
      <c r="A606" s="43">
        <v>605</v>
      </c>
      <c r="B606" s="43">
        <v>1</v>
      </c>
      <c r="C606" s="43">
        <v>1</v>
      </c>
      <c r="D606" s="43" t="s">
        <v>864</v>
      </c>
      <c r="E606" s="43" t="s">
        <v>13</v>
      </c>
      <c r="F606" s="44">
        <v>35</v>
      </c>
      <c r="G606" s="43">
        <v>0</v>
      </c>
      <c r="H606" s="43">
        <v>0</v>
      </c>
      <c r="I606" s="44">
        <v>111426</v>
      </c>
      <c r="J606" s="43">
        <v>26.55</v>
      </c>
      <c r="K606" s="43"/>
      <c r="L606" s="43" t="s">
        <v>20</v>
      </c>
    </row>
    <row r="607" spans="1:12">
      <c r="A607" s="43">
        <v>606</v>
      </c>
      <c r="B607" s="43">
        <v>0</v>
      </c>
      <c r="C607" s="43">
        <v>3</v>
      </c>
      <c r="D607" s="43" t="s">
        <v>865</v>
      </c>
      <c r="E607" s="43" t="s">
        <v>13</v>
      </c>
      <c r="F607" s="44">
        <v>36</v>
      </c>
      <c r="G607" s="43">
        <v>1</v>
      </c>
      <c r="H607" s="43">
        <v>0</v>
      </c>
      <c r="I607" s="44">
        <v>349910</v>
      </c>
      <c r="J607" s="43">
        <v>15.55</v>
      </c>
      <c r="K607" s="43"/>
      <c r="L607" s="43" t="s">
        <v>15</v>
      </c>
    </row>
    <row r="608" spans="1:12">
      <c r="A608" s="43">
        <v>607</v>
      </c>
      <c r="B608" s="43">
        <v>0</v>
      </c>
      <c r="C608" s="43">
        <v>3</v>
      </c>
      <c r="D608" s="43" t="s">
        <v>866</v>
      </c>
      <c r="E608" s="43" t="s">
        <v>13</v>
      </c>
      <c r="F608" s="44">
        <v>30</v>
      </c>
      <c r="G608" s="43">
        <v>0</v>
      </c>
      <c r="H608" s="43">
        <v>0</v>
      </c>
      <c r="I608" s="44">
        <v>349246</v>
      </c>
      <c r="J608" s="43">
        <v>7.8958</v>
      </c>
      <c r="K608" s="43"/>
      <c r="L608" s="43" t="s">
        <v>15</v>
      </c>
    </row>
    <row r="609" spans="1:12">
      <c r="A609" s="43">
        <v>608</v>
      </c>
      <c r="B609" s="43">
        <v>1</v>
      </c>
      <c r="C609" s="43">
        <v>1</v>
      </c>
      <c r="D609" s="43" t="s">
        <v>867</v>
      </c>
      <c r="E609" s="43" t="s">
        <v>13</v>
      </c>
      <c r="F609" s="44">
        <v>27</v>
      </c>
      <c r="G609" s="43">
        <v>0</v>
      </c>
      <c r="H609" s="43">
        <v>0</v>
      </c>
      <c r="I609" s="44">
        <v>113804</v>
      </c>
      <c r="J609" s="43">
        <v>30.5</v>
      </c>
      <c r="K609" s="43"/>
      <c r="L609" s="43" t="s">
        <v>15</v>
      </c>
    </row>
    <row r="610" spans="1:12">
      <c r="A610" s="43">
        <v>609</v>
      </c>
      <c r="B610" s="43">
        <v>1</v>
      </c>
      <c r="C610" s="43">
        <v>2</v>
      </c>
      <c r="D610" s="43" t="s">
        <v>868</v>
      </c>
      <c r="E610" s="43" t="s">
        <v>17</v>
      </c>
      <c r="F610" s="44">
        <v>22</v>
      </c>
      <c r="G610" s="43">
        <v>1</v>
      </c>
      <c r="H610" s="43">
        <v>2</v>
      </c>
      <c r="I610" s="44" t="s">
        <v>81</v>
      </c>
      <c r="J610" s="43">
        <v>41.5792</v>
      </c>
      <c r="K610" s="43"/>
      <c r="L610" s="43" t="s">
        <v>20</v>
      </c>
    </row>
    <row r="611" spans="1:12">
      <c r="A611" s="43">
        <v>610</v>
      </c>
      <c r="B611" s="43">
        <v>1</v>
      </c>
      <c r="C611" s="43">
        <v>1</v>
      </c>
      <c r="D611" s="43" t="s">
        <v>869</v>
      </c>
      <c r="E611" s="43" t="s">
        <v>17</v>
      </c>
      <c r="F611" s="44">
        <v>40</v>
      </c>
      <c r="G611" s="43">
        <v>0</v>
      </c>
      <c r="H611" s="43">
        <v>0</v>
      </c>
      <c r="I611" s="44" t="s">
        <v>407</v>
      </c>
      <c r="J611" s="43">
        <v>153.4625</v>
      </c>
      <c r="K611" s="43" t="s">
        <v>408</v>
      </c>
      <c r="L611" s="43" t="s">
        <v>15</v>
      </c>
    </row>
    <row r="612" spans="1:12">
      <c r="A612" s="43">
        <v>611</v>
      </c>
      <c r="B612" s="43">
        <v>0</v>
      </c>
      <c r="C612" s="43">
        <v>3</v>
      </c>
      <c r="D612" s="43" t="s">
        <v>870</v>
      </c>
      <c r="E612" s="43" t="s">
        <v>17</v>
      </c>
      <c r="F612" s="44">
        <v>39</v>
      </c>
      <c r="G612" s="43">
        <v>1</v>
      </c>
      <c r="H612" s="43">
        <v>5</v>
      </c>
      <c r="I612" s="44">
        <v>347082</v>
      </c>
      <c r="J612" s="43">
        <v>31.275</v>
      </c>
      <c r="K612" s="43"/>
      <c r="L612" s="43" t="s">
        <v>15</v>
      </c>
    </row>
    <row r="613" spans="1:12">
      <c r="A613" s="43">
        <v>612</v>
      </c>
      <c r="B613" s="43">
        <v>0</v>
      </c>
      <c r="C613" s="43">
        <v>3</v>
      </c>
      <c r="D613" s="43" t="s">
        <v>871</v>
      </c>
      <c r="E613" s="43" t="s">
        <v>13</v>
      </c>
      <c r="F613" s="44" t="s">
        <v>27</v>
      </c>
      <c r="G613" s="43">
        <v>0</v>
      </c>
      <c r="H613" s="43">
        <v>0</v>
      </c>
      <c r="I613" s="44" t="s">
        <v>872</v>
      </c>
      <c r="J613" s="43">
        <v>7.05</v>
      </c>
      <c r="K613" s="43"/>
      <c r="L613" s="43" t="s">
        <v>15</v>
      </c>
    </row>
    <row r="614" spans="1:12">
      <c r="A614" s="43">
        <v>613</v>
      </c>
      <c r="B614" s="43">
        <v>1</v>
      </c>
      <c r="C614" s="43">
        <v>3</v>
      </c>
      <c r="D614" s="43" t="s">
        <v>873</v>
      </c>
      <c r="E614" s="43" t="s">
        <v>17</v>
      </c>
      <c r="F614" s="44" t="s">
        <v>27</v>
      </c>
      <c r="G614" s="43">
        <v>1</v>
      </c>
      <c r="H614" s="43">
        <v>0</v>
      </c>
      <c r="I614" s="44">
        <v>367230</v>
      </c>
      <c r="J614" s="43">
        <v>15.5</v>
      </c>
      <c r="K614" s="43"/>
      <c r="L614" s="43" t="s">
        <v>28</v>
      </c>
    </row>
    <row r="615" spans="1:12">
      <c r="A615" s="43">
        <v>614</v>
      </c>
      <c r="B615" s="43">
        <v>0</v>
      </c>
      <c r="C615" s="43">
        <v>3</v>
      </c>
      <c r="D615" s="43" t="s">
        <v>874</v>
      </c>
      <c r="E615" s="43" t="s">
        <v>13</v>
      </c>
      <c r="F615" s="44" t="s">
        <v>27</v>
      </c>
      <c r="G615" s="43">
        <v>0</v>
      </c>
      <c r="H615" s="43">
        <v>0</v>
      </c>
      <c r="I615" s="44">
        <v>370377</v>
      </c>
      <c r="J615" s="43">
        <v>7.75</v>
      </c>
      <c r="K615" s="43"/>
      <c r="L615" s="43" t="s">
        <v>28</v>
      </c>
    </row>
    <row r="616" spans="1:12">
      <c r="A616" s="43">
        <v>615</v>
      </c>
      <c r="B616" s="43">
        <v>0</v>
      </c>
      <c r="C616" s="43">
        <v>3</v>
      </c>
      <c r="D616" s="43" t="s">
        <v>875</v>
      </c>
      <c r="E616" s="43" t="s">
        <v>13</v>
      </c>
      <c r="F616" s="44">
        <v>35</v>
      </c>
      <c r="G616" s="43">
        <v>0</v>
      </c>
      <c r="H616" s="43">
        <v>0</v>
      </c>
      <c r="I616" s="44">
        <v>364512</v>
      </c>
      <c r="J616" s="43">
        <v>8.05</v>
      </c>
      <c r="K616" s="43"/>
      <c r="L616" s="43" t="s">
        <v>15</v>
      </c>
    </row>
    <row r="617" spans="1:12">
      <c r="A617" s="43">
        <v>616</v>
      </c>
      <c r="B617" s="43">
        <v>1</v>
      </c>
      <c r="C617" s="43">
        <v>2</v>
      </c>
      <c r="D617" s="43" t="s">
        <v>876</v>
      </c>
      <c r="E617" s="43" t="s">
        <v>17</v>
      </c>
      <c r="F617" s="44">
        <v>24</v>
      </c>
      <c r="G617" s="43">
        <v>1</v>
      </c>
      <c r="H617" s="43">
        <v>2</v>
      </c>
      <c r="I617" s="44">
        <v>220845</v>
      </c>
      <c r="J617" s="43">
        <v>65</v>
      </c>
      <c r="K617" s="43"/>
      <c r="L617" s="43" t="s">
        <v>15</v>
      </c>
    </row>
    <row r="618" spans="1:12">
      <c r="A618" s="43">
        <v>617</v>
      </c>
      <c r="B618" s="43">
        <v>0</v>
      </c>
      <c r="C618" s="43">
        <v>3</v>
      </c>
      <c r="D618" s="43" t="s">
        <v>877</v>
      </c>
      <c r="E618" s="43" t="s">
        <v>13</v>
      </c>
      <c r="F618" s="44">
        <v>34</v>
      </c>
      <c r="G618" s="43">
        <v>1</v>
      </c>
      <c r="H618" s="43">
        <v>1</v>
      </c>
      <c r="I618" s="44">
        <v>347080</v>
      </c>
      <c r="J618" s="43">
        <v>14.4</v>
      </c>
      <c r="K618" s="43"/>
      <c r="L618" s="43" t="s">
        <v>15</v>
      </c>
    </row>
    <row r="619" spans="1:12">
      <c r="A619" s="43">
        <v>618</v>
      </c>
      <c r="B619" s="43">
        <v>0</v>
      </c>
      <c r="C619" s="43">
        <v>3</v>
      </c>
      <c r="D619" s="43" t="s">
        <v>878</v>
      </c>
      <c r="E619" s="43" t="s">
        <v>17</v>
      </c>
      <c r="F619" s="44">
        <v>26</v>
      </c>
      <c r="G619" s="43">
        <v>1</v>
      </c>
      <c r="H619" s="43">
        <v>0</v>
      </c>
      <c r="I619" s="44" t="s">
        <v>385</v>
      </c>
      <c r="J619" s="43">
        <v>16.1</v>
      </c>
      <c r="K619" s="43"/>
      <c r="L619" s="43" t="s">
        <v>15</v>
      </c>
    </row>
    <row r="620" spans="1:12">
      <c r="A620" s="43">
        <v>619</v>
      </c>
      <c r="B620" s="43">
        <v>1</v>
      </c>
      <c r="C620" s="43">
        <v>2</v>
      </c>
      <c r="D620" s="43" t="s">
        <v>879</v>
      </c>
      <c r="E620" s="43" t="s">
        <v>17</v>
      </c>
      <c r="F620" s="44">
        <v>4</v>
      </c>
      <c r="G620" s="43">
        <v>2</v>
      </c>
      <c r="H620" s="43">
        <v>1</v>
      </c>
      <c r="I620" s="44">
        <v>230136</v>
      </c>
      <c r="J620" s="43">
        <v>39</v>
      </c>
      <c r="K620" s="43" t="s">
        <v>287</v>
      </c>
      <c r="L620" s="43" t="s">
        <v>15</v>
      </c>
    </row>
    <row r="621" spans="1:12">
      <c r="A621" s="43">
        <v>620</v>
      </c>
      <c r="B621" s="43">
        <v>0</v>
      </c>
      <c r="C621" s="43">
        <v>2</v>
      </c>
      <c r="D621" s="43" t="s">
        <v>880</v>
      </c>
      <c r="E621" s="43" t="s">
        <v>13</v>
      </c>
      <c r="F621" s="44">
        <v>26</v>
      </c>
      <c r="G621" s="43">
        <v>0</v>
      </c>
      <c r="H621" s="43">
        <v>0</v>
      </c>
      <c r="I621" s="44">
        <v>31028</v>
      </c>
      <c r="J621" s="43">
        <v>10.5</v>
      </c>
      <c r="K621" s="43"/>
      <c r="L621" s="43" t="s">
        <v>15</v>
      </c>
    </row>
    <row r="622" spans="1:12">
      <c r="A622" s="43">
        <v>621</v>
      </c>
      <c r="B622" s="43">
        <v>0</v>
      </c>
      <c r="C622" s="43">
        <v>3</v>
      </c>
      <c r="D622" s="43" t="s">
        <v>881</v>
      </c>
      <c r="E622" s="43" t="s">
        <v>13</v>
      </c>
      <c r="F622" s="44">
        <v>27</v>
      </c>
      <c r="G622" s="43">
        <v>1</v>
      </c>
      <c r="H622" s="43">
        <v>0</v>
      </c>
      <c r="I622" s="44">
        <v>2659</v>
      </c>
      <c r="J622" s="43">
        <v>14.4542</v>
      </c>
      <c r="K622" s="43"/>
      <c r="L622" s="43" t="s">
        <v>20</v>
      </c>
    </row>
    <row r="623" spans="1:12">
      <c r="A623" s="43">
        <v>622</v>
      </c>
      <c r="B623" s="43">
        <v>1</v>
      </c>
      <c r="C623" s="43">
        <v>1</v>
      </c>
      <c r="D623" s="43" t="s">
        <v>882</v>
      </c>
      <c r="E623" s="43" t="s">
        <v>13</v>
      </c>
      <c r="F623" s="44">
        <v>42</v>
      </c>
      <c r="G623" s="43">
        <v>1</v>
      </c>
      <c r="H623" s="43">
        <v>0</v>
      </c>
      <c r="I623" s="44">
        <v>11753</v>
      </c>
      <c r="J623" s="43">
        <v>52.5542</v>
      </c>
      <c r="K623" s="43" t="s">
        <v>883</v>
      </c>
      <c r="L623" s="43" t="s">
        <v>15</v>
      </c>
    </row>
    <row r="624" spans="1:12">
      <c r="A624" s="43">
        <v>623</v>
      </c>
      <c r="B624" s="43">
        <v>1</v>
      </c>
      <c r="C624" s="43">
        <v>3</v>
      </c>
      <c r="D624" s="43" t="s">
        <v>884</v>
      </c>
      <c r="E624" s="43" t="s">
        <v>13</v>
      </c>
      <c r="F624" s="44">
        <v>20</v>
      </c>
      <c r="G624" s="43">
        <v>1</v>
      </c>
      <c r="H624" s="43">
        <v>1</v>
      </c>
      <c r="I624" s="44">
        <v>2653</v>
      </c>
      <c r="J624" s="43">
        <v>15.7417</v>
      </c>
      <c r="K624" s="43"/>
      <c r="L624" s="43" t="s">
        <v>20</v>
      </c>
    </row>
    <row r="625" spans="1:12">
      <c r="A625" s="43">
        <v>624</v>
      </c>
      <c r="B625" s="43">
        <v>0</v>
      </c>
      <c r="C625" s="43">
        <v>3</v>
      </c>
      <c r="D625" s="43" t="s">
        <v>885</v>
      </c>
      <c r="E625" s="43" t="s">
        <v>13</v>
      </c>
      <c r="F625" s="44">
        <v>21</v>
      </c>
      <c r="G625" s="43">
        <v>0</v>
      </c>
      <c r="H625" s="43">
        <v>0</v>
      </c>
      <c r="I625" s="44">
        <v>350029</v>
      </c>
      <c r="J625" s="43">
        <v>7.8542</v>
      </c>
      <c r="K625" s="43"/>
      <c r="L625" s="43" t="s">
        <v>15</v>
      </c>
    </row>
    <row r="626" spans="1:12">
      <c r="A626" s="43">
        <v>625</v>
      </c>
      <c r="B626" s="43">
        <v>0</v>
      </c>
      <c r="C626" s="43">
        <v>3</v>
      </c>
      <c r="D626" s="43" t="s">
        <v>886</v>
      </c>
      <c r="E626" s="43" t="s">
        <v>13</v>
      </c>
      <c r="F626" s="44">
        <v>21</v>
      </c>
      <c r="G626" s="43">
        <v>0</v>
      </c>
      <c r="H626" s="43">
        <v>0</v>
      </c>
      <c r="I626" s="44">
        <v>54636</v>
      </c>
      <c r="J626" s="43">
        <v>16.1</v>
      </c>
      <c r="K626" s="43"/>
      <c r="L626" s="43" t="s">
        <v>15</v>
      </c>
    </row>
    <row r="627" spans="1:12">
      <c r="A627" s="43">
        <v>626</v>
      </c>
      <c r="B627" s="43">
        <v>0</v>
      </c>
      <c r="C627" s="43">
        <v>1</v>
      </c>
      <c r="D627" s="43" t="s">
        <v>887</v>
      </c>
      <c r="E627" s="43" t="s">
        <v>13</v>
      </c>
      <c r="F627" s="44">
        <v>61</v>
      </c>
      <c r="G627" s="43">
        <v>0</v>
      </c>
      <c r="H627" s="43">
        <v>0</v>
      </c>
      <c r="I627" s="44">
        <v>36963</v>
      </c>
      <c r="J627" s="43">
        <v>32.3208</v>
      </c>
      <c r="K627" s="43" t="s">
        <v>888</v>
      </c>
      <c r="L627" s="43" t="s">
        <v>15</v>
      </c>
    </row>
    <row r="628" spans="1:12">
      <c r="A628" s="43">
        <v>627</v>
      </c>
      <c r="B628" s="43">
        <v>0</v>
      </c>
      <c r="C628" s="43">
        <v>2</v>
      </c>
      <c r="D628" s="43" t="s">
        <v>889</v>
      </c>
      <c r="E628" s="43" t="s">
        <v>13</v>
      </c>
      <c r="F628" s="44">
        <v>57</v>
      </c>
      <c r="G628" s="43">
        <v>0</v>
      </c>
      <c r="H628" s="43">
        <v>0</v>
      </c>
      <c r="I628" s="44">
        <v>219533</v>
      </c>
      <c r="J628" s="43">
        <v>12.35</v>
      </c>
      <c r="K628" s="43"/>
      <c r="L628" s="43" t="s">
        <v>28</v>
      </c>
    </row>
    <row r="629" spans="1:12">
      <c r="A629" s="43">
        <v>628</v>
      </c>
      <c r="B629" s="43">
        <v>1</v>
      </c>
      <c r="C629" s="43">
        <v>1</v>
      </c>
      <c r="D629" s="43" t="s">
        <v>890</v>
      </c>
      <c r="E629" s="43" t="s">
        <v>17</v>
      </c>
      <c r="F629" s="44">
        <v>21</v>
      </c>
      <c r="G629" s="43">
        <v>0</v>
      </c>
      <c r="H629" s="43">
        <v>0</v>
      </c>
      <c r="I629" s="44">
        <v>13502</v>
      </c>
      <c r="J629" s="43">
        <v>77.9583</v>
      </c>
      <c r="K629" s="43" t="s">
        <v>891</v>
      </c>
      <c r="L629" s="43" t="s">
        <v>15</v>
      </c>
    </row>
    <row r="630" spans="1:12">
      <c r="A630" s="43">
        <v>629</v>
      </c>
      <c r="B630" s="43">
        <v>0</v>
      </c>
      <c r="C630" s="43">
        <v>3</v>
      </c>
      <c r="D630" s="43" t="s">
        <v>892</v>
      </c>
      <c r="E630" s="43" t="s">
        <v>13</v>
      </c>
      <c r="F630" s="44">
        <v>26</v>
      </c>
      <c r="G630" s="43">
        <v>0</v>
      </c>
      <c r="H630" s="43">
        <v>0</v>
      </c>
      <c r="I630" s="44">
        <v>349224</v>
      </c>
      <c r="J630" s="43">
        <v>7.8958</v>
      </c>
      <c r="K630" s="43"/>
      <c r="L630" s="43" t="s">
        <v>15</v>
      </c>
    </row>
    <row r="631" spans="1:12">
      <c r="A631" s="43">
        <v>630</v>
      </c>
      <c r="B631" s="43">
        <v>0</v>
      </c>
      <c r="C631" s="43">
        <v>3</v>
      </c>
      <c r="D631" s="43" t="s">
        <v>893</v>
      </c>
      <c r="E631" s="43" t="s">
        <v>13</v>
      </c>
      <c r="F631" s="44" t="s">
        <v>27</v>
      </c>
      <c r="G631" s="43">
        <v>0</v>
      </c>
      <c r="H631" s="43">
        <v>0</v>
      </c>
      <c r="I631" s="44">
        <v>334912</v>
      </c>
      <c r="J631" s="43">
        <v>7.7333</v>
      </c>
      <c r="K631" s="43"/>
      <c r="L631" s="43" t="s">
        <v>28</v>
      </c>
    </row>
    <row r="632" spans="1:12">
      <c r="A632" s="43">
        <v>631</v>
      </c>
      <c r="B632" s="43">
        <v>1</v>
      </c>
      <c r="C632" s="43">
        <v>1</v>
      </c>
      <c r="D632" s="43" t="s">
        <v>894</v>
      </c>
      <c r="E632" s="43" t="s">
        <v>13</v>
      </c>
      <c r="F632" s="44">
        <v>80</v>
      </c>
      <c r="G632" s="43">
        <v>0</v>
      </c>
      <c r="H632" s="43">
        <v>0</v>
      </c>
      <c r="I632" s="44">
        <v>27042</v>
      </c>
      <c r="J632" s="43">
        <v>30</v>
      </c>
      <c r="K632" s="43" t="s">
        <v>895</v>
      </c>
      <c r="L632" s="43" t="s">
        <v>15</v>
      </c>
    </row>
    <row r="633" spans="1:12">
      <c r="A633" s="43">
        <v>632</v>
      </c>
      <c r="B633" s="43">
        <v>0</v>
      </c>
      <c r="C633" s="43">
        <v>3</v>
      </c>
      <c r="D633" s="43" t="s">
        <v>896</v>
      </c>
      <c r="E633" s="43" t="s">
        <v>13</v>
      </c>
      <c r="F633" s="44">
        <v>51</v>
      </c>
      <c r="G633" s="43">
        <v>0</v>
      </c>
      <c r="H633" s="43">
        <v>0</v>
      </c>
      <c r="I633" s="44">
        <v>347743</v>
      </c>
      <c r="J633" s="43">
        <v>7.0542</v>
      </c>
      <c r="K633" s="43"/>
      <c r="L633" s="43" t="s">
        <v>15</v>
      </c>
    </row>
    <row r="634" spans="1:12">
      <c r="A634" s="43">
        <v>633</v>
      </c>
      <c r="B634" s="43">
        <v>1</v>
      </c>
      <c r="C634" s="43">
        <v>1</v>
      </c>
      <c r="D634" s="43" t="s">
        <v>897</v>
      </c>
      <c r="E634" s="43" t="s">
        <v>13</v>
      </c>
      <c r="F634" s="44">
        <v>32</v>
      </c>
      <c r="G634" s="43">
        <v>0</v>
      </c>
      <c r="H634" s="43">
        <v>0</v>
      </c>
      <c r="I634" s="44">
        <v>13214</v>
      </c>
      <c r="J634" s="43">
        <v>30.5</v>
      </c>
      <c r="K634" s="43" t="s">
        <v>898</v>
      </c>
      <c r="L634" s="43" t="s">
        <v>20</v>
      </c>
    </row>
    <row r="635" spans="1:12">
      <c r="A635" s="43">
        <v>634</v>
      </c>
      <c r="B635" s="43">
        <v>0</v>
      </c>
      <c r="C635" s="43">
        <v>1</v>
      </c>
      <c r="D635" s="43" t="s">
        <v>899</v>
      </c>
      <c r="E635" s="43" t="s">
        <v>13</v>
      </c>
      <c r="F635" s="44" t="s">
        <v>27</v>
      </c>
      <c r="G635" s="43">
        <v>0</v>
      </c>
      <c r="H635" s="43">
        <v>0</v>
      </c>
      <c r="I635" s="44">
        <v>112052</v>
      </c>
      <c r="J635" s="43">
        <v>0</v>
      </c>
      <c r="K635" s="43"/>
      <c r="L635" s="43" t="s">
        <v>15</v>
      </c>
    </row>
    <row r="636" spans="1:12">
      <c r="A636" s="43">
        <v>635</v>
      </c>
      <c r="B636" s="43">
        <v>0</v>
      </c>
      <c r="C636" s="43">
        <v>3</v>
      </c>
      <c r="D636" s="43" t="s">
        <v>900</v>
      </c>
      <c r="E636" s="43" t="s">
        <v>17</v>
      </c>
      <c r="F636" s="44">
        <v>9</v>
      </c>
      <c r="G636" s="43">
        <v>3</v>
      </c>
      <c r="H636" s="43">
        <v>2</v>
      </c>
      <c r="I636" s="44">
        <v>347088</v>
      </c>
      <c r="J636" s="43">
        <v>27.9</v>
      </c>
      <c r="K636" s="43"/>
      <c r="L636" s="43" t="s">
        <v>15</v>
      </c>
    </row>
    <row r="637" spans="1:12">
      <c r="A637" s="43">
        <v>636</v>
      </c>
      <c r="B637" s="43">
        <v>1</v>
      </c>
      <c r="C637" s="43">
        <v>2</v>
      </c>
      <c r="D637" s="43" t="s">
        <v>901</v>
      </c>
      <c r="E637" s="43" t="s">
        <v>17</v>
      </c>
      <c r="F637" s="44">
        <v>28</v>
      </c>
      <c r="G637" s="43">
        <v>0</v>
      </c>
      <c r="H637" s="43">
        <v>0</v>
      </c>
      <c r="I637" s="44">
        <v>237668</v>
      </c>
      <c r="J637" s="43">
        <v>13</v>
      </c>
      <c r="K637" s="43"/>
      <c r="L637" s="43" t="s">
        <v>15</v>
      </c>
    </row>
    <row r="638" spans="1:12">
      <c r="A638" s="43">
        <v>637</v>
      </c>
      <c r="B638" s="43">
        <v>0</v>
      </c>
      <c r="C638" s="43">
        <v>3</v>
      </c>
      <c r="D638" s="43" t="s">
        <v>902</v>
      </c>
      <c r="E638" s="43" t="s">
        <v>13</v>
      </c>
      <c r="F638" s="44">
        <v>32</v>
      </c>
      <c r="G638" s="43">
        <v>0</v>
      </c>
      <c r="H638" s="43">
        <v>0</v>
      </c>
      <c r="I638" s="44" t="s">
        <v>903</v>
      </c>
      <c r="J638" s="43">
        <v>7.925</v>
      </c>
      <c r="K638" s="43"/>
      <c r="L638" s="43" t="s">
        <v>15</v>
      </c>
    </row>
    <row r="639" spans="1:12">
      <c r="A639" s="43">
        <v>638</v>
      </c>
      <c r="B639" s="43">
        <v>0</v>
      </c>
      <c r="C639" s="43">
        <v>2</v>
      </c>
      <c r="D639" s="43" t="s">
        <v>904</v>
      </c>
      <c r="E639" s="43" t="s">
        <v>13</v>
      </c>
      <c r="F639" s="44">
        <v>31</v>
      </c>
      <c r="G639" s="43">
        <v>1</v>
      </c>
      <c r="H639" s="43">
        <v>1</v>
      </c>
      <c r="I639" s="44" t="s">
        <v>362</v>
      </c>
      <c r="J639" s="43">
        <v>26.25</v>
      </c>
      <c r="K639" s="43"/>
      <c r="L639" s="43" t="s">
        <v>15</v>
      </c>
    </row>
    <row r="640" spans="1:12">
      <c r="A640" s="43">
        <v>639</v>
      </c>
      <c r="B640" s="43">
        <v>0</v>
      </c>
      <c r="C640" s="43">
        <v>3</v>
      </c>
      <c r="D640" s="43" t="s">
        <v>905</v>
      </c>
      <c r="E640" s="43" t="s">
        <v>17</v>
      </c>
      <c r="F640" s="44">
        <v>41</v>
      </c>
      <c r="G640" s="43">
        <v>0</v>
      </c>
      <c r="H640" s="43">
        <v>5</v>
      </c>
      <c r="I640" s="44">
        <v>3101295</v>
      </c>
      <c r="J640" s="43">
        <v>39.6875</v>
      </c>
      <c r="K640" s="43"/>
      <c r="L640" s="43" t="s">
        <v>15</v>
      </c>
    </row>
    <row r="641" spans="1:12">
      <c r="A641" s="43">
        <v>640</v>
      </c>
      <c r="B641" s="43">
        <v>0</v>
      </c>
      <c r="C641" s="43">
        <v>3</v>
      </c>
      <c r="D641" s="43" t="s">
        <v>906</v>
      </c>
      <c r="E641" s="43" t="s">
        <v>13</v>
      </c>
      <c r="F641" s="44" t="s">
        <v>27</v>
      </c>
      <c r="G641" s="43">
        <v>1</v>
      </c>
      <c r="H641" s="43">
        <v>0</v>
      </c>
      <c r="I641" s="44">
        <v>376564</v>
      </c>
      <c r="J641" s="43">
        <v>16.1</v>
      </c>
      <c r="K641" s="43"/>
      <c r="L641" s="43" t="s">
        <v>15</v>
      </c>
    </row>
    <row r="642" spans="1:12">
      <c r="A642" s="43">
        <v>641</v>
      </c>
      <c r="B642" s="43">
        <v>0</v>
      </c>
      <c r="C642" s="43">
        <v>3</v>
      </c>
      <c r="D642" s="43" t="s">
        <v>907</v>
      </c>
      <c r="E642" s="43" t="s">
        <v>13</v>
      </c>
      <c r="F642" s="44">
        <v>20</v>
      </c>
      <c r="G642" s="43">
        <v>0</v>
      </c>
      <c r="H642" s="43">
        <v>0</v>
      </c>
      <c r="I642" s="44">
        <v>350050</v>
      </c>
      <c r="J642" s="43">
        <v>7.8542</v>
      </c>
      <c r="K642" s="43"/>
      <c r="L642" s="43" t="s">
        <v>15</v>
      </c>
    </row>
    <row r="643" spans="1:12">
      <c r="A643" s="43">
        <v>642</v>
      </c>
      <c r="B643" s="43">
        <v>1</v>
      </c>
      <c r="C643" s="43">
        <v>1</v>
      </c>
      <c r="D643" s="43" t="s">
        <v>908</v>
      </c>
      <c r="E643" s="43" t="s">
        <v>17</v>
      </c>
      <c r="F643" s="44">
        <v>24</v>
      </c>
      <c r="G643" s="43">
        <v>0</v>
      </c>
      <c r="H643" s="43">
        <v>0</v>
      </c>
      <c r="I643" s="44" t="s">
        <v>550</v>
      </c>
      <c r="J643" s="43">
        <v>69.3</v>
      </c>
      <c r="K643" s="43" t="s">
        <v>551</v>
      </c>
      <c r="L643" s="43" t="s">
        <v>20</v>
      </c>
    </row>
    <row r="644" spans="1:12">
      <c r="A644" s="43">
        <v>643</v>
      </c>
      <c r="B644" s="43">
        <v>0</v>
      </c>
      <c r="C644" s="43">
        <v>3</v>
      </c>
      <c r="D644" s="43" t="s">
        <v>909</v>
      </c>
      <c r="E644" s="43" t="s">
        <v>17</v>
      </c>
      <c r="F644" s="44">
        <v>2</v>
      </c>
      <c r="G644" s="43">
        <v>3</v>
      </c>
      <c r="H644" s="43">
        <v>2</v>
      </c>
      <c r="I644" s="44">
        <v>347088</v>
      </c>
      <c r="J644" s="43">
        <v>27.9</v>
      </c>
      <c r="K644" s="43"/>
      <c r="L644" s="43" t="s">
        <v>15</v>
      </c>
    </row>
    <row r="645" spans="1:12">
      <c r="A645" s="43">
        <v>644</v>
      </c>
      <c r="B645" s="43">
        <v>1</v>
      </c>
      <c r="C645" s="43">
        <v>3</v>
      </c>
      <c r="D645" s="43" t="s">
        <v>910</v>
      </c>
      <c r="E645" s="43" t="s">
        <v>13</v>
      </c>
      <c r="F645" s="44" t="s">
        <v>27</v>
      </c>
      <c r="G645" s="43">
        <v>0</v>
      </c>
      <c r="H645" s="43">
        <v>0</v>
      </c>
      <c r="I645" s="44">
        <v>1601</v>
      </c>
      <c r="J645" s="43">
        <v>56.4958</v>
      </c>
      <c r="K645" s="43"/>
      <c r="L645" s="43" t="s">
        <v>15</v>
      </c>
    </row>
    <row r="646" spans="1:12">
      <c r="A646" s="43">
        <v>645</v>
      </c>
      <c r="B646" s="43">
        <v>1</v>
      </c>
      <c r="C646" s="43">
        <v>3</v>
      </c>
      <c r="D646" s="43" t="s">
        <v>911</v>
      </c>
      <c r="E646" s="43" t="s">
        <v>17</v>
      </c>
      <c r="F646" s="44">
        <v>0.75</v>
      </c>
      <c r="G646" s="43">
        <v>2</v>
      </c>
      <c r="H646" s="43">
        <v>1</v>
      </c>
      <c r="I646" s="44">
        <v>2666</v>
      </c>
      <c r="J646" s="43">
        <v>19.2583</v>
      </c>
      <c r="K646" s="43"/>
      <c r="L646" s="43" t="s">
        <v>20</v>
      </c>
    </row>
    <row r="647" spans="1:12">
      <c r="A647" s="43">
        <v>646</v>
      </c>
      <c r="B647" s="43">
        <v>1</v>
      </c>
      <c r="C647" s="43">
        <v>1</v>
      </c>
      <c r="D647" s="43" t="s">
        <v>912</v>
      </c>
      <c r="E647" s="43" t="s">
        <v>13</v>
      </c>
      <c r="F647" s="44">
        <v>48</v>
      </c>
      <c r="G647" s="43">
        <v>1</v>
      </c>
      <c r="H647" s="43">
        <v>0</v>
      </c>
      <c r="I647" s="44" t="s">
        <v>93</v>
      </c>
      <c r="J647" s="43">
        <v>76.7292</v>
      </c>
      <c r="K647" s="43" t="s">
        <v>94</v>
      </c>
      <c r="L647" s="43" t="s">
        <v>20</v>
      </c>
    </row>
    <row r="648" spans="1:12">
      <c r="A648" s="43">
        <v>647</v>
      </c>
      <c r="B648" s="43">
        <v>0</v>
      </c>
      <c r="C648" s="43">
        <v>3</v>
      </c>
      <c r="D648" s="43" t="s">
        <v>913</v>
      </c>
      <c r="E648" s="43" t="s">
        <v>13</v>
      </c>
      <c r="F648" s="44">
        <v>19</v>
      </c>
      <c r="G648" s="43">
        <v>0</v>
      </c>
      <c r="H648" s="43">
        <v>0</v>
      </c>
      <c r="I648" s="44">
        <v>349231</v>
      </c>
      <c r="J648" s="43">
        <v>7.8958</v>
      </c>
      <c r="K648" s="43"/>
      <c r="L648" s="43" t="s">
        <v>15</v>
      </c>
    </row>
    <row r="649" spans="1:12">
      <c r="A649" s="43">
        <v>648</v>
      </c>
      <c r="B649" s="43">
        <v>1</v>
      </c>
      <c r="C649" s="43">
        <v>1</v>
      </c>
      <c r="D649" s="43" t="s">
        <v>914</v>
      </c>
      <c r="E649" s="43" t="s">
        <v>13</v>
      </c>
      <c r="F649" s="44">
        <v>56</v>
      </c>
      <c r="G649" s="43">
        <v>0</v>
      </c>
      <c r="H649" s="43">
        <v>0</v>
      </c>
      <c r="I649" s="44">
        <v>13213</v>
      </c>
      <c r="J649" s="43">
        <v>35.5</v>
      </c>
      <c r="K649" s="43" t="s">
        <v>915</v>
      </c>
      <c r="L649" s="43" t="s">
        <v>20</v>
      </c>
    </row>
    <row r="650" spans="1:12">
      <c r="A650" s="43">
        <v>649</v>
      </c>
      <c r="B650" s="43">
        <v>0</v>
      </c>
      <c r="C650" s="43">
        <v>3</v>
      </c>
      <c r="D650" s="43" t="s">
        <v>916</v>
      </c>
      <c r="E650" s="43" t="s">
        <v>13</v>
      </c>
      <c r="F650" s="44" t="s">
        <v>27</v>
      </c>
      <c r="G650" s="43">
        <v>0</v>
      </c>
      <c r="H650" s="43">
        <v>0</v>
      </c>
      <c r="I650" s="44" t="s">
        <v>917</v>
      </c>
      <c r="J650" s="43">
        <v>7.55</v>
      </c>
      <c r="K650" s="43"/>
      <c r="L650" s="43" t="s">
        <v>15</v>
      </c>
    </row>
    <row r="651" spans="1:12">
      <c r="A651" s="43">
        <v>650</v>
      </c>
      <c r="B651" s="43">
        <v>1</v>
      </c>
      <c r="C651" s="43">
        <v>3</v>
      </c>
      <c r="D651" s="43" t="s">
        <v>918</v>
      </c>
      <c r="E651" s="43" t="s">
        <v>17</v>
      </c>
      <c r="F651" s="44">
        <v>23</v>
      </c>
      <c r="G651" s="43">
        <v>0</v>
      </c>
      <c r="H651" s="43">
        <v>0</v>
      </c>
      <c r="I651" s="44" t="s">
        <v>919</v>
      </c>
      <c r="J651" s="43">
        <v>7.55</v>
      </c>
      <c r="K651" s="43"/>
      <c r="L651" s="43" t="s">
        <v>15</v>
      </c>
    </row>
    <row r="652" spans="1:12">
      <c r="A652" s="43">
        <v>651</v>
      </c>
      <c r="B652" s="43">
        <v>0</v>
      </c>
      <c r="C652" s="43">
        <v>3</v>
      </c>
      <c r="D652" s="43" t="s">
        <v>920</v>
      </c>
      <c r="E652" s="43" t="s">
        <v>13</v>
      </c>
      <c r="F652" s="44" t="s">
        <v>27</v>
      </c>
      <c r="G652" s="43">
        <v>0</v>
      </c>
      <c r="H652" s="43">
        <v>0</v>
      </c>
      <c r="I652" s="44">
        <v>349221</v>
      </c>
      <c r="J652" s="43">
        <v>7.8958</v>
      </c>
      <c r="K652" s="43"/>
      <c r="L652" s="43" t="s">
        <v>15</v>
      </c>
    </row>
    <row r="653" spans="1:12">
      <c r="A653" s="43">
        <v>652</v>
      </c>
      <c r="B653" s="43">
        <v>1</v>
      </c>
      <c r="C653" s="43">
        <v>2</v>
      </c>
      <c r="D653" s="43" t="s">
        <v>921</v>
      </c>
      <c r="E653" s="43" t="s">
        <v>17</v>
      </c>
      <c r="F653" s="44">
        <v>18</v>
      </c>
      <c r="G653" s="43">
        <v>0</v>
      </c>
      <c r="H653" s="43">
        <v>1</v>
      </c>
      <c r="I653" s="44">
        <v>231919</v>
      </c>
      <c r="J653" s="43">
        <v>23</v>
      </c>
      <c r="K653" s="43"/>
      <c r="L653" s="43" t="s">
        <v>15</v>
      </c>
    </row>
    <row r="654" spans="1:12">
      <c r="A654" s="43">
        <v>653</v>
      </c>
      <c r="B654" s="43">
        <v>0</v>
      </c>
      <c r="C654" s="43">
        <v>3</v>
      </c>
      <c r="D654" s="43" t="s">
        <v>922</v>
      </c>
      <c r="E654" s="43" t="s">
        <v>13</v>
      </c>
      <c r="F654" s="44">
        <v>21</v>
      </c>
      <c r="G654" s="43">
        <v>0</v>
      </c>
      <c r="H654" s="43">
        <v>0</v>
      </c>
      <c r="I654" s="44">
        <v>8475</v>
      </c>
      <c r="J654" s="43">
        <v>8.4333</v>
      </c>
      <c r="K654" s="43"/>
      <c r="L654" s="43" t="s">
        <v>15</v>
      </c>
    </row>
    <row r="655" spans="1:12">
      <c r="A655" s="43">
        <v>654</v>
      </c>
      <c r="B655" s="43">
        <v>1</v>
      </c>
      <c r="C655" s="43">
        <v>3</v>
      </c>
      <c r="D655" s="43" t="s">
        <v>923</v>
      </c>
      <c r="E655" s="43" t="s">
        <v>17</v>
      </c>
      <c r="F655" s="44" t="s">
        <v>27</v>
      </c>
      <c r="G655" s="43">
        <v>0</v>
      </c>
      <c r="H655" s="43">
        <v>0</v>
      </c>
      <c r="I655" s="44">
        <v>330919</v>
      </c>
      <c r="J655" s="43">
        <v>7.8292</v>
      </c>
      <c r="K655" s="43"/>
      <c r="L655" s="43" t="s">
        <v>28</v>
      </c>
    </row>
    <row r="656" spans="1:12">
      <c r="A656" s="43">
        <v>655</v>
      </c>
      <c r="B656" s="43">
        <v>0</v>
      </c>
      <c r="C656" s="43">
        <v>3</v>
      </c>
      <c r="D656" s="43" t="s">
        <v>924</v>
      </c>
      <c r="E656" s="43" t="s">
        <v>17</v>
      </c>
      <c r="F656" s="44">
        <v>18</v>
      </c>
      <c r="G656" s="43">
        <v>0</v>
      </c>
      <c r="H656" s="43">
        <v>0</v>
      </c>
      <c r="I656" s="44">
        <v>365226</v>
      </c>
      <c r="J656" s="43">
        <v>6.75</v>
      </c>
      <c r="K656" s="43"/>
      <c r="L656" s="43" t="s">
        <v>28</v>
      </c>
    </row>
    <row r="657" spans="1:12">
      <c r="A657" s="43">
        <v>656</v>
      </c>
      <c r="B657" s="43">
        <v>0</v>
      </c>
      <c r="C657" s="43">
        <v>2</v>
      </c>
      <c r="D657" s="43" t="s">
        <v>925</v>
      </c>
      <c r="E657" s="43" t="s">
        <v>13</v>
      </c>
      <c r="F657" s="44">
        <v>24</v>
      </c>
      <c r="G657" s="43">
        <v>2</v>
      </c>
      <c r="H657" s="43">
        <v>0</v>
      </c>
      <c r="I657" s="44" t="s">
        <v>127</v>
      </c>
      <c r="J657" s="43">
        <v>73.5</v>
      </c>
      <c r="K657" s="43"/>
      <c r="L657" s="43" t="s">
        <v>15</v>
      </c>
    </row>
    <row r="658" spans="1:12">
      <c r="A658" s="43">
        <v>657</v>
      </c>
      <c r="B658" s="43">
        <v>0</v>
      </c>
      <c r="C658" s="43">
        <v>3</v>
      </c>
      <c r="D658" s="43" t="s">
        <v>926</v>
      </c>
      <c r="E658" s="43" t="s">
        <v>13</v>
      </c>
      <c r="F658" s="44" t="s">
        <v>27</v>
      </c>
      <c r="G658" s="43">
        <v>0</v>
      </c>
      <c r="H658" s="43">
        <v>0</v>
      </c>
      <c r="I658" s="44">
        <v>349223</v>
      </c>
      <c r="J658" s="43">
        <v>7.8958</v>
      </c>
      <c r="K658" s="43"/>
      <c r="L658" s="43" t="s">
        <v>15</v>
      </c>
    </row>
    <row r="659" spans="1:12">
      <c r="A659" s="43">
        <v>658</v>
      </c>
      <c r="B659" s="43">
        <v>0</v>
      </c>
      <c r="C659" s="43">
        <v>3</v>
      </c>
      <c r="D659" s="43" t="s">
        <v>927</v>
      </c>
      <c r="E659" s="43" t="s">
        <v>17</v>
      </c>
      <c r="F659" s="44">
        <v>32</v>
      </c>
      <c r="G659" s="43">
        <v>1</v>
      </c>
      <c r="H659" s="43">
        <v>1</v>
      </c>
      <c r="I659" s="44">
        <v>364849</v>
      </c>
      <c r="J659" s="43">
        <v>15.5</v>
      </c>
      <c r="K659" s="43"/>
      <c r="L659" s="43" t="s">
        <v>28</v>
      </c>
    </row>
    <row r="660" spans="1:12">
      <c r="A660" s="43">
        <v>659</v>
      </c>
      <c r="B660" s="43">
        <v>0</v>
      </c>
      <c r="C660" s="43">
        <v>2</v>
      </c>
      <c r="D660" s="43" t="s">
        <v>928</v>
      </c>
      <c r="E660" s="43" t="s">
        <v>13</v>
      </c>
      <c r="F660" s="44">
        <v>23</v>
      </c>
      <c r="G660" s="43">
        <v>0</v>
      </c>
      <c r="H660" s="43">
        <v>0</v>
      </c>
      <c r="I660" s="44">
        <v>29751</v>
      </c>
      <c r="J660" s="43">
        <v>13</v>
      </c>
      <c r="K660" s="43"/>
      <c r="L660" s="43" t="s">
        <v>15</v>
      </c>
    </row>
    <row r="661" spans="1:12">
      <c r="A661" s="43">
        <v>660</v>
      </c>
      <c r="B661" s="43">
        <v>0</v>
      </c>
      <c r="C661" s="43">
        <v>1</v>
      </c>
      <c r="D661" s="43" t="s">
        <v>929</v>
      </c>
      <c r="E661" s="43" t="s">
        <v>13</v>
      </c>
      <c r="F661" s="44">
        <v>58</v>
      </c>
      <c r="G661" s="43">
        <v>0</v>
      </c>
      <c r="H661" s="43">
        <v>2</v>
      </c>
      <c r="I661" s="44">
        <v>35273</v>
      </c>
      <c r="J661" s="43">
        <v>113.275</v>
      </c>
      <c r="K661" s="43" t="s">
        <v>930</v>
      </c>
      <c r="L661" s="43" t="s">
        <v>20</v>
      </c>
    </row>
    <row r="662" spans="1:12">
      <c r="A662" s="43">
        <v>661</v>
      </c>
      <c r="B662" s="43">
        <v>1</v>
      </c>
      <c r="C662" s="43">
        <v>1</v>
      </c>
      <c r="D662" s="43" t="s">
        <v>931</v>
      </c>
      <c r="E662" s="43" t="s">
        <v>13</v>
      </c>
      <c r="F662" s="44">
        <v>50</v>
      </c>
      <c r="G662" s="43">
        <v>2</v>
      </c>
      <c r="H662" s="43">
        <v>0</v>
      </c>
      <c r="I662" s="44" t="s">
        <v>506</v>
      </c>
      <c r="J662" s="43">
        <v>133.65</v>
      </c>
      <c r="K662" s="43"/>
      <c r="L662" s="43" t="s">
        <v>15</v>
      </c>
    </row>
    <row r="663" spans="1:12">
      <c r="A663" s="43">
        <v>662</v>
      </c>
      <c r="B663" s="43">
        <v>0</v>
      </c>
      <c r="C663" s="43">
        <v>3</v>
      </c>
      <c r="D663" s="43" t="s">
        <v>932</v>
      </c>
      <c r="E663" s="43" t="s">
        <v>13</v>
      </c>
      <c r="F663" s="44">
        <v>40</v>
      </c>
      <c r="G663" s="43">
        <v>0</v>
      </c>
      <c r="H663" s="43">
        <v>0</v>
      </c>
      <c r="I663" s="44">
        <v>2623</v>
      </c>
      <c r="J663" s="43">
        <v>7.225</v>
      </c>
      <c r="K663" s="43"/>
      <c r="L663" s="43" t="s">
        <v>20</v>
      </c>
    </row>
    <row r="664" spans="1:12">
      <c r="A664" s="43">
        <v>663</v>
      </c>
      <c r="B664" s="43">
        <v>0</v>
      </c>
      <c r="C664" s="43">
        <v>1</v>
      </c>
      <c r="D664" s="43" t="s">
        <v>933</v>
      </c>
      <c r="E664" s="43" t="s">
        <v>13</v>
      </c>
      <c r="F664" s="44">
        <v>47</v>
      </c>
      <c r="G664" s="43">
        <v>0</v>
      </c>
      <c r="H664" s="43">
        <v>0</v>
      </c>
      <c r="I664" s="44">
        <v>5727</v>
      </c>
      <c r="J664" s="43">
        <v>25.5875</v>
      </c>
      <c r="K664" s="43" t="s">
        <v>934</v>
      </c>
      <c r="L664" s="43" t="s">
        <v>15</v>
      </c>
    </row>
    <row r="665" spans="1:12">
      <c r="A665" s="43">
        <v>664</v>
      </c>
      <c r="B665" s="43">
        <v>0</v>
      </c>
      <c r="C665" s="43">
        <v>3</v>
      </c>
      <c r="D665" s="43" t="s">
        <v>935</v>
      </c>
      <c r="E665" s="43" t="s">
        <v>13</v>
      </c>
      <c r="F665" s="44">
        <v>36</v>
      </c>
      <c r="G665" s="43">
        <v>0</v>
      </c>
      <c r="H665" s="43">
        <v>0</v>
      </c>
      <c r="I665" s="44">
        <v>349210</v>
      </c>
      <c r="J665" s="43">
        <v>7.4958</v>
      </c>
      <c r="K665" s="43"/>
      <c r="L665" s="43" t="s">
        <v>15</v>
      </c>
    </row>
    <row r="666" spans="1:12">
      <c r="A666" s="43">
        <v>665</v>
      </c>
      <c r="B666" s="43">
        <v>1</v>
      </c>
      <c r="C666" s="43">
        <v>3</v>
      </c>
      <c r="D666" s="43" t="s">
        <v>936</v>
      </c>
      <c r="E666" s="43" t="s">
        <v>13</v>
      </c>
      <c r="F666" s="44">
        <v>20</v>
      </c>
      <c r="G666" s="43">
        <v>1</v>
      </c>
      <c r="H666" s="43">
        <v>0</v>
      </c>
      <c r="I666" s="44" t="s">
        <v>937</v>
      </c>
      <c r="J666" s="43">
        <v>7.925</v>
      </c>
      <c r="K666" s="43"/>
      <c r="L666" s="43" t="s">
        <v>15</v>
      </c>
    </row>
    <row r="667" spans="1:12">
      <c r="A667" s="43">
        <v>666</v>
      </c>
      <c r="B667" s="43">
        <v>0</v>
      </c>
      <c r="C667" s="43">
        <v>2</v>
      </c>
      <c r="D667" s="43" t="s">
        <v>938</v>
      </c>
      <c r="E667" s="43" t="s">
        <v>13</v>
      </c>
      <c r="F667" s="44">
        <v>32</v>
      </c>
      <c r="G667" s="43">
        <v>2</v>
      </c>
      <c r="H667" s="43">
        <v>0</v>
      </c>
      <c r="I667" s="44" t="s">
        <v>127</v>
      </c>
      <c r="J667" s="43">
        <v>73.5</v>
      </c>
      <c r="K667" s="43"/>
      <c r="L667" s="43" t="s">
        <v>15</v>
      </c>
    </row>
    <row r="668" spans="1:12">
      <c r="A668" s="43">
        <v>667</v>
      </c>
      <c r="B668" s="43">
        <v>0</v>
      </c>
      <c r="C668" s="43">
        <v>2</v>
      </c>
      <c r="D668" s="43" t="s">
        <v>939</v>
      </c>
      <c r="E668" s="43" t="s">
        <v>13</v>
      </c>
      <c r="F668" s="44">
        <v>25</v>
      </c>
      <c r="G668" s="43">
        <v>0</v>
      </c>
      <c r="H668" s="43">
        <v>0</v>
      </c>
      <c r="I668" s="44">
        <v>234686</v>
      </c>
      <c r="J668" s="43">
        <v>13</v>
      </c>
      <c r="K668" s="43"/>
      <c r="L668" s="43" t="s">
        <v>15</v>
      </c>
    </row>
    <row r="669" spans="1:12">
      <c r="A669" s="43">
        <v>668</v>
      </c>
      <c r="B669" s="43">
        <v>0</v>
      </c>
      <c r="C669" s="43">
        <v>3</v>
      </c>
      <c r="D669" s="43" t="s">
        <v>940</v>
      </c>
      <c r="E669" s="43" t="s">
        <v>13</v>
      </c>
      <c r="F669" s="44" t="s">
        <v>27</v>
      </c>
      <c r="G669" s="43">
        <v>0</v>
      </c>
      <c r="H669" s="43">
        <v>0</v>
      </c>
      <c r="I669" s="44">
        <v>312993</v>
      </c>
      <c r="J669" s="43">
        <v>7.775</v>
      </c>
      <c r="K669" s="43"/>
      <c r="L669" s="43" t="s">
        <v>15</v>
      </c>
    </row>
    <row r="670" spans="1:12">
      <c r="A670" s="43">
        <v>669</v>
      </c>
      <c r="B670" s="43">
        <v>0</v>
      </c>
      <c r="C670" s="43">
        <v>3</v>
      </c>
      <c r="D670" s="43" t="s">
        <v>941</v>
      </c>
      <c r="E670" s="43" t="s">
        <v>13</v>
      </c>
      <c r="F670" s="44">
        <v>43</v>
      </c>
      <c r="G670" s="43">
        <v>0</v>
      </c>
      <c r="H670" s="43">
        <v>0</v>
      </c>
      <c r="I670" s="44" t="s">
        <v>942</v>
      </c>
      <c r="J670" s="43">
        <v>8.05</v>
      </c>
      <c r="K670" s="43"/>
      <c r="L670" s="43" t="s">
        <v>15</v>
      </c>
    </row>
    <row r="671" spans="1:12">
      <c r="A671" s="43">
        <v>670</v>
      </c>
      <c r="B671" s="43">
        <v>1</v>
      </c>
      <c r="C671" s="43">
        <v>1</v>
      </c>
      <c r="D671" s="43" t="s">
        <v>943</v>
      </c>
      <c r="E671" s="43" t="s">
        <v>17</v>
      </c>
      <c r="F671" s="44" t="s">
        <v>27</v>
      </c>
      <c r="G671" s="43">
        <v>1</v>
      </c>
      <c r="H671" s="43">
        <v>0</v>
      </c>
      <c r="I671" s="44">
        <v>19996</v>
      </c>
      <c r="J671" s="43">
        <v>52</v>
      </c>
      <c r="K671" s="43" t="s">
        <v>944</v>
      </c>
      <c r="L671" s="43" t="s">
        <v>15</v>
      </c>
    </row>
    <row r="672" spans="1:12">
      <c r="A672" s="43">
        <v>671</v>
      </c>
      <c r="B672" s="43">
        <v>1</v>
      </c>
      <c r="C672" s="43">
        <v>2</v>
      </c>
      <c r="D672" s="43" t="s">
        <v>945</v>
      </c>
      <c r="E672" s="43" t="s">
        <v>17</v>
      </c>
      <c r="F672" s="44">
        <v>40</v>
      </c>
      <c r="G672" s="43">
        <v>1</v>
      </c>
      <c r="H672" s="43">
        <v>1</v>
      </c>
      <c r="I672" s="44">
        <v>29750</v>
      </c>
      <c r="J672" s="43">
        <v>39</v>
      </c>
      <c r="K672" s="43"/>
      <c r="L672" s="43" t="s">
        <v>15</v>
      </c>
    </row>
    <row r="673" spans="1:12">
      <c r="A673" s="43">
        <v>672</v>
      </c>
      <c r="B673" s="43">
        <v>0</v>
      </c>
      <c r="C673" s="43">
        <v>1</v>
      </c>
      <c r="D673" s="43" t="s">
        <v>946</v>
      </c>
      <c r="E673" s="43" t="s">
        <v>13</v>
      </c>
      <c r="F673" s="44">
        <v>31</v>
      </c>
      <c r="G673" s="43">
        <v>1</v>
      </c>
      <c r="H673" s="43">
        <v>0</v>
      </c>
      <c r="I673" s="44" t="s">
        <v>947</v>
      </c>
      <c r="J673" s="43">
        <v>52</v>
      </c>
      <c r="K673" s="43" t="s">
        <v>948</v>
      </c>
      <c r="L673" s="43" t="s">
        <v>15</v>
      </c>
    </row>
    <row r="674" spans="1:12">
      <c r="A674" s="43">
        <v>673</v>
      </c>
      <c r="B674" s="43">
        <v>0</v>
      </c>
      <c r="C674" s="43">
        <v>2</v>
      </c>
      <c r="D674" s="43" t="s">
        <v>949</v>
      </c>
      <c r="E674" s="43" t="s">
        <v>13</v>
      </c>
      <c r="F674" s="44">
        <v>70</v>
      </c>
      <c r="G674" s="43">
        <v>0</v>
      </c>
      <c r="H674" s="43">
        <v>0</v>
      </c>
      <c r="I674" s="44" t="s">
        <v>950</v>
      </c>
      <c r="J674" s="43">
        <v>10.5</v>
      </c>
      <c r="K674" s="43"/>
      <c r="L674" s="43" t="s">
        <v>15</v>
      </c>
    </row>
    <row r="675" spans="1:12">
      <c r="A675" s="43">
        <v>674</v>
      </c>
      <c r="B675" s="43">
        <v>1</v>
      </c>
      <c r="C675" s="43">
        <v>2</v>
      </c>
      <c r="D675" s="43" t="s">
        <v>951</v>
      </c>
      <c r="E675" s="43" t="s">
        <v>13</v>
      </c>
      <c r="F675" s="44">
        <v>31</v>
      </c>
      <c r="G675" s="43">
        <v>0</v>
      </c>
      <c r="H675" s="43">
        <v>0</v>
      </c>
      <c r="I675" s="44">
        <v>244270</v>
      </c>
      <c r="J675" s="43">
        <v>13</v>
      </c>
      <c r="K675" s="43"/>
      <c r="L675" s="43" t="s">
        <v>15</v>
      </c>
    </row>
    <row r="676" spans="1:12">
      <c r="A676" s="43">
        <v>675</v>
      </c>
      <c r="B676" s="43">
        <v>0</v>
      </c>
      <c r="C676" s="43">
        <v>2</v>
      </c>
      <c r="D676" s="43" t="s">
        <v>952</v>
      </c>
      <c r="E676" s="43" t="s">
        <v>13</v>
      </c>
      <c r="F676" s="44" t="s">
        <v>27</v>
      </c>
      <c r="G676" s="43">
        <v>0</v>
      </c>
      <c r="H676" s="43">
        <v>0</v>
      </c>
      <c r="I676" s="44">
        <v>239856</v>
      </c>
      <c r="J676" s="43">
        <v>0</v>
      </c>
      <c r="K676" s="43"/>
      <c r="L676" s="43" t="s">
        <v>15</v>
      </c>
    </row>
    <row r="677" spans="1:12">
      <c r="A677" s="43">
        <v>676</v>
      </c>
      <c r="B677" s="43">
        <v>0</v>
      </c>
      <c r="C677" s="43">
        <v>3</v>
      </c>
      <c r="D677" s="43" t="s">
        <v>953</v>
      </c>
      <c r="E677" s="43" t="s">
        <v>13</v>
      </c>
      <c r="F677" s="44">
        <v>18</v>
      </c>
      <c r="G677" s="43">
        <v>0</v>
      </c>
      <c r="H677" s="43">
        <v>0</v>
      </c>
      <c r="I677" s="44">
        <v>349912</v>
      </c>
      <c r="J677" s="43">
        <v>7.775</v>
      </c>
      <c r="K677" s="43"/>
      <c r="L677" s="43" t="s">
        <v>15</v>
      </c>
    </row>
    <row r="678" spans="1:12">
      <c r="A678" s="43">
        <v>677</v>
      </c>
      <c r="B678" s="43">
        <v>0</v>
      </c>
      <c r="C678" s="43">
        <v>3</v>
      </c>
      <c r="D678" s="43" t="s">
        <v>954</v>
      </c>
      <c r="E678" s="43" t="s">
        <v>13</v>
      </c>
      <c r="F678" s="44">
        <v>24.5</v>
      </c>
      <c r="G678" s="43">
        <v>0</v>
      </c>
      <c r="H678" s="43">
        <v>0</v>
      </c>
      <c r="I678" s="44">
        <v>342826</v>
      </c>
      <c r="J678" s="43">
        <v>8.05</v>
      </c>
      <c r="K678" s="43"/>
      <c r="L678" s="43" t="s">
        <v>15</v>
      </c>
    </row>
    <row r="679" spans="1:12">
      <c r="A679" s="43">
        <v>678</v>
      </c>
      <c r="B679" s="43">
        <v>1</v>
      </c>
      <c r="C679" s="43">
        <v>3</v>
      </c>
      <c r="D679" s="43" t="s">
        <v>955</v>
      </c>
      <c r="E679" s="43" t="s">
        <v>17</v>
      </c>
      <c r="F679" s="44">
        <v>18</v>
      </c>
      <c r="G679" s="43">
        <v>0</v>
      </c>
      <c r="H679" s="43">
        <v>0</v>
      </c>
      <c r="I679" s="44">
        <v>4138</v>
      </c>
      <c r="J679" s="43">
        <v>9.8417</v>
      </c>
      <c r="K679" s="43"/>
      <c r="L679" s="43" t="s">
        <v>15</v>
      </c>
    </row>
    <row r="680" spans="1:12">
      <c r="A680" s="43">
        <v>679</v>
      </c>
      <c r="B680" s="43">
        <v>0</v>
      </c>
      <c r="C680" s="43">
        <v>3</v>
      </c>
      <c r="D680" s="43" t="s">
        <v>956</v>
      </c>
      <c r="E680" s="43" t="s">
        <v>17</v>
      </c>
      <c r="F680" s="44">
        <v>43</v>
      </c>
      <c r="G680" s="43">
        <v>1</v>
      </c>
      <c r="H680" s="43">
        <v>6</v>
      </c>
      <c r="I680" s="44" t="s">
        <v>106</v>
      </c>
      <c r="J680" s="43">
        <v>46.9</v>
      </c>
      <c r="K680" s="43"/>
      <c r="L680" s="43" t="s">
        <v>15</v>
      </c>
    </row>
    <row r="681" spans="1:12">
      <c r="A681" s="43">
        <v>680</v>
      </c>
      <c r="B681" s="43">
        <v>1</v>
      </c>
      <c r="C681" s="43">
        <v>1</v>
      </c>
      <c r="D681" s="43" t="s">
        <v>957</v>
      </c>
      <c r="E681" s="43" t="s">
        <v>13</v>
      </c>
      <c r="F681" s="44">
        <v>36</v>
      </c>
      <c r="G681" s="43">
        <v>0</v>
      </c>
      <c r="H681" s="43">
        <v>1</v>
      </c>
      <c r="I681" s="44" t="s">
        <v>393</v>
      </c>
      <c r="J681" s="43">
        <v>512.3292</v>
      </c>
      <c r="K681" s="43" t="s">
        <v>958</v>
      </c>
      <c r="L681" s="43" t="s">
        <v>20</v>
      </c>
    </row>
    <row r="682" spans="1:12">
      <c r="A682" s="43">
        <v>681</v>
      </c>
      <c r="B682" s="43">
        <v>0</v>
      </c>
      <c r="C682" s="43">
        <v>3</v>
      </c>
      <c r="D682" s="43" t="s">
        <v>959</v>
      </c>
      <c r="E682" s="43" t="s">
        <v>17</v>
      </c>
      <c r="F682" s="44" t="s">
        <v>27</v>
      </c>
      <c r="G682" s="43">
        <v>0</v>
      </c>
      <c r="H682" s="43">
        <v>0</v>
      </c>
      <c r="I682" s="44">
        <v>330935</v>
      </c>
      <c r="J682" s="43">
        <v>8.1375</v>
      </c>
      <c r="K682" s="43"/>
      <c r="L682" s="43" t="s">
        <v>28</v>
      </c>
    </row>
    <row r="683" spans="1:12">
      <c r="A683" s="43">
        <v>682</v>
      </c>
      <c r="B683" s="43">
        <v>1</v>
      </c>
      <c r="C683" s="43">
        <v>1</v>
      </c>
      <c r="D683" s="43" t="s">
        <v>960</v>
      </c>
      <c r="E683" s="43" t="s">
        <v>13</v>
      </c>
      <c r="F683" s="44">
        <v>27</v>
      </c>
      <c r="G683" s="43">
        <v>0</v>
      </c>
      <c r="H683" s="43">
        <v>0</v>
      </c>
      <c r="I683" s="44" t="s">
        <v>93</v>
      </c>
      <c r="J683" s="43">
        <v>76.7292</v>
      </c>
      <c r="K683" s="43" t="s">
        <v>961</v>
      </c>
      <c r="L683" s="43" t="s">
        <v>20</v>
      </c>
    </row>
    <row r="684" spans="1:12">
      <c r="A684" s="43">
        <v>683</v>
      </c>
      <c r="B684" s="43">
        <v>0</v>
      </c>
      <c r="C684" s="43">
        <v>3</v>
      </c>
      <c r="D684" s="43" t="s">
        <v>962</v>
      </c>
      <c r="E684" s="43" t="s">
        <v>13</v>
      </c>
      <c r="F684" s="44">
        <v>20</v>
      </c>
      <c r="G684" s="43">
        <v>0</v>
      </c>
      <c r="H684" s="43">
        <v>0</v>
      </c>
      <c r="I684" s="44">
        <v>6563</v>
      </c>
      <c r="J684" s="43">
        <v>9.225</v>
      </c>
      <c r="K684" s="43"/>
      <c r="L684" s="43" t="s">
        <v>15</v>
      </c>
    </row>
    <row r="685" spans="1:12">
      <c r="A685" s="43">
        <v>684</v>
      </c>
      <c r="B685" s="43">
        <v>0</v>
      </c>
      <c r="C685" s="43">
        <v>3</v>
      </c>
      <c r="D685" s="43" t="s">
        <v>963</v>
      </c>
      <c r="E685" s="43" t="s">
        <v>13</v>
      </c>
      <c r="F685" s="44">
        <v>14</v>
      </c>
      <c r="G685" s="43">
        <v>5</v>
      </c>
      <c r="H685" s="43">
        <v>2</v>
      </c>
      <c r="I685" s="44" t="s">
        <v>106</v>
      </c>
      <c r="J685" s="43">
        <v>46.9</v>
      </c>
      <c r="K685" s="43"/>
      <c r="L685" s="43" t="s">
        <v>15</v>
      </c>
    </row>
    <row r="686" spans="1:12">
      <c r="A686" s="43">
        <v>685</v>
      </c>
      <c r="B686" s="43">
        <v>0</v>
      </c>
      <c r="C686" s="43">
        <v>2</v>
      </c>
      <c r="D686" s="43" t="s">
        <v>964</v>
      </c>
      <c r="E686" s="43" t="s">
        <v>13</v>
      </c>
      <c r="F686" s="44">
        <v>60</v>
      </c>
      <c r="G686" s="43">
        <v>1</v>
      </c>
      <c r="H686" s="43">
        <v>1</v>
      </c>
      <c r="I686" s="44">
        <v>29750</v>
      </c>
      <c r="J686" s="43">
        <v>39</v>
      </c>
      <c r="K686" s="43"/>
      <c r="L686" s="43" t="s">
        <v>15</v>
      </c>
    </row>
    <row r="687" spans="1:12">
      <c r="A687" s="43">
        <v>686</v>
      </c>
      <c r="B687" s="43">
        <v>0</v>
      </c>
      <c r="C687" s="43">
        <v>2</v>
      </c>
      <c r="D687" s="43" t="s">
        <v>965</v>
      </c>
      <c r="E687" s="43" t="s">
        <v>13</v>
      </c>
      <c r="F687" s="44">
        <v>25</v>
      </c>
      <c r="G687" s="43">
        <v>1</v>
      </c>
      <c r="H687" s="43">
        <v>2</v>
      </c>
      <c r="I687" s="44" t="s">
        <v>81</v>
      </c>
      <c r="J687" s="43">
        <v>41.5792</v>
      </c>
      <c r="K687" s="43"/>
      <c r="L687" s="43" t="s">
        <v>20</v>
      </c>
    </row>
    <row r="688" spans="1:12">
      <c r="A688" s="43">
        <v>687</v>
      </c>
      <c r="B688" s="43">
        <v>0</v>
      </c>
      <c r="C688" s="43">
        <v>3</v>
      </c>
      <c r="D688" s="43" t="s">
        <v>966</v>
      </c>
      <c r="E688" s="43" t="s">
        <v>13</v>
      </c>
      <c r="F688" s="44">
        <v>14</v>
      </c>
      <c r="G688" s="43">
        <v>4</v>
      </c>
      <c r="H688" s="43">
        <v>1</v>
      </c>
      <c r="I688" s="44">
        <v>3101295</v>
      </c>
      <c r="J688" s="43">
        <v>39.6875</v>
      </c>
      <c r="K688" s="43"/>
      <c r="L688" s="43" t="s">
        <v>15</v>
      </c>
    </row>
    <row r="689" spans="1:12">
      <c r="A689" s="43">
        <v>688</v>
      </c>
      <c r="B689" s="43">
        <v>0</v>
      </c>
      <c r="C689" s="43">
        <v>3</v>
      </c>
      <c r="D689" s="43" t="s">
        <v>967</v>
      </c>
      <c r="E689" s="43" t="s">
        <v>13</v>
      </c>
      <c r="F689" s="44">
        <v>19</v>
      </c>
      <c r="G689" s="43">
        <v>0</v>
      </c>
      <c r="H689" s="43">
        <v>0</v>
      </c>
      <c r="I689" s="44">
        <v>349228</v>
      </c>
      <c r="J689" s="43">
        <v>10.1708</v>
      </c>
      <c r="K689" s="43"/>
      <c r="L689" s="43" t="s">
        <v>15</v>
      </c>
    </row>
    <row r="690" spans="1:12">
      <c r="A690" s="43">
        <v>689</v>
      </c>
      <c r="B690" s="43">
        <v>0</v>
      </c>
      <c r="C690" s="43">
        <v>3</v>
      </c>
      <c r="D690" s="43" t="s">
        <v>968</v>
      </c>
      <c r="E690" s="43" t="s">
        <v>13</v>
      </c>
      <c r="F690" s="44">
        <v>18</v>
      </c>
      <c r="G690" s="43">
        <v>0</v>
      </c>
      <c r="H690" s="43">
        <v>0</v>
      </c>
      <c r="I690" s="44">
        <v>350036</v>
      </c>
      <c r="J690" s="43">
        <v>7.7958</v>
      </c>
      <c r="K690" s="43"/>
      <c r="L690" s="43" t="s">
        <v>15</v>
      </c>
    </row>
    <row r="691" spans="1:12">
      <c r="A691" s="43">
        <v>690</v>
      </c>
      <c r="B691" s="43">
        <v>1</v>
      </c>
      <c r="C691" s="43">
        <v>1</v>
      </c>
      <c r="D691" s="43" t="s">
        <v>969</v>
      </c>
      <c r="E691" s="43" t="s">
        <v>17</v>
      </c>
      <c r="F691" s="44">
        <v>15</v>
      </c>
      <c r="G691" s="43">
        <v>0</v>
      </c>
      <c r="H691" s="43">
        <v>1</v>
      </c>
      <c r="I691" s="44">
        <v>24160</v>
      </c>
      <c r="J691" s="43">
        <v>211.3375</v>
      </c>
      <c r="K691" s="43" t="s">
        <v>970</v>
      </c>
      <c r="L691" s="43" t="s">
        <v>15</v>
      </c>
    </row>
    <row r="692" spans="1:12">
      <c r="A692" s="43">
        <v>691</v>
      </c>
      <c r="B692" s="43">
        <v>1</v>
      </c>
      <c r="C692" s="43">
        <v>1</v>
      </c>
      <c r="D692" s="43" t="s">
        <v>971</v>
      </c>
      <c r="E692" s="43" t="s">
        <v>13</v>
      </c>
      <c r="F692" s="44">
        <v>31</v>
      </c>
      <c r="G692" s="43">
        <v>1</v>
      </c>
      <c r="H692" s="43">
        <v>0</v>
      </c>
      <c r="I692" s="44">
        <v>17474</v>
      </c>
      <c r="J692" s="43">
        <v>57</v>
      </c>
      <c r="K692" s="43" t="s">
        <v>972</v>
      </c>
      <c r="L692" s="43" t="s">
        <v>15</v>
      </c>
    </row>
    <row r="693" spans="1:12">
      <c r="A693" s="43">
        <v>692</v>
      </c>
      <c r="B693" s="43">
        <v>1</v>
      </c>
      <c r="C693" s="43">
        <v>3</v>
      </c>
      <c r="D693" s="43" t="s">
        <v>973</v>
      </c>
      <c r="E693" s="43" t="s">
        <v>17</v>
      </c>
      <c r="F693" s="44">
        <v>4</v>
      </c>
      <c r="G693" s="43">
        <v>0</v>
      </c>
      <c r="H693" s="43">
        <v>1</v>
      </c>
      <c r="I693" s="44">
        <v>349256</v>
      </c>
      <c r="J693" s="43">
        <v>13.4167</v>
      </c>
      <c r="K693" s="43"/>
      <c r="L693" s="43" t="s">
        <v>20</v>
      </c>
    </row>
    <row r="694" spans="1:12">
      <c r="A694" s="43">
        <v>693</v>
      </c>
      <c r="B694" s="43">
        <v>1</v>
      </c>
      <c r="C694" s="43">
        <v>3</v>
      </c>
      <c r="D694" s="43" t="s">
        <v>974</v>
      </c>
      <c r="E694" s="43" t="s">
        <v>13</v>
      </c>
      <c r="F694" s="44" t="s">
        <v>27</v>
      </c>
      <c r="G694" s="43">
        <v>0</v>
      </c>
      <c r="H694" s="43">
        <v>0</v>
      </c>
      <c r="I694" s="44">
        <v>1601</v>
      </c>
      <c r="J694" s="43">
        <v>56.4958</v>
      </c>
      <c r="K694" s="43"/>
      <c r="L694" s="43" t="s">
        <v>15</v>
      </c>
    </row>
    <row r="695" spans="1:12">
      <c r="A695" s="43">
        <v>694</v>
      </c>
      <c r="B695" s="43">
        <v>0</v>
      </c>
      <c r="C695" s="43">
        <v>3</v>
      </c>
      <c r="D695" s="43" t="s">
        <v>975</v>
      </c>
      <c r="E695" s="43" t="s">
        <v>13</v>
      </c>
      <c r="F695" s="44">
        <v>25</v>
      </c>
      <c r="G695" s="43">
        <v>0</v>
      </c>
      <c r="H695" s="43">
        <v>0</v>
      </c>
      <c r="I695" s="44">
        <v>2672</v>
      </c>
      <c r="J695" s="43">
        <v>7.225</v>
      </c>
      <c r="K695" s="43"/>
      <c r="L695" s="43" t="s">
        <v>20</v>
      </c>
    </row>
    <row r="696" spans="1:12">
      <c r="A696" s="43">
        <v>695</v>
      </c>
      <c r="B696" s="43">
        <v>0</v>
      </c>
      <c r="C696" s="43">
        <v>1</v>
      </c>
      <c r="D696" s="43" t="s">
        <v>976</v>
      </c>
      <c r="E696" s="43" t="s">
        <v>13</v>
      </c>
      <c r="F696" s="44">
        <v>60</v>
      </c>
      <c r="G696" s="43">
        <v>0</v>
      </c>
      <c r="H696" s="43">
        <v>0</v>
      </c>
      <c r="I696" s="44">
        <v>113800</v>
      </c>
      <c r="J696" s="43">
        <v>26.55</v>
      </c>
      <c r="K696" s="43"/>
      <c r="L696" s="43" t="s">
        <v>15</v>
      </c>
    </row>
    <row r="697" spans="1:12">
      <c r="A697" s="43">
        <v>696</v>
      </c>
      <c r="B697" s="43">
        <v>0</v>
      </c>
      <c r="C697" s="43">
        <v>2</v>
      </c>
      <c r="D697" s="43" t="s">
        <v>977</v>
      </c>
      <c r="E697" s="43" t="s">
        <v>13</v>
      </c>
      <c r="F697" s="44">
        <v>52</v>
      </c>
      <c r="G697" s="43">
        <v>0</v>
      </c>
      <c r="H697" s="43">
        <v>0</v>
      </c>
      <c r="I697" s="44">
        <v>248731</v>
      </c>
      <c r="J697" s="43">
        <v>13.5</v>
      </c>
      <c r="K697" s="43"/>
      <c r="L697" s="43" t="s">
        <v>15</v>
      </c>
    </row>
    <row r="698" spans="1:12">
      <c r="A698" s="43">
        <v>697</v>
      </c>
      <c r="B698" s="43">
        <v>0</v>
      </c>
      <c r="C698" s="43">
        <v>3</v>
      </c>
      <c r="D698" s="43" t="s">
        <v>978</v>
      </c>
      <c r="E698" s="43" t="s">
        <v>13</v>
      </c>
      <c r="F698" s="44">
        <v>44</v>
      </c>
      <c r="G698" s="43">
        <v>0</v>
      </c>
      <c r="H698" s="43">
        <v>0</v>
      </c>
      <c r="I698" s="44">
        <v>363592</v>
      </c>
      <c r="J698" s="43">
        <v>8.05</v>
      </c>
      <c r="K698" s="43"/>
      <c r="L698" s="43" t="s">
        <v>15</v>
      </c>
    </row>
    <row r="699" spans="1:12">
      <c r="A699" s="43">
        <v>698</v>
      </c>
      <c r="B699" s="43">
        <v>1</v>
      </c>
      <c r="C699" s="43">
        <v>3</v>
      </c>
      <c r="D699" s="43" t="s">
        <v>979</v>
      </c>
      <c r="E699" s="43" t="s">
        <v>17</v>
      </c>
      <c r="F699" s="44" t="s">
        <v>27</v>
      </c>
      <c r="G699" s="43">
        <v>0</v>
      </c>
      <c r="H699" s="43">
        <v>0</v>
      </c>
      <c r="I699" s="44">
        <v>35852</v>
      </c>
      <c r="J699" s="43">
        <v>7.7333</v>
      </c>
      <c r="K699" s="43"/>
      <c r="L699" s="43" t="s">
        <v>28</v>
      </c>
    </row>
    <row r="700" spans="1:12">
      <c r="A700" s="43">
        <v>699</v>
      </c>
      <c r="B700" s="43">
        <v>0</v>
      </c>
      <c r="C700" s="43">
        <v>1</v>
      </c>
      <c r="D700" s="43" t="s">
        <v>980</v>
      </c>
      <c r="E700" s="43" t="s">
        <v>13</v>
      </c>
      <c r="F700" s="44">
        <v>49</v>
      </c>
      <c r="G700" s="43">
        <v>1</v>
      </c>
      <c r="H700" s="43">
        <v>1</v>
      </c>
      <c r="I700" s="44">
        <v>17421</v>
      </c>
      <c r="J700" s="43">
        <v>110.8833</v>
      </c>
      <c r="K700" s="43" t="s">
        <v>833</v>
      </c>
      <c r="L700" s="43" t="s">
        <v>20</v>
      </c>
    </row>
    <row r="701" spans="1:12">
      <c r="A701" s="43">
        <v>700</v>
      </c>
      <c r="B701" s="43">
        <v>0</v>
      </c>
      <c r="C701" s="43">
        <v>3</v>
      </c>
      <c r="D701" s="43" t="s">
        <v>981</v>
      </c>
      <c r="E701" s="43" t="s">
        <v>13</v>
      </c>
      <c r="F701" s="44">
        <v>42</v>
      </c>
      <c r="G701" s="43">
        <v>0</v>
      </c>
      <c r="H701" s="43">
        <v>0</v>
      </c>
      <c r="I701" s="44">
        <v>348121</v>
      </c>
      <c r="J701" s="43">
        <v>7.65</v>
      </c>
      <c r="K701" s="43" t="s">
        <v>982</v>
      </c>
      <c r="L701" s="43" t="s">
        <v>15</v>
      </c>
    </row>
    <row r="702" spans="1:12">
      <c r="A702" s="43">
        <v>701</v>
      </c>
      <c r="B702" s="43">
        <v>1</v>
      </c>
      <c r="C702" s="43">
        <v>1</v>
      </c>
      <c r="D702" s="43" t="s">
        <v>983</v>
      </c>
      <c r="E702" s="43" t="s">
        <v>17</v>
      </c>
      <c r="F702" s="44">
        <v>18</v>
      </c>
      <c r="G702" s="43">
        <v>1</v>
      </c>
      <c r="H702" s="43">
        <v>0</v>
      </c>
      <c r="I702" s="44" t="s">
        <v>566</v>
      </c>
      <c r="J702" s="43">
        <v>227.525</v>
      </c>
      <c r="K702" s="43" t="s">
        <v>984</v>
      </c>
      <c r="L702" s="43" t="s">
        <v>20</v>
      </c>
    </row>
    <row r="703" spans="1:12">
      <c r="A703" s="43">
        <v>702</v>
      </c>
      <c r="B703" s="43">
        <v>1</v>
      </c>
      <c r="C703" s="43">
        <v>1</v>
      </c>
      <c r="D703" s="43" t="s">
        <v>985</v>
      </c>
      <c r="E703" s="43" t="s">
        <v>13</v>
      </c>
      <c r="F703" s="44">
        <v>35</v>
      </c>
      <c r="G703" s="43">
        <v>0</v>
      </c>
      <c r="H703" s="43">
        <v>0</v>
      </c>
      <c r="I703" s="44" t="s">
        <v>986</v>
      </c>
      <c r="J703" s="43">
        <v>26.2875</v>
      </c>
      <c r="K703" s="43" t="s">
        <v>987</v>
      </c>
      <c r="L703" s="43" t="s">
        <v>15</v>
      </c>
    </row>
    <row r="704" spans="1:12">
      <c r="A704" s="43">
        <v>703</v>
      </c>
      <c r="B704" s="43">
        <v>0</v>
      </c>
      <c r="C704" s="43">
        <v>3</v>
      </c>
      <c r="D704" s="43" t="s">
        <v>988</v>
      </c>
      <c r="E704" s="43" t="s">
        <v>17</v>
      </c>
      <c r="F704" s="44">
        <v>18</v>
      </c>
      <c r="G704" s="43">
        <v>0</v>
      </c>
      <c r="H704" s="43">
        <v>1</v>
      </c>
      <c r="I704" s="44">
        <v>2691</v>
      </c>
      <c r="J704" s="43">
        <v>14.4542</v>
      </c>
      <c r="K704" s="43"/>
      <c r="L704" s="43" t="s">
        <v>20</v>
      </c>
    </row>
    <row r="705" spans="1:12">
      <c r="A705" s="43">
        <v>704</v>
      </c>
      <c r="B705" s="43">
        <v>0</v>
      </c>
      <c r="C705" s="43">
        <v>3</v>
      </c>
      <c r="D705" s="43" t="s">
        <v>989</v>
      </c>
      <c r="E705" s="43" t="s">
        <v>13</v>
      </c>
      <c r="F705" s="44">
        <v>25</v>
      </c>
      <c r="G705" s="43">
        <v>0</v>
      </c>
      <c r="H705" s="43">
        <v>0</v>
      </c>
      <c r="I705" s="44">
        <v>36864</v>
      </c>
      <c r="J705" s="43">
        <v>7.7417</v>
      </c>
      <c r="K705" s="43"/>
      <c r="L705" s="43" t="s">
        <v>28</v>
      </c>
    </row>
    <row r="706" spans="1:12">
      <c r="A706" s="43">
        <v>705</v>
      </c>
      <c r="B706" s="43">
        <v>0</v>
      </c>
      <c r="C706" s="43">
        <v>3</v>
      </c>
      <c r="D706" s="43" t="s">
        <v>990</v>
      </c>
      <c r="E706" s="43" t="s">
        <v>13</v>
      </c>
      <c r="F706" s="44">
        <v>26</v>
      </c>
      <c r="G706" s="43">
        <v>1</v>
      </c>
      <c r="H706" s="43">
        <v>0</v>
      </c>
      <c r="I706" s="44">
        <v>350025</v>
      </c>
      <c r="J706" s="43">
        <v>7.8542</v>
      </c>
      <c r="K706" s="43"/>
      <c r="L706" s="43" t="s">
        <v>15</v>
      </c>
    </row>
    <row r="707" spans="1:12">
      <c r="A707" s="43">
        <v>706</v>
      </c>
      <c r="B707" s="43">
        <v>0</v>
      </c>
      <c r="C707" s="43">
        <v>2</v>
      </c>
      <c r="D707" s="43" t="s">
        <v>991</v>
      </c>
      <c r="E707" s="43" t="s">
        <v>13</v>
      </c>
      <c r="F707" s="44">
        <v>39</v>
      </c>
      <c r="G707" s="43">
        <v>0</v>
      </c>
      <c r="H707" s="43">
        <v>0</v>
      </c>
      <c r="I707" s="44">
        <v>250655</v>
      </c>
      <c r="J707" s="43">
        <v>26</v>
      </c>
      <c r="K707" s="43"/>
      <c r="L707" s="43" t="s">
        <v>15</v>
      </c>
    </row>
    <row r="708" spans="1:12">
      <c r="A708" s="43">
        <v>707</v>
      </c>
      <c r="B708" s="43">
        <v>1</v>
      </c>
      <c r="C708" s="43">
        <v>2</v>
      </c>
      <c r="D708" s="43" t="s">
        <v>992</v>
      </c>
      <c r="E708" s="43" t="s">
        <v>17</v>
      </c>
      <c r="F708" s="44">
        <v>45</v>
      </c>
      <c r="G708" s="43">
        <v>0</v>
      </c>
      <c r="H708" s="43">
        <v>0</v>
      </c>
      <c r="I708" s="44">
        <v>223596</v>
      </c>
      <c r="J708" s="43">
        <v>13.5</v>
      </c>
      <c r="K708" s="43"/>
      <c r="L708" s="43" t="s">
        <v>15</v>
      </c>
    </row>
    <row r="709" spans="1:12">
      <c r="A709" s="43">
        <v>708</v>
      </c>
      <c r="B709" s="43">
        <v>1</v>
      </c>
      <c r="C709" s="43">
        <v>1</v>
      </c>
      <c r="D709" s="43" t="s">
        <v>993</v>
      </c>
      <c r="E709" s="43" t="s">
        <v>13</v>
      </c>
      <c r="F709" s="44">
        <v>42</v>
      </c>
      <c r="G709" s="43">
        <v>0</v>
      </c>
      <c r="H709" s="43">
        <v>0</v>
      </c>
      <c r="I709" s="44" t="s">
        <v>994</v>
      </c>
      <c r="J709" s="43">
        <v>26.2875</v>
      </c>
      <c r="K709" s="43" t="s">
        <v>987</v>
      </c>
      <c r="L709" s="43" t="s">
        <v>15</v>
      </c>
    </row>
    <row r="710" spans="1:12">
      <c r="A710" s="43">
        <v>709</v>
      </c>
      <c r="B710" s="43">
        <v>1</v>
      </c>
      <c r="C710" s="43">
        <v>1</v>
      </c>
      <c r="D710" s="43" t="s">
        <v>995</v>
      </c>
      <c r="E710" s="43" t="s">
        <v>17</v>
      </c>
      <c r="F710" s="44">
        <v>22</v>
      </c>
      <c r="G710" s="43">
        <v>0</v>
      </c>
      <c r="H710" s="43">
        <v>0</v>
      </c>
      <c r="I710" s="44">
        <v>113781</v>
      </c>
      <c r="J710" s="43">
        <v>151.55</v>
      </c>
      <c r="K710" s="43"/>
      <c r="L710" s="43" t="s">
        <v>15</v>
      </c>
    </row>
    <row r="711" spans="1:12">
      <c r="A711" s="43">
        <v>710</v>
      </c>
      <c r="B711" s="43">
        <v>1</v>
      </c>
      <c r="C711" s="43">
        <v>3</v>
      </c>
      <c r="D711" s="43" t="s">
        <v>996</v>
      </c>
      <c r="E711" s="43" t="s">
        <v>13</v>
      </c>
      <c r="F711" s="44" t="s">
        <v>27</v>
      </c>
      <c r="G711" s="43">
        <v>1</v>
      </c>
      <c r="H711" s="43">
        <v>1</v>
      </c>
      <c r="I711" s="44">
        <v>2661</v>
      </c>
      <c r="J711" s="43">
        <v>15.2458</v>
      </c>
      <c r="K711" s="43"/>
      <c r="L711" s="43" t="s">
        <v>20</v>
      </c>
    </row>
    <row r="712" spans="1:12">
      <c r="A712" s="43">
        <v>711</v>
      </c>
      <c r="B712" s="43">
        <v>1</v>
      </c>
      <c r="C712" s="43">
        <v>1</v>
      </c>
      <c r="D712" s="43" t="s">
        <v>997</v>
      </c>
      <c r="E712" s="43" t="s">
        <v>17</v>
      </c>
      <c r="F712" s="44">
        <v>24</v>
      </c>
      <c r="G712" s="43">
        <v>0</v>
      </c>
      <c r="H712" s="43">
        <v>0</v>
      </c>
      <c r="I712" s="44" t="s">
        <v>998</v>
      </c>
      <c r="J712" s="43">
        <v>49.5042</v>
      </c>
      <c r="K712" s="43" t="s">
        <v>999</v>
      </c>
      <c r="L712" s="43" t="s">
        <v>20</v>
      </c>
    </row>
    <row r="713" spans="1:12">
      <c r="A713" s="43">
        <v>712</v>
      </c>
      <c r="B713" s="43">
        <v>0</v>
      </c>
      <c r="C713" s="43">
        <v>1</v>
      </c>
      <c r="D713" s="43" t="s">
        <v>1000</v>
      </c>
      <c r="E713" s="43" t="s">
        <v>13</v>
      </c>
      <c r="F713" s="44" t="s">
        <v>27</v>
      </c>
      <c r="G713" s="43">
        <v>0</v>
      </c>
      <c r="H713" s="43">
        <v>0</v>
      </c>
      <c r="I713" s="44">
        <v>113028</v>
      </c>
      <c r="J713" s="43">
        <v>26.55</v>
      </c>
      <c r="K713" s="43" t="s">
        <v>501</v>
      </c>
      <c r="L713" s="43" t="s">
        <v>15</v>
      </c>
    </row>
    <row r="714" spans="1:12">
      <c r="A714" s="43">
        <v>713</v>
      </c>
      <c r="B714" s="43">
        <v>1</v>
      </c>
      <c r="C714" s="43">
        <v>1</v>
      </c>
      <c r="D714" s="43" t="s">
        <v>1001</v>
      </c>
      <c r="E714" s="43" t="s">
        <v>13</v>
      </c>
      <c r="F714" s="44">
        <v>48</v>
      </c>
      <c r="G714" s="43">
        <v>1</v>
      </c>
      <c r="H714" s="43">
        <v>0</v>
      </c>
      <c r="I714" s="44">
        <v>19996</v>
      </c>
      <c r="J714" s="43">
        <v>52</v>
      </c>
      <c r="K714" s="43" t="s">
        <v>944</v>
      </c>
      <c r="L714" s="43" t="s">
        <v>15</v>
      </c>
    </row>
    <row r="715" spans="1:12">
      <c r="A715" s="43">
        <v>714</v>
      </c>
      <c r="B715" s="43">
        <v>0</v>
      </c>
      <c r="C715" s="43">
        <v>3</v>
      </c>
      <c r="D715" s="43" t="s">
        <v>1002</v>
      </c>
      <c r="E715" s="43" t="s">
        <v>13</v>
      </c>
      <c r="F715" s="44">
        <v>29</v>
      </c>
      <c r="G715" s="43">
        <v>0</v>
      </c>
      <c r="H715" s="43">
        <v>0</v>
      </c>
      <c r="I715" s="44">
        <v>7545</v>
      </c>
      <c r="J715" s="43">
        <v>9.4833</v>
      </c>
      <c r="K715" s="43"/>
      <c r="L715" s="43" t="s">
        <v>15</v>
      </c>
    </row>
    <row r="716" spans="1:12">
      <c r="A716" s="43">
        <v>715</v>
      </c>
      <c r="B716" s="43">
        <v>0</v>
      </c>
      <c r="C716" s="43">
        <v>2</v>
      </c>
      <c r="D716" s="43" t="s">
        <v>1003</v>
      </c>
      <c r="E716" s="43" t="s">
        <v>13</v>
      </c>
      <c r="F716" s="44">
        <v>52</v>
      </c>
      <c r="G716" s="43">
        <v>0</v>
      </c>
      <c r="H716" s="43">
        <v>0</v>
      </c>
      <c r="I716" s="44">
        <v>250647</v>
      </c>
      <c r="J716" s="43">
        <v>13</v>
      </c>
      <c r="K716" s="43"/>
      <c r="L716" s="43" t="s">
        <v>15</v>
      </c>
    </row>
    <row r="717" spans="1:12">
      <c r="A717" s="43">
        <v>716</v>
      </c>
      <c r="B717" s="43">
        <v>0</v>
      </c>
      <c r="C717" s="43">
        <v>3</v>
      </c>
      <c r="D717" s="43" t="s">
        <v>1004</v>
      </c>
      <c r="E717" s="43" t="s">
        <v>13</v>
      </c>
      <c r="F717" s="44">
        <v>19</v>
      </c>
      <c r="G717" s="43">
        <v>0</v>
      </c>
      <c r="H717" s="43">
        <v>0</v>
      </c>
      <c r="I717" s="44">
        <v>348124</v>
      </c>
      <c r="J717" s="43">
        <v>7.65</v>
      </c>
      <c r="K717" s="43" t="s">
        <v>131</v>
      </c>
      <c r="L717" s="43" t="s">
        <v>15</v>
      </c>
    </row>
    <row r="718" spans="1:12">
      <c r="A718" s="43">
        <v>717</v>
      </c>
      <c r="B718" s="43">
        <v>1</v>
      </c>
      <c r="C718" s="43">
        <v>1</v>
      </c>
      <c r="D718" s="43" t="s">
        <v>1005</v>
      </c>
      <c r="E718" s="43" t="s">
        <v>17</v>
      </c>
      <c r="F718" s="44">
        <v>38</v>
      </c>
      <c r="G718" s="43">
        <v>0</v>
      </c>
      <c r="H718" s="43">
        <v>0</v>
      </c>
      <c r="I718" s="44" t="s">
        <v>566</v>
      </c>
      <c r="J718" s="43">
        <v>227.525</v>
      </c>
      <c r="K718" s="43" t="s">
        <v>1006</v>
      </c>
      <c r="L718" s="43" t="s">
        <v>20</v>
      </c>
    </row>
    <row r="719" spans="1:12">
      <c r="A719" s="43">
        <v>718</v>
      </c>
      <c r="B719" s="43">
        <v>1</v>
      </c>
      <c r="C719" s="43">
        <v>2</v>
      </c>
      <c r="D719" s="43" t="s">
        <v>1007</v>
      </c>
      <c r="E719" s="43" t="s">
        <v>17</v>
      </c>
      <c r="F719" s="44">
        <v>27</v>
      </c>
      <c r="G719" s="43">
        <v>0</v>
      </c>
      <c r="H719" s="43">
        <v>0</v>
      </c>
      <c r="I719" s="44">
        <v>34218</v>
      </c>
      <c r="J719" s="43">
        <v>10.5</v>
      </c>
      <c r="K719" s="43" t="s">
        <v>196</v>
      </c>
      <c r="L719" s="43" t="s">
        <v>15</v>
      </c>
    </row>
    <row r="720" spans="1:12">
      <c r="A720" s="43">
        <v>719</v>
      </c>
      <c r="B720" s="43">
        <v>0</v>
      </c>
      <c r="C720" s="43">
        <v>3</v>
      </c>
      <c r="D720" s="43" t="s">
        <v>1008</v>
      </c>
      <c r="E720" s="43" t="s">
        <v>13</v>
      </c>
      <c r="F720" s="44" t="s">
        <v>27</v>
      </c>
      <c r="G720" s="43">
        <v>0</v>
      </c>
      <c r="H720" s="43">
        <v>0</v>
      </c>
      <c r="I720" s="44">
        <v>36568</v>
      </c>
      <c r="J720" s="43">
        <v>15.5</v>
      </c>
      <c r="K720" s="43"/>
      <c r="L720" s="43" t="s">
        <v>28</v>
      </c>
    </row>
    <row r="721" spans="1:12">
      <c r="A721" s="43">
        <v>720</v>
      </c>
      <c r="B721" s="43">
        <v>0</v>
      </c>
      <c r="C721" s="43">
        <v>3</v>
      </c>
      <c r="D721" s="43" t="s">
        <v>1009</v>
      </c>
      <c r="E721" s="43" t="s">
        <v>13</v>
      </c>
      <c r="F721" s="44">
        <v>33</v>
      </c>
      <c r="G721" s="43">
        <v>0</v>
      </c>
      <c r="H721" s="43">
        <v>0</v>
      </c>
      <c r="I721" s="44">
        <v>347062</v>
      </c>
      <c r="J721" s="43">
        <v>7.775</v>
      </c>
      <c r="K721" s="43"/>
      <c r="L721" s="43" t="s">
        <v>15</v>
      </c>
    </row>
    <row r="722" spans="1:12">
      <c r="A722" s="43">
        <v>721</v>
      </c>
      <c r="B722" s="43">
        <v>1</v>
      </c>
      <c r="C722" s="43">
        <v>2</v>
      </c>
      <c r="D722" s="43" t="s">
        <v>1010</v>
      </c>
      <c r="E722" s="43" t="s">
        <v>17</v>
      </c>
      <c r="F722" s="44">
        <v>6</v>
      </c>
      <c r="G722" s="43">
        <v>0</v>
      </c>
      <c r="H722" s="43">
        <v>1</v>
      </c>
      <c r="I722" s="44">
        <v>248727</v>
      </c>
      <c r="J722" s="43">
        <v>33</v>
      </c>
      <c r="K722" s="43"/>
      <c r="L722" s="43" t="s">
        <v>15</v>
      </c>
    </row>
    <row r="723" spans="1:12">
      <c r="A723" s="43">
        <v>722</v>
      </c>
      <c r="B723" s="43">
        <v>0</v>
      </c>
      <c r="C723" s="43">
        <v>3</v>
      </c>
      <c r="D723" s="43" t="s">
        <v>1011</v>
      </c>
      <c r="E723" s="43" t="s">
        <v>13</v>
      </c>
      <c r="F723" s="44">
        <v>17</v>
      </c>
      <c r="G723" s="43">
        <v>1</v>
      </c>
      <c r="H723" s="43">
        <v>0</v>
      </c>
      <c r="I723" s="44">
        <v>350048</v>
      </c>
      <c r="J723" s="43">
        <v>7.0542</v>
      </c>
      <c r="K723" s="43"/>
      <c r="L723" s="43" t="s">
        <v>15</v>
      </c>
    </row>
    <row r="724" spans="1:12">
      <c r="A724" s="43">
        <v>723</v>
      </c>
      <c r="B724" s="43">
        <v>0</v>
      </c>
      <c r="C724" s="43">
        <v>2</v>
      </c>
      <c r="D724" s="43" t="s">
        <v>1012</v>
      </c>
      <c r="E724" s="43" t="s">
        <v>13</v>
      </c>
      <c r="F724" s="44">
        <v>34</v>
      </c>
      <c r="G724" s="43">
        <v>0</v>
      </c>
      <c r="H724" s="43">
        <v>0</v>
      </c>
      <c r="I724" s="44">
        <v>12233</v>
      </c>
      <c r="J724" s="43">
        <v>13</v>
      </c>
      <c r="K724" s="43"/>
      <c r="L724" s="43" t="s">
        <v>15</v>
      </c>
    </row>
    <row r="725" spans="1:12">
      <c r="A725" s="43">
        <v>724</v>
      </c>
      <c r="B725" s="43">
        <v>0</v>
      </c>
      <c r="C725" s="43">
        <v>2</v>
      </c>
      <c r="D725" s="43" t="s">
        <v>1013</v>
      </c>
      <c r="E725" s="43" t="s">
        <v>13</v>
      </c>
      <c r="F725" s="44">
        <v>50</v>
      </c>
      <c r="G725" s="43">
        <v>0</v>
      </c>
      <c r="H725" s="43">
        <v>0</v>
      </c>
      <c r="I725" s="44">
        <v>250643</v>
      </c>
      <c r="J725" s="43">
        <v>13</v>
      </c>
      <c r="K725" s="43"/>
      <c r="L725" s="43" t="s">
        <v>15</v>
      </c>
    </row>
    <row r="726" spans="1:12">
      <c r="A726" s="43">
        <v>725</v>
      </c>
      <c r="B726" s="43">
        <v>1</v>
      </c>
      <c r="C726" s="43">
        <v>1</v>
      </c>
      <c r="D726" s="43" t="s">
        <v>1014</v>
      </c>
      <c r="E726" s="43" t="s">
        <v>13</v>
      </c>
      <c r="F726" s="44">
        <v>27</v>
      </c>
      <c r="G726" s="43">
        <v>1</v>
      </c>
      <c r="H726" s="43">
        <v>0</v>
      </c>
      <c r="I726" s="44">
        <v>113806</v>
      </c>
      <c r="J726" s="43">
        <v>53.1</v>
      </c>
      <c r="K726" s="43" t="s">
        <v>1015</v>
      </c>
      <c r="L726" s="43" t="s">
        <v>15</v>
      </c>
    </row>
    <row r="727" spans="1:12">
      <c r="A727" s="43">
        <v>726</v>
      </c>
      <c r="B727" s="43">
        <v>0</v>
      </c>
      <c r="C727" s="43">
        <v>3</v>
      </c>
      <c r="D727" s="43" t="s">
        <v>1016</v>
      </c>
      <c r="E727" s="43" t="s">
        <v>13</v>
      </c>
      <c r="F727" s="44">
        <v>20</v>
      </c>
      <c r="G727" s="43">
        <v>0</v>
      </c>
      <c r="H727" s="43">
        <v>0</v>
      </c>
      <c r="I727" s="44">
        <v>315094</v>
      </c>
      <c r="J727" s="43">
        <v>8.6625</v>
      </c>
      <c r="K727" s="43"/>
      <c r="L727" s="43" t="s">
        <v>15</v>
      </c>
    </row>
    <row r="728" spans="1:12">
      <c r="A728" s="43">
        <v>727</v>
      </c>
      <c r="B728" s="43">
        <v>1</v>
      </c>
      <c r="C728" s="43">
        <v>2</v>
      </c>
      <c r="D728" s="43" t="s">
        <v>1017</v>
      </c>
      <c r="E728" s="43" t="s">
        <v>17</v>
      </c>
      <c r="F728" s="44">
        <v>30</v>
      </c>
      <c r="G728" s="43">
        <v>3</v>
      </c>
      <c r="H728" s="43">
        <v>0</v>
      </c>
      <c r="I728" s="44">
        <v>31027</v>
      </c>
      <c r="J728" s="43">
        <v>21</v>
      </c>
      <c r="K728" s="43"/>
      <c r="L728" s="43" t="s">
        <v>15</v>
      </c>
    </row>
    <row r="729" spans="1:12">
      <c r="A729" s="43">
        <v>728</v>
      </c>
      <c r="B729" s="43">
        <v>1</v>
      </c>
      <c r="C729" s="43">
        <v>3</v>
      </c>
      <c r="D729" s="43" t="s">
        <v>1018</v>
      </c>
      <c r="E729" s="43" t="s">
        <v>17</v>
      </c>
      <c r="F729" s="44" t="s">
        <v>27</v>
      </c>
      <c r="G729" s="43">
        <v>0</v>
      </c>
      <c r="H729" s="43">
        <v>0</v>
      </c>
      <c r="I729" s="44">
        <v>36866</v>
      </c>
      <c r="J729" s="43">
        <v>7.7375</v>
      </c>
      <c r="K729" s="43"/>
      <c r="L729" s="43" t="s">
        <v>28</v>
      </c>
    </row>
    <row r="730" spans="1:12">
      <c r="A730" s="43">
        <v>729</v>
      </c>
      <c r="B730" s="43">
        <v>0</v>
      </c>
      <c r="C730" s="43">
        <v>2</v>
      </c>
      <c r="D730" s="43" t="s">
        <v>1019</v>
      </c>
      <c r="E730" s="43" t="s">
        <v>13</v>
      </c>
      <c r="F730" s="44">
        <v>25</v>
      </c>
      <c r="G730" s="43">
        <v>1</v>
      </c>
      <c r="H730" s="43">
        <v>0</v>
      </c>
      <c r="I730" s="44">
        <v>236853</v>
      </c>
      <c r="J730" s="43">
        <v>26</v>
      </c>
      <c r="K730" s="43"/>
      <c r="L730" s="43" t="s">
        <v>15</v>
      </c>
    </row>
    <row r="731" spans="1:12">
      <c r="A731" s="43">
        <v>730</v>
      </c>
      <c r="B731" s="43">
        <v>0</v>
      </c>
      <c r="C731" s="43">
        <v>3</v>
      </c>
      <c r="D731" s="43" t="s">
        <v>1020</v>
      </c>
      <c r="E731" s="43" t="s">
        <v>17</v>
      </c>
      <c r="F731" s="44">
        <v>25</v>
      </c>
      <c r="G731" s="43">
        <v>1</v>
      </c>
      <c r="H731" s="43">
        <v>0</v>
      </c>
      <c r="I731" s="44" t="s">
        <v>1021</v>
      </c>
      <c r="J731" s="43">
        <v>7.925</v>
      </c>
      <c r="K731" s="43"/>
      <c r="L731" s="43" t="s">
        <v>15</v>
      </c>
    </row>
    <row r="732" spans="1:12">
      <c r="A732" s="43">
        <v>731</v>
      </c>
      <c r="B732" s="43">
        <v>1</v>
      </c>
      <c r="C732" s="43">
        <v>1</v>
      </c>
      <c r="D732" s="43" t="s">
        <v>1022</v>
      </c>
      <c r="E732" s="43" t="s">
        <v>17</v>
      </c>
      <c r="F732" s="44">
        <v>29</v>
      </c>
      <c r="G732" s="43">
        <v>0</v>
      </c>
      <c r="H732" s="43">
        <v>0</v>
      </c>
      <c r="I732" s="44">
        <v>24160</v>
      </c>
      <c r="J732" s="43">
        <v>211.3375</v>
      </c>
      <c r="K732" s="43" t="s">
        <v>970</v>
      </c>
      <c r="L732" s="43" t="s">
        <v>15</v>
      </c>
    </row>
    <row r="733" spans="1:12">
      <c r="A733" s="43">
        <v>732</v>
      </c>
      <c r="B733" s="43">
        <v>0</v>
      </c>
      <c r="C733" s="43">
        <v>3</v>
      </c>
      <c r="D733" s="43" t="s">
        <v>1023</v>
      </c>
      <c r="E733" s="43" t="s">
        <v>13</v>
      </c>
      <c r="F733" s="44">
        <v>11</v>
      </c>
      <c r="G733" s="43">
        <v>0</v>
      </c>
      <c r="H733" s="43">
        <v>0</v>
      </c>
      <c r="I733" s="44">
        <v>2699</v>
      </c>
      <c r="J733" s="43">
        <v>18.7875</v>
      </c>
      <c r="K733" s="43"/>
      <c r="L733" s="43" t="s">
        <v>20</v>
      </c>
    </row>
    <row r="734" spans="1:12">
      <c r="A734" s="43">
        <v>733</v>
      </c>
      <c r="B734" s="43">
        <v>0</v>
      </c>
      <c r="C734" s="43">
        <v>2</v>
      </c>
      <c r="D734" s="43" t="s">
        <v>1024</v>
      </c>
      <c r="E734" s="43" t="s">
        <v>13</v>
      </c>
      <c r="F734" s="44" t="s">
        <v>27</v>
      </c>
      <c r="G734" s="43">
        <v>0</v>
      </c>
      <c r="H734" s="43">
        <v>0</v>
      </c>
      <c r="I734" s="44">
        <v>239855</v>
      </c>
      <c r="J734" s="43">
        <v>0</v>
      </c>
      <c r="K734" s="43"/>
      <c r="L734" s="43" t="s">
        <v>15</v>
      </c>
    </row>
    <row r="735" spans="1:12">
      <c r="A735" s="43">
        <v>734</v>
      </c>
      <c r="B735" s="43">
        <v>0</v>
      </c>
      <c r="C735" s="43">
        <v>2</v>
      </c>
      <c r="D735" s="43" t="s">
        <v>1025</v>
      </c>
      <c r="E735" s="43" t="s">
        <v>13</v>
      </c>
      <c r="F735" s="44">
        <v>23</v>
      </c>
      <c r="G735" s="43">
        <v>0</v>
      </c>
      <c r="H735" s="43">
        <v>0</v>
      </c>
      <c r="I735" s="44">
        <v>28425</v>
      </c>
      <c r="J735" s="43">
        <v>13</v>
      </c>
      <c r="K735" s="43"/>
      <c r="L735" s="43" t="s">
        <v>15</v>
      </c>
    </row>
    <row r="736" spans="1:12">
      <c r="A736" s="43">
        <v>735</v>
      </c>
      <c r="B736" s="43">
        <v>0</v>
      </c>
      <c r="C736" s="43">
        <v>2</v>
      </c>
      <c r="D736" s="43" t="s">
        <v>1026</v>
      </c>
      <c r="E736" s="43" t="s">
        <v>13</v>
      </c>
      <c r="F736" s="44">
        <v>23</v>
      </c>
      <c r="G736" s="43">
        <v>0</v>
      </c>
      <c r="H736" s="43">
        <v>0</v>
      </c>
      <c r="I736" s="44">
        <v>233639</v>
      </c>
      <c r="J736" s="43">
        <v>13</v>
      </c>
      <c r="K736" s="43"/>
      <c r="L736" s="43" t="s">
        <v>15</v>
      </c>
    </row>
    <row r="737" spans="1:12">
      <c r="A737" s="43">
        <v>736</v>
      </c>
      <c r="B737" s="43">
        <v>0</v>
      </c>
      <c r="C737" s="43">
        <v>3</v>
      </c>
      <c r="D737" s="43" t="s">
        <v>1027</v>
      </c>
      <c r="E737" s="43" t="s">
        <v>13</v>
      </c>
      <c r="F737" s="44">
        <v>28.5</v>
      </c>
      <c r="G737" s="43">
        <v>0</v>
      </c>
      <c r="H737" s="43">
        <v>0</v>
      </c>
      <c r="I737" s="44">
        <v>54636</v>
      </c>
      <c r="J737" s="43">
        <v>16.1</v>
      </c>
      <c r="K737" s="43"/>
      <c r="L737" s="43" t="s">
        <v>15</v>
      </c>
    </row>
    <row r="738" spans="1:12">
      <c r="A738" s="43">
        <v>737</v>
      </c>
      <c r="B738" s="43">
        <v>0</v>
      </c>
      <c r="C738" s="43">
        <v>3</v>
      </c>
      <c r="D738" s="43" t="s">
        <v>1028</v>
      </c>
      <c r="E738" s="43" t="s">
        <v>17</v>
      </c>
      <c r="F738" s="44">
        <v>48</v>
      </c>
      <c r="G738" s="43">
        <v>1</v>
      </c>
      <c r="H738" s="43">
        <v>3</v>
      </c>
      <c r="I738" s="44" t="s">
        <v>144</v>
      </c>
      <c r="J738" s="43">
        <v>34.375</v>
      </c>
      <c r="K738" s="43"/>
      <c r="L738" s="43" t="s">
        <v>15</v>
      </c>
    </row>
    <row r="739" spans="1:12">
      <c r="A739" s="43">
        <v>738</v>
      </c>
      <c r="B739" s="43">
        <v>1</v>
      </c>
      <c r="C739" s="43">
        <v>1</v>
      </c>
      <c r="D739" s="43" t="s">
        <v>1029</v>
      </c>
      <c r="E739" s="43" t="s">
        <v>13</v>
      </c>
      <c r="F739" s="44">
        <v>35</v>
      </c>
      <c r="G739" s="43">
        <v>0</v>
      </c>
      <c r="H739" s="43">
        <v>0</v>
      </c>
      <c r="I739" s="44" t="s">
        <v>393</v>
      </c>
      <c r="J739" s="43">
        <v>512.3292</v>
      </c>
      <c r="K739" s="43" t="s">
        <v>1030</v>
      </c>
      <c r="L739" s="43" t="s">
        <v>20</v>
      </c>
    </row>
    <row r="740" spans="1:12">
      <c r="A740" s="43">
        <v>739</v>
      </c>
      <c r="B740" s="43">
        <v>0</v>
      </c>
      <c r="C740" s="43">
        <v>3</v>
      </c>
      <c r="D740" s="43" t="s">
        <v>1031</v>
      </c>
      <c r="E740" s="43" t="s">
        <v>13</v>
      </c>
      <c r="F740" s="44" t="s">
        <v>27</v>
      </c>
      <c r="G740" s="43">
        <v>0</v>
      </c>
      <c r="H740" s="43">
        <v>0</v>
      </c>
      <c r="I740" s="44">
        <v>349201</v>
      </c>
      <c r="J740" s="43">
        <v>7.8958</v>
      </c>
      <c r="K740" s="43"/>
      <c r="L740" s="43" t="s">
        <v>15</v>
      </c>
    </row>
    <row r="741" spans="1:12">
      <c r="A741" s="43">
        <v>740</v>
      </c>
      <c r="B741" s="43">
        <v>0</v>
      </c>
      <c r="C741" s="43">
        <v>3</v>
      </c>
      <c r="D741" s="43" t="s">
        <v>1032</v>
      </c>
      <c r="E741" s="43" t="s">
        <v>13</v>
      </c>
      <c r="F741" s="44" t="s">
        <v>27</v>
      </c>
      <c r="G741" s="43">
        <v>0</v>
      </c>
      <c r="H741" s="43">
        <v>0</v>
      </c>
      <c r="I741" s="44">
        <v>349218</v>
      </c>
      <c r="J741" s="43">
        <v>7.8958</v>
      </c>
      <c r="K741" s="43"/>
      <c r="L741" s="43" t="s">
        <v>15</v>
      </c>
    </row>
    <row r="742" spans="1:12">
      <c r="A742" s="43">
        <v>741</v>
      </c>
      <c r="B742" s="43">
        <v>1</v>
      </c>
      <c r="C742" s="43">
        <v>1</v>
      </c>
      <c r="D742" s="43" t="s">
        <v>1033</v>
      </c>
      <c r="E742" s="43" t="s">
        <v>13</v>
      </c>
      <c r="F742" s="44" t="s">
        <v>27</v>
      </c>
      <c r="G742" s="43">
        <v>0</v>
      </c>
      <c r="H742" s="43">
        <v>0</v>
      </c>
      <c r="I742" s="44">
        <v>16988</v>
      </c>
      <c r="J742" s="43">
        <v>30</v>
      </c>
      <c r="K742" s="43" t="s">
        <v>1034</v>
      </c>
      <c r="L742" s="43" t="s">
        <v>15</v>
      </c>
    </row>
    <row r="743" spans="1:12">
      <c r="A743" s="43">
        <v>742</v>
      </c>
      <c r="B743" s="43">
        <v>0</v>
      </c>
      <c r="C743" s="43">
        <v>1</v>
      </c>
      <c r="D743" s="43" t="s">
        <v>1035</v>
      </c>
      <c r="E743" s="43" t="s">
        <v>13</v>
      </c>
      <c r="F743" s="44">
        <v>36</v>
      </c>
      <c r="G743" s="43">
        <v>1</v>
      </c>
      <c r="H743" s="43">
        <v>0</v>
      </c>
      <c r="I743" s="44">
        <v>19877</v>
      </c>
      <c r="J743" s="43">
        <v>78.85</v>
      </c>
      <c r="K743" s="43" t="s">
        <v>1036</v>
      </c>
      <c r="L743" s="43" t="s">
        <v>15</v>
      </c>
    </row>
    <row r="744" spans="1:12">
      <c r="A744" s="43">
        <v>743</v>
      </c>
      <c r="B744" s="43">
        <v>1</v>
      </c>
      <c r="C744" s="43">
        <v>1</v>
      </c>
      <c r="D744" s="43" t="s">
        <v>1037</v>
      </c>
      <c r="E744" s="43" t="s">
        <v>17</v>
      </c>
      <c r="F744" s="44">
        <v>21</v>
      </c>
      <c r="G744" s="43">
        <v>2</v>
      </c>
      <c r="H744" s="43">
        <v>2</v>
      </c>
      <c r="I744" s="44" t="s">
        <v>473</v>
      </c>
      <c r="J744" s="43">
        <v>262.375</v>
      </c>
      <c r="K744" s="43" t="s">
        <v>474</v>
      </c>
      <c r="L744" s="43" t="s">
        <v>20</v>
      </c>
    </row>
    <row r="745" spans="1:12">
      <c r="A745" s="43">
        <v>744</v>
      </c>
      <c r="B745" s="43">
        <v>0</v>
      </c>
      <c r="C745" s="43">
        <v>3</v>
      </c>
      <c r="D745" s="43" t="s">
        <v>1038</v>
      </c>
      <c r="E745" s="43" t="s">
        <v>13</v>
      </c>
      <c r="F745" s="44">
        <v>24</v>
      </c>
      <c r="G745" s="43">
        <v>1</v>
      </c>
      <c r="H745" s="43">
        <v>0</v>
      </c>
      <c r="I745" s="44">
        <v>376566</v>
      </c>
      <c r="J745" s="43">
        <v>16.1</v>
      </c>
      <c r="K745" s="43"/>
      <c r="L745" s="43" t="s">
        <v>15</v>
      </c>
    </row>
    <row r="746" spans="1:12">
      <c r="A746" s="43">
        <v>745</v>
      </c>
      <c r="B746" s="43">
        <v>1</v>
      </c>
      <c r="C746" s="43">
        <v>3</v>
      </c>
      <c r="D746" s="43" t="s">
        <v>1039</v>
      </c>
      <c r="E746" s="43" t="s">
        <v>13</v>
      </c>
      <c r="F746" s="44">
        <v>31</v>
      </c>
      <c r="G746" s="43">
        <v>0</v>
      </c>
      <c r="H746" s="43">
        <v>0</v>
      </c>
      <c r="I746" s="44" t="s">
        <v>1040</v>
      </c>
      <c r="J746" s="43">
        <v>7.925</v>
      </c>
      <c r="K746" s="43"/>
      <c r="L746" s="43" t="s">
        <v>15</v>
      </c>
    </row>
    <row r="747" spans="1:12">
      <c r="A747" s="43">
        <v>746</v>
      </c>
      <c r="B747" s="43">
        <v>0</v>
      </c>
      <c r="C747" s="43">
        <v>1</v>
      </c>
      <c r="D747" s="43" t="s">
        <v>1041</v>
      </c>
      <c r="E747" s="43" t="s">
        <v>13</v>
      </c>
      <c r="F747" s="44">
        <v>70</v>
      </c>
      <c r="G747" s="43">
        <v>1</v>
      </c>
      <c r="H747" s="43">
        <v>1</v>
      </c>
      <c r="I747" s="44" t="s">
        <v>778</v>
      </c>
      <c r="J747" s="43">
        <v>71</v>
      </c>
      <c r="K747" s="43" t="s">
        <v>779</v>
      </c>
      <c r="L747" s="43" t="s">
        <v>15</v>
      </c>
    </row>
    <row r="748" spans="1:12">
      <c r="A748" s="43">
        <v>747</v>
      </c>
      <c r="B748" s="43">
        <v>0</v>
      </c>
      <c r="C748" s="43">
        <v>3</v>
      </c>
      <c r="D748" s="43" t="s">
        <v>1042</v>
      </c>
      <c r="E748" s="43" t="s">
        <v>13</v>
      </c>
      <c r="F748" s="44">
        <v>16</v>
      </c>
      <c r="G748" s="43">
        <v>1</v>
      </c>
      <c r="H748" s="43">
        <v>1</v>
      </c>
      <c r="I748" s="44" t="s">
        <v>425</v>
      </c>
      <c r="J748" s="43">
        <v>20.25</v>
      </c>
      <c r="K748" s="43"/>
      <c r="L748" s="43" t="s">
        <v>15</v>
      </c>
    </row>
    <row r="749" spans="1:12">
      <c r="A749" s="43">
        <v>748</v>
      </c>
      <c r="B749" s="43">
        <v>1</v>
      </c>
      <c r="C749" s="43">
        <v>2</v>
      </c>
      <c r="D749" s="43" t="s">
        <v>1043</v>
      </c>
      <c r="E749" s="43" t="s">
        <v>17</v>
      </c>
      <c r="F749" s="44">
        <v>30</v>
      </c>
      <c r="G749" s="43">
        <v>0</v>
      </c>
      <c r="H749" s="43">
        <v>0</v>
      </c>
      <c r="I749" s="44">
        <v>250648</v>
      </c>
      <c r="J749" s="43">
        <v>13</v>
      </c>
      <c r="K749" s="43"/>
      <c r="L749" s="43" t="s">
        <v>15</v>
      </c>
    </row>
    <row r="750" spans="1:12">
      <c r="A750" s="43">
        <v>749</v>
      </c>
      <c r="B750" s="43">
        <v>0</v>
      </c>
      <c r="C750" s="43">
        <v>1</v>
      </c>
      <c r="D750" s="43" t="s">
        <v>1044</v>
      </c>
      <c r="E750" s="43" t="s">
        <v>13</v>
      </c>
      <c r="F750" s="44">
        <v>19</v>
      </c>
      <c r="G750" s="43">
        <v>1</v>
      </c>
      <c r="H750" s="43">
        <v>0</v>
      </c>
      <c r="I750" s="44">
        <v>113773</v>
      </c>
      <c r="J750" s="43">
        <v>53.1</v>
      </c>
      <c r="K750" s="43" t="s">
        <v>1045</v>
      </c>
      <c r="L750" s="43" t="s">
        <v>15</v>
      </c>
    </row>
    <row r="751" spans="1:12">
      <c r="A751" s="43">
        <v>750</v>
      </c>
      <c r="B751" s="43">
        <v>0</v>
      </c>
      <c r="C751" s="43">
        <v>3</v>
      </c>
      <c r="D751" s="43" t="s">
        <v>1046</v>
      </c>
      <c r="E751" s="43" t="s">
        <v>13</v>
      </c>
      <c r="F751" s="44">
        <v>31</v>
      </c>
      <c r="G751" s="43">
        <v>0</v>
      </c>
      <c r="H751" s="43">
        <v>0</v>
      </c>
      <c r="I751" s="44">
        <v>335097</v>
      </c>
      <c r="J751" s="43">
        <v>7.75</v>
      </c>
      <c r="K751" s="43"/>
      <c r="L751" s="43" t="s">
        <v>28</v>
      </c>
    </row>
    <row r="752" spans="1:12">
      <c r="A752" s="43">
        <v>751</v>
      </c>
      <c r="B752" s="43">
        <v>1</v>
      </c>
      <c r="C752" s="43">
        <v>2</v>
      </c>
      <c r="D752" s="43" t="s">
        <v>1047</v>
      </c>
      <c r="E752" s="43" t="s">
        <v>17</v>
      </c>
      <c r="F752" s="44">
        <v>4</v>
      </c>
      <c r="G752" s="43">
        <v>1</v>
      </c>
      <c r="H752" s="43">
        <v>1</v>
      </c>
      <c r="I752" s="44">
        <v>29103</v>
      </c>
      <c r="J752" s="43">
        <v>23</v>
      </c>
      <c r="K752" s="43"/>
      <c r="L752" s="43" t="s">
        <v>15</v>
      </c>
    </row>
    <row r="753" spans="1:12">
      <c r="A753" s="43">
        <v>752</v>
      </c>
      <c r="B753" s="43">
        <v>1</v>
      </c>
      <c r="C753" s="43">
        <v>3</v>
      </c>
      <c r="D753" s="43" t="s">
        <v>1048</v>
      </c>
      <c r="E753" s="43" t="s">
        <v>13</v>
      </c>
      <c r="F753" s="44">
        <v>6</v>
      </c>
      <c r="G753" s="43">
        <v>0</v>
      </c>
      <c r="H753" s="43">
        <v>1</v>
      </c>
      <c r="I753" s="44">
        <v>392096</v>
      </c>
      <c r="J753" s="43">
        <v>12.475</v>
      </c>
      <c r="K753" s="43" t="s">
        <v>1049</v>
      </c>
      <c r="L753" s="43" t="s">
        <v>15</v>
      </c>
    </row>
    <row r="754" spans="1:12">
      <c r="A754" s="43">
        <v>753</v>
      </c>
      <c r="B754" s="43">
        <v>0</v>
      </c>
      <c r="C754" s="43">
        <v>3</v>
      </c>
      <c r="D754" s="43" t="s">
        <v>1050</v>
      </c>
      <c r="E754" s="43" t="s">
        <v>13</v>
      </c>
      <c r="F754" s="44">
        <v>33</v>
      </c>
      <c r="G754" s="43">
        <v>0</v>
      </c>
      <c r="H754" s="43">
        <v>0</v>
      </c>
      <c r="I754" s="44">
        <v>345780</v>
      </c>
      <c r="J754" s="43">
        <v>9.5</v>
      </c>
      <c r="K754" s="43"/>
      <c r="L754" s="43" t="s">
        <v>15</v>
      </c>
    </row>
    <row r="755" spans="1:12">
      <c r="A755" s="43">
        <v>754</v>
      </c>
      <c r="B755" s="43">
        <v>0</v>
      </c>
      <c r="C755" s="43">
        <v>3</v>
      </c>
      <c r="D755" s="43" t="s">
        <v>1051</v>
      </c>
      <c r="E755" s="43" t="s">
        <v>13</v>
      </c>
      <c r="F755" s="44">
        <v>23</v>
      </c>
      <c r="G755" s="43">
        <v>0</v>
      </c>
      <c r="H755" s="43">
        <v>0</v>
      </c>
      <c r="I755" s="44">
        <v>349204</v>
      </c>
      <c r="J755" s="43">
        <v>7.8958</v>
      </c>
      <c r="K755" s="43"/>
      <c r="L755" s="43" t="s">
        <v>15</v>
      </c>
    </row>
    <row r="756" spans="1:12">
      <c r="A756" s="43">
        <v>755</v>
      </c>
      <c r="B756" s="43">
        <v>1</v>
      </c>
      <c r="C756" s="43">
        <v>2</v>
      </c>
      <c r="D756" s="43" t="s">
        <v>1052</v>
      </c>
      <c r="E756" s="43" t="s">
        <v>17</v>
      </c>
      <c r="F756" s="44">
        <v>48</v>
      </c>
      <c r="G756" s="43">
        <v>1</v>
      </c>
      <c r="H756" s="43">
        <v>2</v>
      </c>
      <c r="I756" s="44">
        <v>220845</v>
      </c>
      <c r="J756" s="43">
        <v>65</v>
      </c>
      <c r="K756" s="43"/>
      <c r="L756" s="43" t="s">
        <v>15</v>
      </c>
    </row>
    <row r="757" spans="1:12">
      <c r="A757" s="43">
        <v>756</v>
      </c>
      <c r="B757" s="43">
        <v>1</v>
      </c>
      <c r="C757" s="43">
        <v>2</v>
      </c>
      <c r="D757" s="43" t="s">
        <v>1053</v>
      </c>
      <c r="E757" s="43" t="s">
        <v>13</v>
      </c>
      <c r="F757" s="44">
        <v>0.67</v>
      </c>
      <c r="G757" s="43">
        <v>1</v>
      </c>
      <c r="H757" s="43">
        <v>1</v>
      </c>
      <c r="I757" s="44">
        <v>250649</v>
      </c>
      <c r="J757" s="43">
        <v>14.5</v>
      </c>
      <c r="K757" s="43"/>
      <c r="L757" s="43" t="s">
        <v>15</v>
      </c>
    </row>
    <row r="758" spans="1:12">
      <c r="A758" s="43">
        <v>757</v>
      </c>
      <c r="B758" s="43">
        <v>0</v>
      </c>
      <c r="C758" s="43">
        <v>3</v>
      </c>
      <c r="D758" s="43" t="s">
        <v>1054</v>
      </c>
      <c r="E758" s="43" t="s">
        <v>13</v>
      </c>
      <c r="F758" s="44">
        <v>28</v>
      </c>
      <c r="G758" s="43">
        <v>0</v>
      </c>
      <c r="H758" s="43">
        <v>0</v>
      </c>
      <c r="I758" s="44">
        <v>350042</v>
      </c>
      <c r="J758" s="43">
        <v>7.7958</v>
      </c>
      <c r="K758" s="43"/>
      <c r="L758" s="43" t="s">
        <v>15</v>
      </c>
    </row>
    <row r="759" spans="1:12">
      <c r="A759" s="43">
        <v>758</v>
      </c>
      <c r="B759" s="43">
        <v>0</v>
      </c>
      <c r="C759" s="43">
        <v>2</v>
      </c>
      <c r="D759" s="43" t="s">
        <v>1055</v>
      </c>
      <c r="E759" s="43" t="s">
        <v>13</v>
      </c>
      <c r="F759" s="44">
        <v>18</v>
      </c>
      <c r="G759" s="43">
        <v>0</v>
      </c>
      <c r="H759" s="43">
        <v>0</v>
      </c>
      <c r="I759" s="44">
        <v>29108</v>
      </c>
      <c r="J759" s="43">
        <v>11.5</v>
      </c>
      <c r="K759" s="43"/>
      <c r="L759" s="43" t="s">
        <v>15</v>
      </c>
    </row>
    <row r="760" spans="1:12">
      <c r="A760" s="43">
        <v>759</v>
      </c>
      <c r="B760" s="43">
        <v>0</v>
      </c>
      <c r="C760" s="43">
        <v>3</v>
      </c>
      <c r="D760" s="43" t="s">
        <v>1056</v>
      </c>
      <c r="E760" s="43" t="s">
        <v>13</v>
      </c>
      <c r="F760" s="44">
        <v>34</v>
      </c>
      <c r="G760" s="43">
        <v>0</v>
      </c>
      <c r="H760" s="43">
        <v>0</v>
      </c>
      <c r="I760" s="44">
        <v>363294</v>
      </c>
      <c r="J760" s="43">
        <v>8.05</v>
      </c>
      <c r="K760" s="43"/>
      <c r="L760" s="43" t="s">
        <v>15</v>
      </c>
    </row>
    <row r="761" spans="1:12">
      <c r="A761" s="43">
        <v>760</v>
      </c>
      <c r="B761" s="43">
        <v>1</v>
      </c>
      <c r="C761" s="43">
        <v>1</v>
      </c>
      <c r="D761" s="43" t="s">
        <v>1057</v>
      </c>
      <c r="E761" s="43" t="s">
        <v>17</v>
      </c>
      <c r="F761" s="44">
        <v>33</v>
      </c>
      <c r="G761" s="43">
        <v>0</v>
      </c>
      <c r="H761" s="43">
        <v>0</v>
      </c>
      <c r="I761" s="44">
        <v>110152</v>
      </c>
      <c r="J761" s="43">
        <v>86.5</v>
      </c>
      <c r="K761" s="43" t="s">
        <v>391</v>
      </c>
      <c r="L761" s="43" t="s">
        <v>15</v>
      </c>
    </row>
    <row r="762" spans="1:12">
      <c r="A762" s="43">
        <v>761</v>
      </c>
      <c r="B762" s="43">
        <v>0</v>
      </c>
      <c r="C762" s="43">
        <v>3</v>
      </c>
      <c r="D762" s="43" t="s">
        <v>1058</v>
      </c>
      <c r="E762" s="43" t="s">
        <v>13</v>
      </c>
      <c r="F762" s="44" t="s">
        <v>27</v>
      </c>
      <c r="G762" s="43">
        <v>0</v>
      </c>
      <c r="H762" s="43">
        <v>0</v>
      </c>
      <c r="I762" s="44">
        <v>358585</v>
      </c>
      <c r="J762" s="43">
        <v>14.5</v>
      </c>
      <c r="K762" s="43"/>
      <c r="L762" s="43" t="s">
        <v>15</v>
      </c>
    </row>
    <row r="763" spans="1:12">
      <c r="A763" s="43">
        <v>762</v>
      </c>
      <c r="B763" s="43">
        <v>0</v>
      </c>
      <c r="C763" s="43">
        <v>3</v>
      </c>
      <c r="D763" s="43" t="s">
        <v>1059</v>
      </c>
      <c r="E763" s="43" t="s">
        <v>13</v>
      </c>
      <c r="F763" s="44">
        <v>41</v>
      </c>
      <c r="G763" s="43">
        <v>0</v>
      </c>
      <c r="H763" s="43">
        <v>0</v>
      </c>
      <c r="I763" s="44" t="s">
        <v>1060</v>
      </c>
      <c r="J763" s="43">
        <v>7.125</v>
      </c>
      <c r="K763" s="43"/>
      <c r="L763" s="43" t="s">
        <v>15</v>
      </c>
    </row>
    <row r="764" spans="1:12">
      <c r="A764" s="43">
        <v>763</v>
      </c>
      <c r="B764" s="43">
        <v>1</v>
      </c>
      <c r="C764" s="43">
        <v>3</v>
      </c>
      <c r="D764" s="43" t="s">
        <v>1061</v>
      </c>
      <c r="E764" s="43" t="s">
        <v>13</v>
      </c>
      <c r="F764" s="44">
        <v>20</v>
      </c>
      <c r="G764" s="43">
        <v>0</v>
      </c>
      <c r="H764" s="43">
        <v>0</v>
      </c>
      <c r="I764" s="44">
        <v>2663</v>
      </c>
      <c r="J764" s="43">
        <v>7.2292</v>
      </c>
      <c r="K764" s="43"/>
      <c r="L764" s="43" t="s">
        <v>20</v>
      </c>
    </row>
    <row r="765" spans="1:12">
      <c r="A765" s="43">
        <v>764</v>
      </c>
      <c r="B765" s="43">
        <v>1</v>
      </c>
      <c r="C765" s="43">
        <v>1</v>
      </c>
      <c r="D765" s="43" t="s">
        <v>1062</v>
      </c>
      <c r="E765" s="43" t="s">
        <v>17</v>
      </c>
      <c r="F765" s="44">
        <v>36</v>
      </c>
      <c r="G765" s="43">
        <v>1</v>
      </c>
      <c r="H765" s="43">
        <v>2</v>
      </c>
      <c r="I765" s="44">
        <v>113760</v>
      </c>
      <c r="J765" s="43">
        <v>120</v>
      </c>
      <c r="K765" s="43" t="s">
        <v>579</v>
      </c>
      <c r="L765" s="43" t="s">
        <v>15</v>
      </c>
    </row>
    <row r="766" spans="1:12">
      <c r="A766" s="43">
        <v>765</v>
      </c>
      <c r="B766" s="43">
        <v>0</v>
      </c>
      <c r="C766" s="43">
        <v>3</v>
      </c>
      <c r="D766" s="43" t="s">
        <v>1063</v>
      </c>
      <c r="E766" s="43" t="s">
        <v>13</v>
      </c>
      <c r="F766" s="44">
        <v>16</v>
      </c>
      <c r="G766" s="43">
        <v>0</v>
      </c>
      <c r="H766" s="43">
        <v>0</v>
      </c>
      <c r="I766" s="44">
        <v>347074</v>
      </c>
      <c r="J766" s="43">
        <v>7.775</v>
      </c>
      <c r="K766" s="43"/>
      <c r="L766" s="43" t="s">
        <v>15</v>
      </c>
    </row>
    <row r="767" spans="1:12">
      <c r="A767" s="43">
        <v>766</v>
      </c>
      <c r="B767" s="43">
        <v>1</v>
      </c>
      <c r="C767" s="43">
        <v>1</v>
      </c>
      <c r="D767" s="43" t="s">
        <v>1064</v>
      </c>
      <c r="E767" s="43" t="s">
        <v>17</v>
      </c>
      <c r="F767" s="44">
        <v>51</v>
      </c>
      <c r="G767" s="43">
        <v>1</v>
      </c>
      <c r="H767" s="43">
        <v>0</v>
      </c>
      <c r="I767" s="44">
        <v>13502</v>
      </c>
      <c r="J767" s="43">
        <v>77.9583</v>
      </c>
      <c r="K767" s="43" t="s">
        <v>1065</v>
      </c>
      <c r="L767" s="43" t="s">
        <v>15</v>
      </c>
    </row>
    <row r="768" spans="1:12">
      <c r="A768" s="43">
        <v>767</v>
      </c>
      <c r="B768" s="43">
        <v>0</v>
      </c>
      <c r="C768" s="43">
        <v>1</v>
      </c>
      <c r="D768" s="43" t="s">
        <v>1066</v>
      </c>
      <c r="E768" s="43" t="s">
        <v>13</v>
      </c>
      <c r="F768" s="44" t="s">
        <v>27</v>
      </c>
      <c r="G768" s="43">
        <v>0</v>
      </c>
      <c r="H768" s="43">
        <v>0</v>
      </c>
      <c r="I768" s="44">
        <v>112379</v>
      </c>
      <c r="J768" s="43">
        <v>39.6</v>
      </c>
      <c r="K768" s="43"/>
      <c r="L768" s="43" t="s">
        <v>20</v>
      </c>
    </row>
    <row r="769" spans="1:12">
      <c r="A769" s="43">
        <v>768</v>
      </c>
      <c r="B769" s="43">
        <v>0</v>
      </c>
      <c r="C769" s="43">
        <v>3</v>
      </c>
      <c r="D769" s="43" t="s">
        <v>1067</v>
      </c>
      <c r="E769" s="43" t="s">
        <v>17</v>
      </c>
      <c r="F769" s="44">
        <v>30.5</v>
      </c>
      <c r="G769" s="43">
        <v>0</v>
      </c>
      <c r="H769" s="43">
        <v>0</v>
      </c>
      <c r="I769" s="44">
        <v>364850</v>
      </c>
      <c r="J769" s="43">
        <v>7.75</v>
      </c>
      <c r="K769" s="43"/>
      <c r="L769" s="43" t="s">
        <v>28</v>
      </c>
    </row>
    <row r="770" spans="1:12">
      <c r="A770" s="43">
        <v>769</v>
      </c>
      <c r="B770" s="43">
        <v>0</v>
      </c>
      <c r="C770" s="43">
        <v>3</v>
      </c>
      <c r="D770" s="43" t="s">
        <v>1068</v>
      </c>
      <c r="E770" s="43" t="s">
        <v>13</v>
      </c>
      <c r="F770" s="44" t="s">
        <v>27</v>
      </c>
      <c r="G770" s="43">
        <v>1</v>
      </c>
      <c r="H770" s="43">
        <v>0</v>
      </c>
      <c r="I770" s="44">
        <v>371110</v>
      </c>
      <c r="J770" s="43">
        <v>24.15</v>
      </c>
      <c r="K770" s="43"/>
      <c r="L770" s="43" t="s">
        <v>28</v>
      </c>
    </row>
    <row r="771" spans="1:12">
      <c r="A771" s="43">
        <v>770</v>
      </c>
      <c r="B771" s="43">
        <v>0</v>
      </c>
      <c r="C771" s="43">
        <v>3</v>
      </c>
      <c r="D771" s="43" t="s">
        <v>1069</v>
      </c>
      <c r="E771" s="43" t="s">
        <v>13</v>
      </c>
      <c r="F771" s="44">
        <v>32</v>
      </c>
      <c r="G771" s="43">
        <v>0</v>
      </c>
      <c r="H771" s="43">
        <v>0</v>
      </c>
      <c r="I771" s="44">
        <v>8471</v>
      </c>
      <c r="J771" s="43">
        <v>8.3625</v>
      </c>
      <c r="K771" s="43"/>
      <c r="L771" s="43" t="s">
        <v>15</v>
      </c>
    </row>
    <row r="772" spans="1:12">
      <c r="A772" s="43">
        <v>771</v>
      </c>
      <c r="B772" s="43">
        <v>0</v>
      </c>
      <c r="C772" s="43">
        <v>3</v>
      </c>
      <c r="D772" s="43" t="s">
        <v>1070</v>
      </c>
      <c r="E772" s="43" t="s">
        <v>13</v>
      </c>
      <c r="F772" s="44">
        <v>24</v>
      </c>
      <c r="G772" s="43">
        <v>0</v>
      </c>
      <c r="H772" s="43">
        <v>0</v>
      </c>
      <c r="I772" s="44">
        <v>345781</v>
      </c>
      <c r="J772" s="43">
        <v>9.5</v>
      </c>
      <c r="K772" s="43"/>
      <c r="L772" s="43" t="s">
        <v>15</v>
      </c>
    </row>
    <row r="773" spans="1:12">
      <c r="A773" s="43">
        <v>772</v>
      </c>
      <c r="B773" s="43">
        <v>0</v>
      </c>
      <c r="C773" s="43">
        <v>3</v>
      </c>
      <c r="D773" s="43" t="s">
        <v>1071</v>
      </c>
      <c r="E773" s="43" t="s">
        <v>13</v>
      </c>
      <c r="F773" s="44">
        <v>48</v>
      </c>
      <c r="G773" s="43">
        <v>0</v>
      </c>
      <c r="H773" s="43">
        <v>0</v>
      </c>
      <c r="I773" s="44">
        <v>350047</v>
      </c>
      <c r="J773" s="43">
        <v>7.8542</v>
      </c>
      <c r="K773" s="43"/>
      <c r="L773" s="43" t="s">
        <v>15</v>
      </c>
    </row>
    <row r="774" spans="1:12">
      <c r="A774" s="43">
        <v>773</v>
      </c>
      <c r="B774" s="43">
        <v>0</v>
      </c>
      <c r="C774" s="43">
        <v>2</v>
      </c>
      <c r="D774" s="43" t="s">
        <v>1072</v>
      </c>
      <c r="E774" s="43" t="s">
        <v>17</v>
      </c>
      <c r="F774" s="44">
        <v>57</v>
      </c>
      <c r="G774" s="43">
        <v>0</v>
      </c>
      <c r="H774" s="43">
        <v>0</v>
      </c>
      <c r="I774" s="44" t="s">
        <v>1073</v>
      </c>
      <c r="J774" s="43">
        <v>10.5</v>
      </c>
      <c r="K774" s="43" t="s">
        <v>1074</v>
      </c>
      <c r="L774" s="43" t="s">
        <v>15</v>
      </c>
    </row>
    <row r="775" spans="1:12">
      <c r="A775" s="43">
        <v>774</v>
      </c>
      <c r="B775" s="43">
        <v>0</v>
      </c>
      <c r="C775" s="43">
        <v>3</v>
      </c>
      <c r="D775" s="43" t="s">
        <v>1075</v>
      </c>
      <c r="E775" s="43" t="s">
        <v>13</v>
      </c>
      <c r="F775" s="44" t="s">
        <v>27</v>
      </c>
      <c r="G775" s="43">
        <v>0</v>
      </c>
      <c r="H775" s="43">
        <v>0</v>
      </c>
      <c r="I775" s="44">
        <v>2674</v>
      </c>
      <c r="J775" s="43">
        <v>7.225</v>
      </c>
      <c r="K775" s="43"/>
      <c r="L775" s="43" t="s">
        <v>20</v>
      </c>
    </row>
    <row r="776" spans="1:12">
      <c r="A776" s="43">
        <v>775</v>
      </c>
      <c r="B776" s="43">
        <v>1</v>
      </c>
      <c r="C776" s="43">
        <v>2</v>
      </c>
      <c r="D776" s="43" t="s">
        <v>1076</v>
      </c>
      <c r="E776" s="43" t="s">
        <v>17</v>
      </c>
      <c r="F776" s="44">
        <v>54</v>
      </c>
      <c r="G776" s="43">
        <v>1</v>
      </c>
      <c r="H776" s="43">
        <v>3</v>
      </c>
      <c r="I776" s="44">
        <v>29105</v>
      </c>
      <c r="J776" s="43">
        <v>23</v>
      </c>
      <c r="K776" s="43"/>
      <c r="L776" s="43" t="s">
        <v>15</v>
      </c>
    </row>
    <row r="777" spans="1:12">
      <c r="A777" s="43">
        <v>776</v>
      </c>
      <c r="B777" s="43">
        <v>0</v>
      </c>
      <c r="C777" s="43">
        <v>3</v>
      </c>
      <c r="D777" s="43" t="s">
        <v>1077</v>
      </c>
      <c r="E777" s="43" t="s">
        <v>13</v>
      </c>
      <c r="F777" s="44">
        <v>18</v>
      </c>
      <c r="G777" s="43">
        <v>0</v>
      </c>
      <c r="H777" s="43">
        <v>0</v>
      </c>
      <c r="I777" s="44">
        <v>347078</v>
      </c>
      <c r="J777" s="43">
        <v>7.75</v>
      </c>
      <c r="K777" s="43"/>
      <c r="L777" s="43" t="s">
        <v>15</v>
      </c>
    </row>
    <row r="778" spans="1:12">
      <c r="A778" s="43">
        <v>777</v>
      </c>
      <c r="B778" s="43">
        <v>0</v>
      </c>
      <c r="C778" s="43">
        <v>3</v>
      </c>
      <c r="D778" s="43" t="s">
        <v>1078</v>
      </c>
      <c r="E778" s="43" t="s">
        <v>13</v>
      </c>
      <c r="F778" s="44" t="s">
        <v>27</v>
      </c>
      <c r="G778" s="43">
        <v>0</v>
      </c>
      <c r="H778" s="43">
        <v>0</v>
      </c>
      <c r="I778" s="44">
        <v>383121</v>
      </c>
      <c r="J778" s="43">
        <v>7.75</v>
      </c>
      <c r="K778" s="43" t="s">
        <v>1079</v>
      </c>
      <c r="L778" s="43" t="s">
        <v>28</v>
      </c>
    </row>
    <row r="779" spans="1:12">
      <c r="A779" s="43">
        <v>778</v>
      </c>
      <c r="B779" s="43">
        <v>1</v>
      </c>
      <c r="C779" s="43">
        <v>3</v>
      </c>
      <c r="D779" s="43" t="s">
        <v>1080</v>
      </c>
      <c r="E779" s="43" t="s">
        <v>17</v>
      </c>
      <c r="F779" s="44">
        <v>5</v>
      </c>
      <c r="G779" s="43">
        <v>0</v>
      </c>
      <c r="H779" s="43">
        <v>0</v>
      </c>
      <c r="I779" s="44">
        <v>364516</v>
      </c>
      <c r="J779" s="43">
        <v>12.475</v>
      </c>
      <c r="K779" s="43"/>
      <c r="L779" s="43" t="s">
        <v>15</v>
      </c>
    </row>
    <row r="780" spans="1:12">
      <c r="A780" s="43">
        <v>779</v>
      </c>
      <c r="B780" s="43">
        <v>0</v>
      </c>
      <c r="C780" s="43">
        <v>3</v>
      </c>
      <c r="D780" s="43" t="s">
        <v>1081</v>
      </c>
      <c r="E780" s="43" t="s">
        <v>13</v>
      </c>
      <c r="F780" s="44" t="s">
        <v>27</v>
      </c>
      <c r="G780" s="43">
        <v>0</v>
      </c>
      <c r="H780" s="43">
        <v>0</v>
      </c>
      <c r="I780" s="44">
        <v>36865</v>
      </c>
      <c r="J780" s="43">
        <v>7.7375</v>
      </c>
      <c r="K780" s="43"/>
      <c r="L780" s="43" t="s">
        <v>28</v>
      </c>
    </row>
    <row r="781" spans="1:12">
      <c r="A781" s="43">
        <v>780</v>
      </c>
      <c r="B781" s="43">
        <v>1</v>
      </c>
      <c r="C781" s="43">
        <v>1</v>
      </c>
      <c r="D781" s="43" t="s">
        <v>1082</v>
      </c>
      <c r="E781" s="43" t="s">
        <v>17</v>
      </c>
      <c r="F781" s="44">
        <v>43</v>
      </c>
      <c r="G781" s="43">
        <v>0</v>
      </c>
      <c r="H781" s="43">
        <v>1</v>
      </c>
      <c r="I781" s="44">
        <v>24160</v>
      </c>
      <c r="J781" s="43">
        <v>211.3375</v>
      </c>
      <c r="K781" s="43" t="s">
        <v>1083</v>
      </c>
      <c r="L781" s="43" t="s">
        <v>15</v>
      </c>
    </row>
    <row r="782" spans="1:12">
      <c r="A782" s="43">
        <v>781</v>
      </c>
      <c r="B782" s="43">
        <v>1</v>
      </c>
      <c r="C782" s="43">
        <v>3</v>
      </c>
      <c r="D782" s="43" t="s">
        <v>1084</v>
      </c>
      <c r="E782" s="43" t="s">
        <v>17</v>
      </c>
      <c r="F782" s="44">
        <v>13</v>
      </c>
      <c r="G782" s="43">
        <v>0</v>
      </c>
      <c r="H782" s="43">
        <v>0</v>
      </c>
      <c r="I782" s="44">
        <v>2687</v>
      </c>
      <c r="J782" s="43">
        <v>7.2292</v>
      </c>
      <c r="K782" s="43"/>
      <c r="L782" s="43" t="s">
        <v>20</v>
      </c>
    </row>
    <row r="783" spans="1:12">
      <c r="A783" s="43">
        <v>782</v>
      </c>
      <c r="B783" s="43">
        <v>1</v>
      </c>
      <c r="C783" s="43">
        <v>1</v>
      </c>
      <c r="D783" s="43" t="s">
        <v>1085</v>
      </c>
      <c r="E783" s="43" t="s">
        <v>17</v>
      </c>
      <c r="F783" s="44">
        <v>17</v>
      </c>
      <c r="G783" s="43">
        <v>1</v>
      </c>
      <c r="H783" s="43">
        <v>0</v>
      </c>
      <c r="I783" s="44">
        <v>17474</v>
      </c>
      <c r="J783" s="43">
        <v>57</v>
      </c>
      <c r="K783" s="43" t="s">
        <v>972</v>
      </c>
      <c r="L783" s="43" t="s">
        <v>15</v>
      </c>
    </row>
    <row r="784" spans="1:12">
      <c r="A784" s="43">
        <v>783</v>
      </c>
      <c r="B784" s="43">
        <v>0</v>
      </c>
      <c r="C784" s="43">
        <v>1</v>
      </c>
      <c r="D784" s="43" t="s">
        <v>1086</v>
      </c>
      <c r="E784" s="43" t="s">
        <v>13</v>
      </c>
      <c r="F784" s="44">
        <v>29</v>
      </c>
      <c r="G784" s="43">
        <v>0</v>
      </c>
      <c r="H784" s="43">
        <v>0</v>
      </c>
      <c r="I784" s="44">
        <v>113501</v>
      </c>
      <c r="J784" s="43">
        <v>30</v>
      </c>
      <c r="K784" s="43" t="s">
        <v>1087</v>
      </c>
      <c r="L784" s="43" t="s">
        <v>15</v>
      </c>
    </row>
    <row r="785" spans="1:12">
      <c r="A785" s="43">
        <v>784</v>
      </c>
      <c r="B785" s="43">
        <v>0</v>
      </c>
      <c r="C785" s="43">
        <v>3</v>
      </c>
      <c r="D785" s="43" t="s">
        <v>1088</v>
      </c>
      <c r="E785" s="43" t="s">
        <v>13</v>
      </c>
      <c r="F785" s="44" t="s">
        <v>27</v>
      </c>
      <c r="G785" s="43">
        <v>1</v>
      </c>
      <c r="H785" s="43">
        <v>2</v>
      </c>
      <c r="I785" s="44" t="s">
        <v>1089</v>
      </c>
      <c r="J785" s="43">
        <v>23.45</v>
      </c>
      <c r="K785" s="43"/>
      <c r="L785" s="43" t="s">
        <v>15</v>
      </c>
    </row>
    <row r="786" spans="1:12">
      <c r="A786" s="43">
        <v>785</v>
      </c>
      <c r="B786" s="43">
        <v>0</v>
      </c>
      <c r="C786" s="43">
        <v>3</v>
      </c>
      <c r="D786" s="43" t="s">
        <v>1090</v>
      </c>
      <c r="E786" s="43" t="s">
        <v>13</v>
      </c>
      <c r="F786" s="44">
        <v>25</v>
      </c>
      <c r="G786" s="43">
        <v>0</v>
      </c>
      <c r="H786" s="43">
        <v>0</v>
      </c>
      <c r="I786" s="44" t="s">
        <v>1091</v>
      </c>
      <c r="J786" s="43">
        <v>7.05</v>
      </c>
      <c r="K786" s="43"/>
      <c r="L786" s="43" t="s">
        <v>15</v>
      </c>
    </row>
    <row r="787" spans="1:12">
      <c r="A787" s="43">
        <v>786</v>
      </c>
      <c r="B787" s="43">
        <v>0</v>
      </c>
      <c r="C787" s="43">
        <v>3</v>
      </c>
      <c r="D787" s="43" t="s">
        <v>1092</v>
      </c>
      <c r="E787" s="43" t="s">
        <v>13</v>
      </c>
      <c r="F787" s="44">
        <v>25</v>
      </c>
      <c r="G787" s="43">
        <v>0</v>
      </c>
      <c r="H787" s="43">
        <v>0</v>
      </c>
      <c r="I787" s="44">
        <v>374887</v>
      </c>
      <c r="J787" s="43">
        <v>7.25</v>
      </c>
      <c r="K787" s="43"/>
      <c r="L787" s="43" t="s">
        <v>15</v>
      </c>
    </row>
    <row r="788" spans="1:12">
      <c r="A788" s="43">
        <v>787</v>
      </c>
      <c r="B788" s="43">
        <v>1</v>
      </c>
      <c r="C788" s="43">
        <v>3</v>
      </c>
      <c r="D788" s="43" t="s">
        <v>1093</v>
      </c>
      <c r="E788" s="43" t="s">
        <v>17</v>
      </c>
      <c r="F788" s="44">
        <v>18</v>
      </c>
      <c r="G788" s="43">
        <v>0</v>
      </c>
      <c r="H788" s="43">
        <v>0</v>
      </c>
      <c r="I788" s="44">
        <v>3101265</v>
      </c>
      <c r="J788" s="43">
        <v>7.4958</v>
      </c>
      <c r="K788" s="43"/>
      <c r="L788" s="43" t="s">
        <v>15</v>
      </c>
    </row>
    <row r="789" spans="1:12">
      <c r="A789" s="43">
        <v>788</v>
      </c>
      <c r="B789" s="43">
        <v>0</v>
      </c>
      <c r="C789" s="43">
        <v>3</v>
      </c>
      <c r="D789" s="43" t="s">
        <v>1094</v>
      </c>
      <c r="E789" s="43" t="s">
        <v>13</v>
      </c>
      <c r="F789" s="44">
        <v>8</v>
      </c>
      <c r="G789" s="43">
        <v>4</v>
      </c>
      <c r="H789" s="43">
        <v>1</v>
      </c>
      <c r="I789" s="44">
        <v>382652</v>
      </c>
      <c r="J789" s="43">
        <v>29.125</v>
      </c>
      <c r="K789" s="43"/>
      <c r="L789" s="43" t="s">
        <v>28</v>
      </c>
    </row>
    <row r="790" spans="1:12">
      <c r="A790" s="43">
        <v>789</v>
      </c>
      <c r="B790" s="43">
        <v>1</v>
      </c>
      <c r="C790" s="43">
        <v>3</v>
      </c>
      <c r="D790" s="43" t="s">
        <v>1095</v>
      </c>
      <c r="E790" s="43" t="s">
        <v>13</v>
      </c>
      <c r="F790" s="44">
        <v>1</v>
      </c>
      <c r="G790" s="43">
        <v>1</v>
      </c>
      <c r="H790" s="43">
        <v>2</v>
      </c>
      <c r="I790" s="44" t="s">
        <v>155</v>
      </c>
      <c r="J790" s="43">
        <v>20.575</v>
      </c>
      <c r="K790" s="43"/>
      <c r="L790" s="43" t="s">
        <v>15</v>
      </c>
    </row>
    <row r="791" spans="1:12">
      <c r="A791" s="43">
        <v>790</v>
      </c>
      <c r="B791" s="43">
        <v>0</v>
      </c>
      <c r="C791" s="43">
        <v>1</v>
      </c>
      <c r="D791" s="43" t="s">
        <v>1096</v>
      </c>
      <c r="E791" s="43" t="s">
        <v>13</v>
      </c>
      <c r="F791" s="44">
        <v>46</v>
      </c>
      <c r="G791" s="43">
        <v>0</v>
      </c>
      <c r="H791" s="43">
        <v>0</v>
      </c>
      <c r="I791" s="44" t="s">
        <v>220</v>
      </c>
      <c r="J791" s="43">
        <v>79.2</v>
      </c>
      <c r="K791" s="43" t="s">
        <v>1097</v>
      </c>
      <c r="L791" s="43" t="s">
        <v>20</v>
      </c>
    </row>
    <row r="792" spans="1:12">
      <c r="A792" s="43">
        <v>791</v>
      </c>
      <c r="B792" s="43">
        <v>0</v>
      </c>
      <c r="C792" s="43">
        <v>3</v>
      </c>
      <c r="D792" s="43" t="s">
        <v>1098</v>
      </c>
      <c r="E792" s="43" t="s">
        <v>13</v>
      </c>
      <c r="F792" s="44" t="s">
        <v>27</v>
      </c>
      <c r="G792" s="43">
        <v>0</v>
      </c>
      <c r="H792" s="43">
        <v>0</v>
      </c>
      <c r="I792" s="44">
        <v>12460</v>
      </c>
      <c r="J792" s="43">
        <v>7.75</v>
      </c>
      <c r="K792" s="43"/>
      <c r="L792" s="43" t="s">
        <v>28</v>
      </c>
    </row>
    <row r="793" spans="1:12">
      <c r="A793" s="43">
        <v>792</v>
      </c>
      <c r="B793" s="43">
        <v>0</v>
      </c>
      <c r="C793" s="43">
        <v>2</v>
      </c>
      <c r="D793" s="43" t="s">
        <v>1099</v>
      </c>
      <c r="E793" s="43" t="s">
        <v>13</v>
      </c>
      <c r="F793" s="44">
        <v>16</v>
      </c>
      <c r="G793" s="43">
        <v>0</v>
      </c>
      <c r="H793" s="43">
        <v>0</v>
      </c>
      <c r="I793" s="44">
        <v>239865</v>
      </c>
      <c r="J793" s="43">
        <v>26</v>
      </c>
      <c r="K793" s="43"/>
      <c r="L793" s="43" t="s">
        <v>15</v>
      </c>
    </row>
    <row r="794" spans="1:12">
      <c r="A794" s="43">
        <v>793</v>
      </c>
      <c r="B794" s="43">
        <v>0</v>
      </c>
      <c r="C794" s="43">
        <v>3</v>
      </c>
      <c r="D794" s="43" t="s">
        <v>1100</v>
      </c>
      <c r="E794" s="43" t="s">
        <v>17</v>
      </c>
      <c r="F794" s="44" t="s">
        <v>27</v>
      </c>
      <c r="G794" s="43">
        <v>8</v>
      </c>
      <c r="H794" s="43">
        <v>2</v>
      </c>
      <c r="I794" s="44" t="s">
        <v>252</v>
      </c>
      <c r="J794" s="43">
        <v>69.55</v>
      </c>
      <c r="K794" s="43"/>
      <c r="L794" s="43" t="s">
        <v>15</v>
      </c>
    </row>
    <row r="795" spans="1:12">
      <c r="A795" s="43">
        <v>794</v>
      </c>
      <c r="B795" s="43">
        <v>0</v>
      </c>
      <c r="C795" s="43">
        <v>1</v>
      </c>
      <c r="D795" s="43" t="s">
        <v>1101</v>
      </c>
      <c r="E795" s="43" t="s">
        <v>13</v>
      </c>
      <c r="F795" s="44" t="s">
        <v>27</v>
      </c>
      <c r="G795" s="43">
        <v>0</v>
      </c>
      <c r="H795" s="43">
        <v>0</v>
      </c>
      <c r="I795" s="44" t="s">
        <v>1102</v>
      </c>
      <c r="J795" s="43">
        <v>30.6958</v>
      </c>
      <c r="K795" s="43"/>
      <c r="L795" s="43" t="s">
        <v>20</v>
      </c>
    </row>
    <row r="796" spans="1:12">
      <c r="A796" s="43">
        <v>795</v>
      </c>
      <c r="B796" s="43">
        <v>0</v>
      </c>
      <c r="C796" s="43">
        <v>3</v>
      </c>
      <c r="D796" s="43" t="s">
        <v>1103</v>
      </c>
      <c r="E796" s="43" t="s">
        <v>13</v>
      </c>
      <c r="F796" s="44">
        <v>25</v>
      </c>
      <c r="G796" s="43">
        <v>0</v>
      </c>
      <c r="H796" s="43">
        <v>0</v>
      </c>
      <c r="I796" s="44">
        <v>349203</v>
      </c>
      <c r="J796" s="43">
        <v>7.8958</v>
      </c>
      <c r="K796" s="43"/>
      <c r="L796" s="43" t="s">
        <v>15</v>
      </c>
    </row>
    <row r="797" spans="1:12">
      <c r="A797" s="43">
        <v>796</v>
      </c>
      <c r="B797" s="43">
        <v>0</v>
      </c>
      <c r="C797" s="43">
        <v>2</v>
      </c>
      <c r="D797" s="43" t="s">
        <v>1104</v>
      </c>
      <c r="E797" s="43" t="s">
        <v>13</v>
      </c>
      <c r="F797" s="44">
        <v>39</v>
      </c>
      <c r="G797" s="43">
        <v>0</v>
      </c>
      <c r="H797" s="43">
        <v>0</v>
      </c>
      <c r="I797" s="44">
        <v>28213</v>
      </c>
      <c r="J797" s="43">
        <v>13</v>
      </c>
      <c r="K797" s="43"/>
      <c r="L797" s="43" t="s">
        <v>15</v>
      </c>
    </row>
    <row r="798" spans="1:12">
      <c r="A798" s="43">
        <v>797</v>
      </c>
      <c r="B798" s="43">
        <v>1</v>
      </c>
      <c r="C798" s="43">
        <v>1</v>
      </c>
      <c r="D798" s="43" t="s">
        <v>1105</v>
      </c>
      <c r="E798" s="43" t="s">
        <v>17</v>
      </c>
      <c r="F798" s="44">
        <v>49</v>
      </c>
      <c r="G798" s="43">
        <v>0</v>
      </c>
      <c r="H798" s="43">
        <v>0</v>
      </c>
      <c r="I798" s="44">
        <v>17465</v>
      </c>
      <c r="J798" s="43">
        <v>25.9292</v>
      </c>
      <c r="K798" s="43" t="s">
        <v>1106</v>
      </c>
      <c r="L798" s="43" t="s">
        <v>15</v>
      </c>
    </row>
    <row r="799" spans="1:12">
      <c r="A799" s="43">
        <v>798</v>
      </c>
      <c r="B799" s="43">
        <v>1</v>
      </c>
      <c r="C799" s="43">
        <v>3</v>
      </c>
      <c r="D799" s="43" t="s">
        <v>1107</v>
      </c>
      <c r="E799" s="43" t="s">
        <v>17</v>
      </c>
      <c r="F799" s="44">
        <v>31</v>
      </c>
      <c r="G799" s="43">
        <v>0</v>
      </c>
      <c r="H799" s="43">
        <v>0</v>
      </c>
      <c r="I799" s="44">
        <v>349244</v>
      </c>
      <c r="J799" s="43">
        <v>8.6833</v>
      </c>
      <c r="K799" s="43"/>
      <c r="L799" s="43" t="s">
        <v>15</v>
      </c>
    </row>
    <row r="800" spans="1:12">
      <c r="A800" s="43">
        <v>799</v>
      </c>
      <c r="B800" s="43">
        <v>0</v>
      </c>
      <c r="C800" s="43">
        <v>3</v>
      </c>
      <c r="D800" s="43" t="s">
        <v>1108</v>
      </c>
      <c r="E800" s="43" t="s">
        <v>13</v>
      </c>
      <c r="F800" s="44">
        <v>30</v>
      </c>
      <c r="G800" s="43">
        <v>0</v>
      </c>
      <c r="H800" s="43">
        <v>0</v>
      </c>
      <c r="I800" s="44">
        <v>2685</v>
      </c>
      <c r="J800" s="43">
        <v>7.2292</v>
      </c>
      <c r="K800" s="43"/>
      <c r="L800" s="43" t="s">
        <v>20</v>
      </c>
    </row>
    <row r="801" spans="1:12">
      <c r="A801" s="43">
        <v>800</v>
      </c>
      <c r="B801" s="43">
        <v>0</v>
      </c>
      <c r="C801" s="43">
        <v>3</v>
      </c>
      <c r="D801" s="43" t="s">
        <v>1109</v>
      </c>
      <c r="E801" s="43" t="s">
        <v>17</v>
      </c>
      <c r="F801" s="44">
        <v>30</v>
      </c>
      <c r="G801" s="43">
        <v>1</v>
      </c>
      <c r="H801" s="43">
        <v>1</v>
      </c>
      <c r="I801" s="44">
        <v>345773</v>
      </c>
      <c r="J801" s="43">
        <v>24.15</v>
      </c>
      <c r="K801" s="43"/>
      <c r="L801" s="43" t="s">
        <v>15</v>
      </c>
    </row>
    <row r="802" spans="1:12">
      <c r="A802" s="43">
        <v>801</v>
      </c>
      <c r="B802" s="43">
        <v>0</v>
      </c>
      <c r="C802" s="43">
        <v>2</v>
      </c>
      <c r="D802" s="43" t="s">
        <v>1110</v>
      </c>
      <c r="E802" s="43" t="s">
        <v>13</v>
      </c>
      <c r="F802" s="44">
        <v>34</v>
      </c>
      <c r="G802" s="43">
        <v>0</v>
      </c>
      <c r="H802" s="43">
        <v>0</v>
      </c>
      <c r="I802" s="44">
        <v>250647</v>
      </c>
      <c r="J802" s="43">
        <v>13</v>
      </c>
      <c r="K802" s="43"/>
      <c r="L802" s="43" t="s">
        <v>15</v>
      </c>
    </row>
    <row r="803" spans="1:12">
      <c r="A803" s="43">
        <v>802</v>
      </c>
      <c r="B803" s="43">
        <v>1</v>
      </c>
      <c r="C803" s="43">
        <v>2</v>
      </c>
      <c r="D803" s="43" t="s">
        <v>1111</v>
      </c>
      <c r="E803" s="43" t="s">
        <v>17</v>
      </c>
      <c r="F803" s="44">
        <v>31</v>
      </c>
      <c r="G803" s="43">
        <v>1</v>
      </c>
      <c r="H803" s="43">
        <v>1</v>
      </c>
      <c r="I803" s="44" t="s">
        <v>362</v>
      </c>
      <c r="J803" s="43">
        <v>26.25</v>
      </c>
      <c r="K803" s="43"/>
      <c r="L803" s="43" t="s">
        <v>15</v>
      </c>
    </row>
    <row r="804" spans="1:12">
      <c r="A804" s="43">
        <v>803</v>
      </c>
      <c r="B804" s="43">
        <v>1</v>
      </c>
      <c r="C804" s="43">
        <v>1</v>
      </c>
      <c r="D804" s="43" t="s">
        <v>1112</v>
      </c>
      <c r="E804" s="43" t="s">
        <v>13</v>
      </c>
      <c r="F804" s="44">
        <v>11</v>
      </c>
      <c r="G804" s="43">
        <v>1</v>
      </c>
      <c r="H804" s="43">
        <v>2</v>
      </c>
      <c r="I804" s="44">
        <v>113760</v>
      </c>
      <c r="J804" s="43">
        <v>120</v>
      </c>
      <c r="K804" s="43" t="s">
        <v>579</v>
      </c>
      <c r="L804" s="43" t="s">
        <v>15</v>
      </c>
    </row>
    <row r="805" spans="1:12">
      <c r="A805" s="43">
        <v>804</v>
      </c>
      <c r="B805" s="43">
        <v>1</v>
      </c>
      <c r="C805" s="43">
        <v>3</v>
      </c>
      <c r="D805" s="43" t="s">
        <v>1113</v>
      </c>
      <c r="E805" s="43" t="s">
        <v>13</v>
      </c>
      <c r="F805" s="44">
        <v>0.42</v>
      </c>
      <c r="G805" s="43">
        <v>0</v>
      </c>
      <c r="H805" s="43">
        <v>1</v>
      </c>
      <c r="I805" s="44">
        <v>2625</v>
      </c>
      <c r="J805" s="43">
        <v>8.5167</v>
      </c>
      <c r="K805" s="43"/>
      <c r="L805" s="43" t="s">
        <v>20</v>
      </c>
    </row>
    <row r="806" spans="1:12">
      <c r="A806" s="43">
        <v>805</v>
      </c>
      <c r="B806" s="43">
        <v>1</v>
      </c>
      <c r="C806" s="43">
        <v>3</v>
      </c>
      <c r="D806" s="43" t="s">
        <v>1114</v>
      </c>
      <c r="E806" s="43" t="s">
        <v>13</v>
      </c>
      <c r="F806" s="44">
        <v>27</v>
      </c>
      <c r="G806" s="43">
        <v>0</v>
      </c>
      <c r="H806" s="43">
        <v>0</v>
      </c>
      <c r="I806" s="44">
        <v>347089</v>
      </c>
      <c r="J806" s="43">
        <v>6.975</v>
      </c>
      <c r="K806" s="43"/>
      <c r="L806" s="43" t="s">
        <v>15</v>
      </c>
    </row>
    <row r="807" spans="1:12">
      <c r="A807" s="43">
        <v>806</v>
      </c>
      <c r="B807" s="43">
        <v>0</v>
      </c>
      <c r="C807" s="43">
        <v>3</v>
      </c>
      <c r="D807" s="43" t="s">
        <v>1115</v>
      </c>
      <c r="E807" s="43" t="s">
        <v>13</v>
      </c>
      <c r="F807" s="44">
        <v>31</v>
      </c>
      <c r="G807" s="43">
        <v>0</v>
      </c>
      <c r="H807" s="43">
        <v>0</v>
      </c>
      <c r="I807" s="44">
        <v>347063</v>
      </c>
      <c r="J807" s="43">
        <v>7.775</v>
      </c>
      <c r="K807" s="43"/>
      <c r="L807" s="43" t="s">
        <v>15</v>
      </c>
    </row>
    <row r="808" spans="1:12">
      <c r="A808" s="43">
        <v>807</v>
      </c>
      <c r="B808" s="43">
        <v>0</v>
      </c>
      <c r="C808" s="43">
        <v>1</v>
      </c>
      <c r="D808" s="43" t="s">
        <v>1116</v>
      </c>
      <c r="E808" s="43" t="s">
        <v>13</v>
      </c>
      <c r="F808" s="44">
        <v>39</v>
      </c>
      <c r="G808" s="43">
        <v>0</v>
      </c>
      <c r="H808" s="43">
        <v>0</v>
      </c>
      <c r="I808" s="44">
        <v>112050</v>
      </c>
      <c r="J808" s="43">
        <v>0</v>
      </c>
      <c r="K808" s="43" t="s">
        <v>1117</v>
      </c>
      <c r="L808" s="43" t="s">
        <v>15</v>
      </c>
    </row>
    <row r="809" spans="1:12">
      <c r="A809" s="43">
        <v>808</v>
      </c>
      <c r="B809" s="43">
        <v>0</v>
      </c>
      <c r="C809" s="43">
        <v>3</v>
      </c>
      <c r="D809" s="43" t="s">
        <v>1118</v>
      </c>
      <c r="E809" s="43" t="s">
        <v>17</v>
      </c>
      <c r="F809" s="44">
        <v>18</v>
      </c>
      <c r="G809" s="43">
        <v>0</v>
      </c>
      <c r="H809" s="43">
        <v>0</v>
      </c>
      <c r="I809" s="44">
        <v>347087</v>
      </c>
      <c r="J809" s="43">
        <v>7.775</v>
      </c>
      <c r="K809" s="43"/>
      <c r="L809" s="43" t="s">
        <v>15</v>
      </c>
    </row>
    <row r="810" spans="1:12">
      <c r="A810" s="43">
        <v>809</v>
      </c>
      <c r="B810" s="43">
        <v>0</v>
      </c>
      <c r="C810" s="43">
        <v>2</v>
      </c>
      <c r="D810" s="43" t="s">
        <v>1119</v>
      </c>
      <c r="E810" s="43" t="s">
        <v>13</v>
      </c>
      <c r="F810" s="44">
        <v>39</v>
      </c>
      <c r="G810" s="43">
        <v>0</v>
      </c>
      <c r="H810" s="43">
        <v>0</v>
      </c>
      <c r="I810" s="44">
        <v>248723</v>
      </c>
      <c r="J810" s="43">
        <v>13</v>
      </c>
      <c r="K810" s="43"/>
      <c r="L810" s="43" t="s">
        <v>15</v>
      </c>
    </row>
    <row r="811" spans="1:12">
      <c r="A811" s="43">
        <v>810</v>
      </c>
      <c r="B811" s="43">
        <v>1</v>
      </c>
      <c r="C811" s="43">
        <v>1</v>
      </c>
      <c r="D811" s="43" t="s">
        <v>1120</v>
      </c>
      <c r="E811" s="43" t="s">
        <v>17</v>
      </c>
      <c r="F811" s="44">
        <v>33</v>
      </c>
      <c r="G811" s="43">
        <v>1</v>
      </c>
      <c r="H811" s="43">
        <v>0</v>
      </c>
      <c r="I811" s="44">
        <v>113806</v>
      </c>
      <c r="J811" s="43">
        <v>53.1</v>
      </c>
      <c r="K811" s="43" t="s">
        <v>1015</v>
      </c>
      <c r="L811" s="43" t="s">
        <v>15</v>
      </c>
    </row>
    <row r="812" spans="1:12">
      <c r="A812" s="43">
        <v>811</v>
      </c>
      <c r="B812" s="43">
        <v>0</v>
      </c>
      <c r="C812" s="43">
        <v>3</v>
      </c>
      <c r="D812" s="43" t="s">
        <v>1121</v>
      </c>
      <c r="E812" s="43" t="s">
        <v>13</v>
      </c>
      <c r="F812" s="44">
        <v>26</v>
      </c>
      <c r="G812" s="43">
        <v>0</v>
      </c>
      <c r="H812" s="43">
        <v>0</v>
      </c>
      <c r="I812" s="44">
        <v>3474</v>
      </c>
      <c r="J812" s="43">
        <v>7.8875</v>
      </c>
      <c r="K812" s="43"/>
      <c r="L812" s="43" t="s">
        <v>15</v>
      </c>
    </row>
    <row r="813" spans="1:12">
      <c r="A813" s="43">
        <v>812</v>
      </c>
      <c r="B813" s="43">
        <v>0</v>
      </c>
      <c r="C813" s="43">
        <v>3</v>
      </c>
      <c r="D813" s="43" t="s">
        <v>1122</v>
      </c>
      <c r="E813" s="43" t="s">
        <v>13</v>
      </c>
      <c r="F813" s="44">
        <v>39</v>
      </c>
      <c r="G813" s="43">
        <v>0</v>
      </c>
      <c r="H813" s="43">
        <v>0</v>
      </c>
      <c r="I813" s="44" t="s">
        <v>811</v>
      </c>
      <c r="J813" s="43">
        <v>24.15</v>
      </c>
      <c r="K813" s="43"/>
      <c r="L813" s="43" t="s">
        <v>15</v>
      </c>
    </row>
    <row r="814" spans="1:12">
      <c r="A814" s="43">
        <v>813</v>
      </c>
      <c r="B814" s="43">
        <v>0</v>
      </c>
      <c r="C814" s="43">
        <v>2</v>
      </c>
      <c r="D814" s="43" t="s">
        <v>1123</v>
      </c>
      <c r="E814" s="43" t="s">
        <v>13</v>
      </c>
      <c r="F814" s="44">
        <v>35</v>
      </c>
      <c r="G814" s="43">
        <v>0</v>
      </c>
      <c r="H814" s="43">
        <v>0</v>
      </c>
      <c r="I814" s="44">
        <v>28206</v>
      </c>
      <c r="J814" s="43">
        <v>10.5</v>
      </c>
      <c r="K814" s="43"/>
      <c r="L814" s="43" t="s">
        <v>15</v>
      </c>
    </row>
    <row r="815" spans="1:12">
      <c r="A815" s="43">
        <v>814</v>
      </c>
      <c r="B815" s="43">
        <v>0</v>
      </c>
      <c r="C815" s="43">
        <v>3</v>
      </c>
      <c r="D815" s="43" t="s">
        <v>1124</v>
      </c>
      <c r="E815" s="43" t="s">
        <v>17</v>
      </c>
      <c r="F815" s="44">
        <v>6</v>
      </c>
      <c r="G815" s="43">
        <v>4</v>
      </c>
      <c r="H815" s="43">
        <v>2</v>
      </c>
      <c r="I815" s="44">
        <v>347082</v>
      </c>
      <c r="J815" s="43">
        <v>31.275</v>
      </c>
      <c r="K815" s="43"/>
      <c r="L815" s="43" t="s">
        <v>15</v>
      </c>
    </row>
    <row r="816" spans="1:12">
      <c r="A816" s="43">
        <v>815</v>
      </c>
      <c r="B816" s="43">
        <v>0</v>
      </c>
      <c r="C816" s="43">
        <v>3</v>
      </c>
      <c r="D816" s="43" t="s">
        <v>1125</v>
      </c>
      <c r="E816" s="43" t="s">
        <v>13</v>
      </c>
      <c r="F816" s="44">
        <v>30.5</v>
      </c>
      <c r="G816" s="43">
        <v>0</v>
      </c>
      <c r="H816" s="43">
        <v>0</v>
      </c>
      <c r="I816" s="44">
        <v>364499</v>
      </c>
      <c r="J816" s="43">
        <v>8.05</v>
      </c>
      <c r="K816" s="43"/>
      <c r="L816" s="43" t="s">
        <v>15</v>
      </c>
    </row>
    <row r="817" spans="1:12">
      <c r="A817" s="43">
        <v>816</v>
      </c>
      <c r="B817" s="43">
        <v>0</v>
      </c>
      <c r="C817" s="43">
        <v>1</v>
      </c>
      <c r="D817" s="43" t="s">
        <v>1126</v>
      </c>
      <c r="E817" s="43" t="s">
        <v>13</v>
      </c>
      <c r="F817" s="44" t="s">
        <v>27</v>
      </c>
      <c r="G817" s="43">
        <v>0</v>
      </c>
      <c r="H817" s="43">
        <v>0</v>
      </c>
      <c r="I817" s="44">
        <v>112058</v>
      </c>
      <c r="J817" s="43">
        <v>0</v>
      </c>
      <c r="K817" s="43" t="s">
        <v>1127</v>
      </c>
      <c r="L817" s="43" t="s">
        <v>15</v>
      </c>
    </row>
    <row r="818" spans="1:12">
      <c r="A818" s="43">
        <v>817</v>
      </c>
      <c r="B818" s="43">
        <v>0</v>
      </c>
      <c r="C818" s="43">
        <v>3</v>
      </c>
      <c r="D818" s="43" t="s">
        <v>1128</v>
      </c>
      <c r="E818" s="43" t="s">
        <v>17</v>
      </c>
      <c r="F818" s="44">
        <v>23</v>
      </c>
      <c r="G818" s="43">
        <v>0</v>
      </c>
      <c r="H818" s="43">
        <v>0</v>
      </c>
      <c r="I818" s="44" t="s">
        <v>1129</v>
      </c>
      <c r="J818" s="43">
        <v>7.925</v>
      </c>
      <c r="K818" s="43"/>
      <c r="L818" s="43" t="s">
        <v>15</v>
      </c>
    </row>
    <row r="819" spans="1:12">
      <c r="A819" s="43">
        <v>818</v>
      </c>
      <c r="B819" s="43">
        <v>0</v>
      </c>
      <c r="C819" s="43">
        <v>2</v>
      </c>
      <c r="D819" s="43" t="s">
        <v>1130</v>
      </c>
      <c r="E819" s="43" t="s">
        <v>13</v>
      </c>
      <c r="F819" s="44">
        <v>31</v>
      </c>
      <c r="G819" s="43">
        <v>1</v>
      </c>
      <c r="H819" s="43">
        <v>1</v>
      </c>
      <c r="I819" s="44" t="s">
        <v>1131</v>
      </c>
      <c r="J819" s="43">
        <v>37.0042</v>
      </c>
      <c r="K819" s="43"/>
      <c r="L819" s="43" t="s">
        <v>20</v>
      </c>
    </row>
    <row r="820" spans="1:12">
      <c r="A820" s="43">
        <v>819</v>
      </c>
      <c r="B820" s="43">
        <v>0</v>
      </c>
      <c r="C820" s="43">
        <v>3</v>
      </c>
      <c r="D820" s="43" t="s">
        <v>1132</v>
      </c>
      <c r="E820" s="43" t="s">
        <v>13</v>
      </c>
      <c r="F820" s="44">
        <v>43</v>
      </c>
      <c r="G820" s="43">
        <v>0</v>
      </c>
      <c r="H820" s="43">
        <v>0</v>
      </c>
      <c r="I820" s="44" t="s">
        <v>1133</v>
      </c>
      <c r="J820" s="43">
        <v>6.45</v>
      </c>
      <c r="K820" s="43"/>
      <c r="L820" s="43" t="s">
        <v>15</v>
      </c>
    </row>
    <row r="821" spans="1:12">
      <c r="A821" s="43">
        <v>820</v>
      </c>
      <c r="B821" s="43">
        <v>0</v>
      </c>
      <c r="C821" s="43">
        <v>3</v>
      </c>
      <c r="D821" s="43" t="s">
        <v>1134</v>
      </c>
      <c r="E821" s="43" t="s">
        <v>13</v>
      </c>
      <c r="F821" s="44">
        <v>10</v>
      </c>
      <c r="G821" s="43">
        <v>3</v>
      </c>
      <c r="H821" s="43">
        <v>2</v>
      </c>
      <c r="I821" s="44">
        <v>347088</v>
      </c>
      <c r="J821" s="43">
        <v>27.9</v>
      </c>
      <c r="K821" s="43"/>
      <c r="L821" s="43" t="s">
        <v>15</v>
      </c>
    </row>
    <row r="822" spans="1:12">
      <c r="A822" s="43">
        <v>821</v>
      </c>
      <c r="B822" s="43">
        <v>1</v>
      </c>
      <c r="C822" s="43">
        <v>1</v>
      </c>
      <c r="D822" s="43" t="s">
        <v>1135</v>
      </c>
      <c r="E822" s="43" t="s">
        <v>17</v>
      </c>
      <c r="F822" s="44">
        <v>52</v>
      </c>
      <c r="G822" s="43">
        <v>1</v>
      </c>
      <c r="H822" s="43">
        <v>1</v>
      </c>
      <c r="I822" s="44">
        <v>12749</v>
      </c>
      <c r="J822" s="43">
        <v>93.5</v>
      </c>
      <c r="K822" s="43" t="s">
        <v>1136</v>
      </c>
      <c r="L822" s="43" t="s">
        <v>15</v>
      </c>
    </row>
    <row r="823" spans="1:12">
      <c r="A823" s="43">
        <v>822</v>
      </c>
      <c r="B823" s="43">
        <v>1</v>
      </c>
      <c r="C823" s="43">
        <v>3</v>
      </c>
      <c r="D823" s="43" t="s">
        <v>1137</v>
      </c>
      <c r="E823" s="43" t="s">
        <v>13</v>
      </c>
      <c r="F823" s="44">
        <v>27</v>
      </c>
      <c r="G823" s="43">
        <v>0</v>
      </c>
      <c r="H823" s="43">
        <v>0</v>
      </c>
      <c r="I823" s="44">
        <v>315098</v>
      </c>
      <c r="J823" s="43">
        <v>8.6625</v>
      </c>
      <c r="K823" s="43"/>
      <c r="L823" s="43" t="s">
        <v>15</v>
      </c>
    </row>
    <row r="824" spans="1:12">
      <c r="A824" s="43">
        <v>823</v>
      </c>
      <c r="B824" s="43">
        <v>0</v>
      </c>
      <c r="C824" s="43">
        <v>1</v>
      </c>
      <c r="D824" s="43" t="s">
        <v>1138</v>
      </c>
      <c r="E824" s="43" t="s">
        <v>13</v>
      </c>
      <c r="F824" s="44">
        <v>38</v>
      </c>
      <c r="G824" s="43">
        <v>0</v>
      </c>
      <c r="H824" s="43">
        <v>0</v>
      </c>
      <c r="I824" s="44">
        <v>19972</v>
      </c>
      <c r="J824" s="43">
        <v>0</v>
      </c>
      <c r="K824" s="43"/>
      <c r="L824" s="43" t="s">
        <v>15</v>
      </c>
    </row>
    <row r="825" spans="1:12">
      <c r="A825" s="43">
        <v>824</v>
      </c>
      <c r="B825" s="43">
        <v>1</v>
      </c>
      <c r="C825" s="43">
        <v>3</v>
      </c>
      <c r="D825" s="43" t="s">
        <v>1139</v>
      </c>
      <c r="E825" s="43" t="s">
        <v>17</v>
      </c>
      <c r="F825" s="44">
        <v>27</v>
      </c>
      <c r="G825" s="43">
        <v>0</v>
      </c>
      <c r="H825" s="43">
        <v>1</v>
      </c>
      <c r="I825" s="44">
        <v>392096</v>
      </c>
      <c r="J825" s="43">
        <v>12.475</v>
      </c>
      <c r="K825" s="43" t="s">
        <v>1049</v>
      </c>
      <c r="L825" s="43" t="s">
        <v>15</v>
      </c>
    </row>
    <row r="826" spans="1:12">
      <c r="A826" s="43">
        <v>825</v>
      </c>
      <c r="B826" s="43">
        <v>0</v>
      </c>
      <c r="C826" s="43">
        <v>3</v>
      </c>
      <c r="D826" s="43" t="s">
        <v>1140</v>
      </c>
      <c r="E826" s="43" t="s">
        <v>13</v>
      </c>
      <c r="F826" s="44">
        <v>2</v>
      </c>
      <c r="G826" s="43">
        <v>4</v>
      </c>
      <c r="H826" s="43">
        <v>1</v>
      </c>
      <c r="I826" s="44">
        <v>3101295</v>
      </c>
      <c r="J826" s="43">
        <v>39.6875</v>
      </c>
      <c r="K826" s="43"/>
      <c r="L826" s="43" t="s">
        <v>15</v>
      </c>
    </row>
    <row r="827" spans="1:12">
      <c r="A827" s="43">
        <v>826</v>
      </c>
      <c r="B827" s="43">
        <v>0</v>
      </c>
      <c r="C827" s="43">
        <v>3</v>
      </c>
      <c r="D827" s="43" t="s">
        <v>1141</v>
      </c>
      <c r="E827" s="43" t="s">
        <v>13</v>
      </c>
      <c r="F827" s="44" t="s">
        <v>27</v>
      </c>
      <c r="G827" s="43">
        <v>0</v>
      </c>
      <c r="H827" s="43">
        <v>0</v>
      </c>
      <c r="I827" s="44">
        <v>368323</v>
      </c>
      <c r="J827" s="43">
        <v>6.95</v>
      </c>
      <c r="K827" s="43"/>
      <c r="L827" s="43" t="s">
        <v>28</v>
      </c>
    </row>
    <row r="828" spans="1:12">
      <c r="A828" s="43">
        <v>827</v>
      </c>
      <c r="B828" s="43">
        <v>0</v>
      </c>
      <c r="C828" s="43">
        <v>3</v>
      </c>
      <c r="D828" s="43" t="s">
        <v>1142</v>
      </c>
      <c r="E828" s="43" t="s">
        <v>13</v>
      </c>
      <c r="F828" s="44" t="s">
        <v>27</v>
      </c>
      <c r="G828" s="43">
        <v>0</v>
      </c>
      <c r="H828" s="43">
        <v>0</v>
      </c>
      <c r="I828" s="44">
        <v>1601</v>
      </c>
      <c r="J828" s="43">
        <v>56.4958</v>
      </c>
      <c r="K828" s="43"/>
      <c r="L828" s="43" t="s">
        <v>15</v>
      </c>
    </row>
    <row r="829" spans="1:12">
      <c r="A829" s="43">
        <v>828</v>
      </c>
      <c r="B829" s="43">
        <v>1</v>
      </c>
      <c r="C829" s="43">
        <v>2</v>
      </c>
      <c r="D829" s="43" t="s">
        <v>1143</v>
      </c>
      <c r="E829" s="43" t="s">
        <v>13</v>
      </c>
      <c r="F829" s="44">
        <v>1</v>
      </c>
      <c r="G829" s="43">
        <v>0</v>
      </c>
      <c r="H829" s="43">
        <v>2</v>
      </c>
      <c r="I829" s="44" t="s">
        <v>1131</v>
      </c>
      <c r="J829" s="43">
        <v>37.0042</v>
      </c>
      <c r="K829" s="43"/>
      <c r="L829" s="43" t="s">
        <v>20</v>
      </c>
    </row>
    <row r="830" spans="1:12">
      <c r="A830" s="43">
        <v>829</v>
      </c>
      <c r="B830" s="43">
        <v>1</v>
      </c>
      <c r="C830" s="43">
        <v>3</v>
      </c>
      <c r="D830" s="43" t="s">
        <v>1144</v>
      </c>
      <c r="E830" s="43" t="s">
        <v>13</v>
      </c>
      <c r="F830" s="44" t="s">
        <v>27</v>
      </c>
      <c r="G830" s="43">
        <v>0</v>
      </c>
      <c r="H830" s="43">
        <v>0</v>
      </c>
      <c r="I830" s="44">
        <v>367228</v>
      </c>
      <c r="J830" s="43">
        <v>7.75</v>
      </c>
      <c r="K830" s="43"/>
      <c r="L830" s="43" t="s">
        <v>28</v>
      </c>
    </row>
    <row r="831" spans="1:12">
      <c r="A831" s="43">
        <v>830</v>
      </c>
      <c r="B831" s="43">
        <v>1</v>
      </c>
      <c r="C831" s="43">
        <v>1</v>
      </c>
      <c r="D831" s="43" t="s">
        <v>1145</v>
      </c>
      <c r="E831" s="43" t="s">
        <v>17</v>
      </c>
      <c r="F831" s="44">
        <v>62</v>
      </c>
      <c r="G831" s="43">
        <v>0</v>
      </c>
      <c r="H831" s="43">
        <v>0</v>
      </c>
      <c r="I831" s="44">
        <v>113572</v>
      </c>
      <c r="J831" s="43">
        <v>80</v>
      </c>
      <c r="K831" s="43" t="s">
        <v>109</v>
      </c>
      <c r="L831" s="43"/>
    </row>
    <row r="832" spans="1:12">
      <c r="A832" s="43">
        <v>831</v>
      </c>
      <c r="B832" s="43">
        <v>1</v>
      </c>
      <c r="C832" s="43">
        <v>3</v>
      </c>
      <c r="D832" s="43" t="s">
        <v>1146</v>
      </c>
      <c r="E832" s="43" t="s">
        <v>17</v>
      </c>
      <c r="F832" s="44">
        <v>15</v>
      </c>
      <c r="G832" s="43">
        <v>1</v>
      </c>
      <c r="H832" s="43">
        <v>0</v>
      </c>
      <c r="I832" s="44">
        <v>2659</v>
      </c>
      <c r="J832" s="43">
        <v>14.4542</v>
      </c>
      <c r="K832" s="43"/>
      <c r="L832" s="43" t="s">
        <v>20</v>
      </c>
    </row>
    <row r="833" spans="1:12">
      <c r="A833" s="43">
        <v>832</v>
      </c>
      <c r="B833" s="43">
        <v>1</v>
      </c>
      <c r="C833" s="43">
        <v>2</v>
      </c>
      <c r="D833" s="43" t="s">
        <v>1147</v>
      </c>
      <c r="E833" s="43" t="s">
        <v>13</v>
      </c>
      <c r="F833" s="44">
        <v>0.83</v>
      </c>
      <c r="G833" s="43">
        <v>1</v>
      </c>
      <c r="H833" s="43">
        <v>1</v>
      </c>
      <c r="I833" s="44">
        <v>29106</v>
      </c>
      <c r="J833" s="43">
        <v>18.75</v>
      </c>
      <c r="K833" s="43"/>
      <c r="L833" s="43" t="s">
        <v>15</v>
      </c>
    </row>
    <row r="834" spans="1:12">
      <c r="A834" s="43">
        <v>833</v>
      </c>
      <c r="B834" s="43">
        <v>0</v>
      </c>
      <c r="C834" s="43">
        <v>3</v>
      </c>
      <c r="D834" s="43" t="s">
        <v>1148</v>
      </c>
      <c r="E834" s="43" t="s">
        <v>13</v>
      </c>
      <c r="F834" s="44" t="s">
        <v>27</v>
      </c>
      <c r="G834" s="43">
        <v>0</v>
      </c>
      <c r="H834" s="43">
        <v>0</v>
      </c>
      <c r="I834" s="44">
        <v>2671</v>
      </c>
      <c r="J834" s="43">
        <v>7.2292</v>
      </c>
      <c r="K834" s="43"/>
      <c r="L834" s="43" t="s">
        <v>20</v>
      </c>
    </row>
    <row r="835" spans="1:12">
      <c r="A835" s="43">
        <v>834</v>
      </c>
      <c r="B835" s="43">
        <v>0</v>
      </c>
      <c r="C835" s="43">
        <v>3</v>
      </c>
      <c r="D835" s="43" t="s">
        <v>1149</v>
      </c>
      <c r="E835" s="43" t="s">
        <v>13</v>
      </c>
      <c r="F835" s="44">
        <v>23</v>
      </c>
      <c r="G835" s="43">
        <v>0</v>
      </c>
      <c r="H835" s="43">
        <v>0</v>
      </c>
      <c r="I835" s="44">
        <v>347468</v>
      </c>
      <c r="J835" s="43">
        <v>7.8542</v>
      </c>
      <c r="K835" s="43"/>
      <c r="L835" s="43" t="s">
        <v>15</v>
      </c>
    </row>
    <row r="836" spans="1:12">
      <c r="A836" s="43">
        <v>835</v>
      </c>
      <c r="B836" s="43">
        <v>0</v>
      </c>
      <c r="C836" s="43">
        <v>3</v>
      </c>
      <c r="D836" s="43" t="s">
        <v>1150</v>
      </c>
      <c r="E836" s="43" t="s">
        <v>13</v>
      </c>
      <c r="F836" s="44">
        <v>18</v>
      </c>
      <c r="G836" s="43">
        <v>0</v>
      </c>
      <c r="H836" s="43">
        <v>0</v>
      </c>
      <c r="I836" s="44">
        <v>2223</v>
      </c>
      <c r="J836" s="43">
        <v>8.3</v>
      </c>
      <c r="K836" s="43"/>
      <c r="L836" s="43" t="s">
        <v>15</v>
      </c>
    </row>
    <row r="837" spans="1:12">
      <c r="A837" s="43">
        <v>836</v>
      </c>
      <c r="B837" s="43">
        <v>1</v>
      </c>
      <c r="C837" s="43">
        <v>1</v>
      </c>
      <c r="D837" s="43" t="s">
        <v>1151</v>
      </c>
      <c r="E837" s="43" t="s">
        <v>17</v>
      </c>
      <c r="F837" s="44">
        <v>39</v>
      </c>
      <c r="G837" s="43">
        <v>1</v>
      </c>
      <c r="H837" s="43">
        <v>1</v>
      </c>
      <c r="I837" s="44" t="s">
        <v>1152</v>
      </c>
      <c r="J837" s="43">
        <v>83.1583</v>
      </c>
      <c r="K837" s="43" t="s">
        <v>1153</v>
      </c>
      <c r="L837" s="43" t="s">
        <v>20</v>
      </c>
    </row>
    <row r="838" spans="1:12">
      <c r="A838" s="43">
        <v>837</v>
      </c>
      <c r="B838" s="43">
        <v>0</v>
      </c>
      <c r="C838" s="43">
        <v>3</v>
      </c>
      <c r="D838" s="43" t="s">
        <v>1154</v>
      </c>
      <c r="E838" s="43" t="s">
        <v>13</v>
      </c>
      <c r="F838" s="44">
        <v>21</v>
      </c>
      <c r="G838" s="43">
        <v>0</v>
      </c>
      <c r="H838" s="43">
        <v>0</v>
      </c>
      <c r="I838" s="44">
        <v>315097</v>
      </c>
      <c r="J838" s="43">
        <v>8.6625</v>
      </c>
      <c r="K838" s="43"/>
      <c r="L838" s="43" t="s">
        <v>15</v>
      </c>
    </row>
    <row r="839" spans="1:12">
      <c r="A839" s="43">
        <v>838</v>
      </c>
      <c r="B839" s="43">
        <v>0</v>
      </c>
      <c r="C839" s="43">
        <v>3</v>
      </c>
      <c r="D839" s="43" t="s">
        <v>1155</v>
      </c>
      <c r="E839" s="43" t="s">
        <v>13</v>
      </c>
      <c r="F839" s="44" t="s">
        <v>27</v>
      </c>
      <c r="G839" s="43">
        <v>0</v>
      </c>
      <c r="H839" s="43">
        <v>0</v>
      </c>
      <c r="I839" s="44">
        <v>392092</v>
      </c>
      <c r="J839" s="43">
        <v>8.05</v>
      </c>
      <c r="K839" s="43"/>
      <c r="L839" s="43" t="s">
        <v>15</v>
      </c>
    </row>
    <row r="840" spans="1:12">
      <c r="A840" s="43">
        <v>839</v>
      </c>
      <c r="B840" s="43">
        <v>1</v>
      </c>
      <c r="C840" s="43">
        <v>3</v>
      </c>
      <c r="D840" s="43" t="s">
        <v>1156</v>
      </c>
      <c r="E840" s="43" t="s">
        <v>13</v>
      </c>
      <c r="F840" s="44">
        <v>32</v>
      </c>
      <c r="G840" s="43">
        <v>0</v>
      </c>
      <c r="H840" s="43">
        <v>0</v>
      </c>
      <c r="I840" s="44">
        <v>1601</v>
      </c>
      <c r="J840" s="43">
        <v>56.4958</v>
      </c>
      <c r="K840" s="43"/>
      <c r="L840" s="43" t="s">
        <v>15</v>
      </c>
    </row>
    <row r="841" spans="1:12">
      <c r="A841" s="43">
        <v>840</v>
      </c>
      <c r="B841" s="43">
        <v>1</v>
      </c>
      <c r="C841" s="43">
        <v>1</v>
      </c>
      <c r="D841" s="43" t="s">
        <v>1157</v>
      </c>
      <c r="E841" s="43" t="s">
        <v>13</v>
      </c>
      <c r="F841" s="44" t="s">
        <v>27</v>
      </c>
      <c r="G841" s="43">
        <v>0</v>
      </c>
      <c r="H841" s="43">
        <v>0</v>
      </c>
      <c r="I841" s="44">
        <v>11774</v>
      </c>
      <c r="J841" s="43">
        <v>29.7</v>
      </c>
      <c r="K841" s="43" t="s">
        <v>1158</v>
      </c>
      <c r="L841" s="43" t="s">
        <v>20</v>
      </c>
    </row>
    <row r="842" spans="1:12">
      <c r="A842" s="43">
        <v>841</v>
      </c>
      <c r="B842" s="43">
        <v>0</v>
      </c>
      <c r="C842" s="43">
        <v>3</v>
      </c>
      <c r="D842" s="43" t="s">
        <v>1159</v>
      </c>
      <c r="E842" s="43" t="s">
        <v>13</v>
      </c>
      <c r="F842" s="44">
        <v>20</v>
      </c>
      <c r="G842" s="43">
        <v>0</v>
      </c>
      <c r="H842" s="43">
        <v>0</v>
      </c>
      <c r="I842" s="44" t="s">
        <v>1160</v>
      </c>
      <c r="J842" s="43">
        <v>7.925</v>
      </c>
      <c r="K842" s="43"/>
      <c r="L842" s="43" t="s">
        <v>15</v>
      </c>
    </row>
    <row r="843" spans="1:12">
      <c r="A843" s="43">
        <v>842</v>
      </c>
      <c r="B843" s="43">
        <v>0</v>
      </c>
      <c r="C843" s="43">
        <v>2</v>
      </c>
      <c r="D843" s="43" t="s">
        <v>1161</v>
      </c>
      <c r="E843" s="43" t="s">
        <v>13</v>
      </c>
      <c r="F843" s="44">
        <v>16</v>
      </c>
      <c r="G843" s="43">
        <v>0</v>
      </c>
      <c r="H843" s="43">
        <v>0</v>
      </c>
      <c r="I843" s="44" t="s">
        <v>1073</v>
      </c>
      <c r="J843" s="43">
        <v>10.5</v>
      </c>
      <c r="K843" s="43"/>
      <c r="L843" s="43" t="s">
        <v>15</v>
      </c>
    </row>
    <row r="844" spans="1:12">
      <c r="A844" s="43">
        <v>843</v>
      </c>
      <c r="B844" s="43">
        <v>1</v>
      </c>
      <c r="C844" s="43">
        <v>1</v>
      </c>
      <c r="D844" s="43" t="s">
        <v>1162</v>
      </c>
      <c r="E844" s="43" t="s">
        <v>17</v>
      </c>
      <c r="F844" s="44">
        <v>30</v>
      </c>
      <c r="G844" s="43">
        <v>0</v>
      </c>
      <c r="H844" s="43">
        <v>0</v>
      </c>
      <c r="I844" s="44">
        <v>113798</v>
      </c>
      <c r="J844" s="43">
        <v>31</v>
      </c>
      <c r="K844" s="43"/>
      <c r="L844" s="43" t="s">
        <v>20</v>
      </c>
    </row>
    <row r="845" spans="1:12">
      <c r="A845" s="43">
        <v>844</v>
      </c>
      <c r="B845" s="43">
        <v>0</v>
      </c>
      <c r="C845" s="43">
        <v>3</v>
      </c>
      <c r="D845" s="43" t="s">
        <v>1163</v>
      </c>
      <c r="E845" s="43" t="s">
        <v>13</v>
      </c>
      <c r="F845" s="44">
        <v>34.5</v>
      </c>
      <c r="G845" s="43">
        <v>0</v>
      </c>
      <c r="H845" s="43">
        <v>0</v>
      </c>
      <c r="I845" s="44">
        <v>2683</v>
      </c>
      <c r="J845" s="43">
        <v>6.4375</v>
      </c>
      <c r="K845" s="43"/>
      <c r="L845" s="43" t="s">
        <v>20</v>
      </c>
    </row>
    <row r="846" spans="1:12">
      <c r="A846" s="43">
        <v>845</v>
      </c>
      <c r="B846" s="43">
        <v>0</v>
      </c>
      <c r="C846" s="43">
        <v>3</v>
      </c>
      <c r="D846" s="43" t="s">
        <v>1164</v>
      </c>
      <c r="E846" s="43" t="s">
        <v>13</v>
      </c>
      <c r="F846" s="44">
        <v>17</v>
      </c>
      <c r="G846" s="43">
        <v>0</v>
      </c>
      <c r="H846" s="43">
        <v>0</v>
      </c>
      <c r="I846" s="44">
        <v>315090</v>
      </c>
      <c r="J846" s="43">
        <v>8.6625</v>
      </c>
      <c r="K846" s="43"/>
      <c r="L846" s="43" t="s">
        <v>15</v>
      </c>
    </row>
    <row r="847" spans="1:12">
      <c r="A847" s="43">
        <v>846</v>
      </c>
      <c r="B847" s="43">
        <v>0</v>
      </c>
      <c r="C847" s="43">
        <v>3</v>
      </c>
      <c r="D847" s="43" t="s">
        <v>1165</v>
      </c>
      <c r="E847" s="43" t="s">
        <v>13</v>
      </c>
      <c r="F847" s="44">
        <v>42</v>
      </c>
      <c r="G847" s="43">
        <v>0</v>
      </c>
      <c r="H847" s="43">
        <v>0</v>
      </c>
      <c r="I847" s="44" t="s">
        <v>1166</v>
      </c>
      <c r="J847" s="43">
        <v>7.55</v>
      </c>
      <c r="K847" s="43"/>
      <c r="L847" s="43" t="s">
        <v>15</v>
      </c>
    </row>
    <row r="848" spans="1:12">
      <c r="A848" s="43">
        <v>847</v>
      </c>
      <c r="B848" s="43">
        <v>0</v>
      </c>
      <c r="C848" s="43">
        <v>3</v>
      </c>
      <c r="D848" s="43" t="s">
        <v>1167</v>
      </c>
      <c r="E848" s="43" t="s">
        <v>13</v>
      </c>
      <c r="F848" s="44" t="s">
        <v>27</v>
      </c>
      <c r="G848" s="43">
        <v>8</v>
      </c>
      <c r="H848" s="43">
        <v>2</v>
      </c>
      <c r="I848" s="44" t="s">
        <v>252</v>
      </c>
      <c r="J848" s="43">
        <v>69.55</v>
      </c>
      <c r="K848" s="43"/>
      <c r="L848" s="43" t="s">
        <v>15</v>
      </c>
    </row>
    <row r="849" spans="1:12">
      <c r="A849" s="43">
        <v>848</v>
      </c>
      <c r="B849" s="43">
        <v>0</v>
      </c>
      <c r="C849" s="43">
        <v>3</v>
      </c>
      <c r="D849" s="43" t="s">
        <v>1168</v>
      </c>
      <c r="E849" s="43" t="s">
        <v>13</v>
      </c>
      <c r="F849" s="44">
        <v>35</v>
      </c>
      <c r="G849" s="43">
        <v>0</v>
      </c>
      <c r="H849" s="43">
        <v>0</v>
      </c>
      <c r="I849" s="44">
        <v>349213</v>
      </c>
      <c r="J849" s="43">
        <v>7.8958</v>
      </c>
      <c r="K849" s="43"/>
      <c r="L849" s="43" t="s">
        <v>20</v>
      </c>
    </row>
    <row r="850" spans="1:12">
      <c r="A850" s="43">
        <v>849</v>
      </c>
      <c r="B850" s="43">
        <v>0</v>
      </c>
      <c r="C850" s="43">
        <v>2</v>
      </c>
      <c r="D850" s="43" t="s">
        <v>1169</v>
      </c>
      <c r="E850" s="43" t="s">
        <v>13</v>
      </c>
      <c r="F850" s="44">
        <v>28</v>
      </c>
      <c r="G850" s="43">
        <v>0</v>
      </c>
      <c r="H850" s="43">
        <v>1</v>
      </c>
      <c r="I850" s="44">
        <v>248727</v>
      </c>
      <c r="J850" s="43">
        <v>33</v>
      </c>
      <c r="K850" s="43"/>
      <c r="L850" s="43" t="s">
        <v>15</v>
      </c>
    </row>
    <row r="851" spans="1:12">
      <c r="A851" s="43">
        <v>850</v>
      </c>
      <c r="B851" s="43">
        <v>1</v>
      </c>
      <c r="C851" s="43">
        <v>1</v>
      </c>
      <c r="D851" s="43" t="s">
        <v>1170</v>
      </c>
      <c r="E851" s="43" t="s">
        <v>17</v>
      </c>
      <c r="F851" s="44" t="s">
        <v>27</v>
      </c>
      <c r="G851" s="43">
        <v>1</v>
      </c>
      <c r="H851" s="43">
        <v>0</v>
      </c>
      <c r="I851" s="44">
        <v>17453</v>
      </c>
      <c r="J851" s="43">
        <v>89.1042</v>
      </c>
      <c r="K851" s="43" t="s">
        <v>656</v>
      </c>
      <c r="L851" s="43" t="s">
        <v>20</v>
      </c>
    </row>
    <row r="852" spans="1:12">
      <c r="A852" s="43">
        <v>851</v>
      </c>
      <c r="B852" s="43">
        <v>0</v>
      </c>
      <c r="C852" s="43">
        <v>3</v>
      </c>
      <c r="D852" s="43" t="s">
        <v>1171</v>
      </c>
      <c r="E852" s="43" t="s">
        <v>13</v>
      </c>
      <c r="F852" s="44">
        <v>4</v>
      </c>
      <c r="G852" s="43">
        <v>4</v>
      </c>
      <c r="H852" s="43">
        <v>2</v>
      </c>
      <c r="I852" s="44">
        <v>347082</v>
      </c>
      <c r="J852" s="43">
        <v>31.275</v>
      </c>
      <c r="K852" s="43"/>
      <c r="L852" s="43" t="s">
        <v>15</v>
      </c>
    </row>
    <row r="853" spans="1:12">
      <c r="A853" s="43">
        <v>852</v>
      </c>
      <c r="B853" s="43">
        <v>0</v>
      </c>
      <c r="C853" s="43">
        <v>3</v>
      </c>
      <c r="D853" s="43" t="s">
        <v>1172</v>
      </c>
      <c r="E853" s="43" t="s">
        <v>13</v>
      </c>
      <c r="F853" s="44">
        <v>74</v>
      </c>
      <c r="G853" s="43">
        <v>0</v>
      </c>
      <c r="H853" s="43">
        <v>0</v>
      </c>
      <c r="I853" s="44">
        <v>347060</v>
      </c>
      <c r="J853" s="43">
        <v>7.775</v>
      </c>
      <c r="K853" s="43"/>
      <c r="L853" s="43" t="s">
        <v>15</v>
      </c>
    </row>
    <row r="854" spans="1:12">
      <c r="A854" s="43">
        <v>853</v>
      </c>
      <c r="B854" s="43">
        <v>0</v>
      </c>
      <c r="C854" s="43">
        <v>3</v>
      </c>
      <c r="D854" s="43" t="s">
        <v>1173</v>
      </c>
      <c r="E854" s="43" t="s">
        <v>17</v>
      </c>
      <c r="F854" s="44">
        <v>9</v>
      </c>
      <c r="G854" s="43">
        <v>1</v>
      </c>
      <c r="H854" s="43">
        <v>1</v>
      </c>
      <c r="I854" s="44">
        <v>2678</v>
      </c>
      <c r="J854" s="43">
        <v>15.2458</v>
      </c>
      <c r="K854" s="43"/>
      <c r="L854" s="43" t="s">
        <v>20</v>
      </c>
    </row>
    <row r="855" spans="1:12">
      <c r="A855" s="43">
        <v>854</v>
      </c>
      <c r="B855" s="43">
        <v>1</v>
      </c>
      <c r="C855" s="43">
        <v>1</v>
      </c>
      <c r="D855" s="43" t="s">
        <v>1174</v>
      </c>
      <c r="E855" s="43" t="s">
        <v>17</v>
      </c>
      <c r="F855" s="44">
        <v>16</v>
      </c>
      <c r="G855" s="43">
        <v>0</v>
      </c>
      <c r="H855" s="43">
        <v>1</v>
      </c>
      <c r="I855" s="44" t="s">
        <v>1175</v>
      </c>
      <c r="J855" s="43">
        <v>39.4</v>
      </c>
      <c r="K855" s="43" t="s">
        <v>1176</v>
      </c>
      <c r="L855" s="43" t="s">
        <v>15</v>
      </c>
    </row>
    <row r="856" spans="1:12">
      <c r="A856" s="43">
        <v>855</v>
      </c>
      <c r="B856" s="43">
        <v>0</v>
      </c>
      <c r="C856" s="43">
        <v>2</v>
      </c>
      <c r="D856" s="43" t="s">
        <v>1177</v>
      </c>
      <c r="E856" s="43" t="s">
        <v>17</v>
      </c>
      <c r="F856" s="44">
        <v>44</v>
      </c>
      <c r="G856" s="43">
        <v>1</v>
      </c>
      <c r="H856" s="43">
        <v>0</v>
      </c>
      <c r="I856" s="44">
        <v>244252</v>
      </c>
      <c r="J856" s="43">
        <v>26</v>
      </c>
      <c r="K856" s="43"/>
      <c r="L856" s="43" t="s">
        <v>15</v>
      </c>
    </row>
    <row r="857" spans="1:12">
      <c r="A857" s="43">
        <v>856</v>
      </c>
      <c r="B857" s="43">
        <v>1</v>
      </c>
      <c r="C857" s="43">
        <v>3</v>
      </c>
      <c r="D857" s="43" t="s">
        <v>1178</v>
      </c>
      <c r="E857" s="43" t="s">
        <v>17</v>
      </c>
      <c r="F857" s="44">
        <v>18</v>
      </c>
      <c r="G857" s="43">
        <v>0</v>
      </c>
      <c r="H857" s="43">
        <v>1</v>
      </c>
      <c r="I857" s="44">
        <v>392091</v>
      </c>
      <c r="J857" s="43">
        <v>9.35</v>
      </c>
      <c r="K857" s="43"/>
      <c r="L857" s="43" t="s">
        <v>15</v>
      </c>
    </row>
    <row r="858" spans="1:12">
      <c r="A858" s="43">
        <v>857</v>
      </c>
      <c r="B858" s="43">
        <v>1</v>
      </c>
      <c r="C858" s="43">
        <v>1</v>
      </c>
      <c r="D858" s="43" t="s">
        <v>1179</v>
      </c>
      <c r="E858" s="43" t="s">
        <v>17</v>
      </c>
      <c r="F858" s="44">
        <v>45</v>
      </c>
      <c r="G858" s="43">
        <v>1</v>
      </c>
      <c r="H858" s="43">
        <v>1</v>
      </c>
      <c r="I858" s="44">
        <v>36928</v>
      </c>
      <c r="J858" s="43">
        <v>164.8667</v>
      </c>
      <c r="K858" s="43"/>
      <c r="L858" s="43" t="s">
        <v>15</v>
      </c>
    </row>
    <row r="859" spans="1:12">
      <c r="A859" s="43">
        <v>858</v>
      </c>
      <c r="B859" s="43">
        <v>1</v>
      </c>
      <c r="C859" s="43">
        <v>1</v>
      </c>
      <c r="D859" s="43" t="s">
        <v>1180</v>
      </c>
      <c r="E859" s="43" t="s">
        <v>13</v>
      </c>
      <c r="F859" s="44">
        <v>51</v>
      </c>
      <c r="G859" s="43">
        <v>0</v>
      </c>
      <c r="H859" s="43">
        <v>0</v>
      </c>
      <c r="I859" s="44">
        <v>113055</v>
      </c>
      <c r="J859" s="43">
        <v>26.55</v>
      </c>
      <c r="K859" s="43" t="s">
        <v>1181</v>
      </c>
      <c r="L859" s="43" t="s">
        <v>15</v>
      </c>
    </row>
    <row r="860" spans="1:12">
      <c r="A860" s="43">
        <v>859</v>
      </c>
      <c r="B860" s="43">
        <v>1</v>
      </c>
      <c r="C860" s="43">
        <v>3</v>
      </c>
      <c r="D860" s="43" t="s">
        <v>1182</v>
      </c>
      <c r="E860" s="43" t="s">
        <v>17</v>
      </c>
      <c r="F860" s="44">
        <v>24</v>
      </c>
      <c r="G860" s="43">
        <v>0</v>
      </c>
      <c r="H860" s="43">
        <v>3</v>
      </c>
      <c r="I860" s="44">
        <v>2666</v>
      </c>
      <c r="J860" s="43">
        <v>19.2583</v>
      </c>
      <c r="K860" s="43"/>
      <c r="L860" s="43" t="s">
        <v>20</v>
      </c>
    </row>
    <row r="861" spans="1:12">
      <c r="A861" s="43">
        <v>860</v>
      </c>
      <c r="B861" s="43">
        <v>0</v>
      </c>
      <c r="C861" s="43">
        <v>3</v>
      </c>
      <c r="D861" s="43" t="s">
        <v>1183</v>
      </c>
      <c r="E861" s="43" t="s">
        <v>13</v>
      </c>
      <c r="F861" s="44" t="s">
        <v>27</v>
      </c>
      <c r="G861" s="43">
        <v>0</v>
      </c>
      <c r="H861" s="43">
        <v>0</v>
      </c>
      <c r="I861" s="44">
        <v>2629</v>
      </c>
      <c r="J861" s="43">
        <v>7.2292</v>
      </c>
      <c r="K861" s="43"/>
      <c r="L861" s="43" t="s">
        <v>20</v>
      </c>
    </row>
    <row r="862" spans="1:12">
      <c r="A862" s="43">
        <v>861</v>
      </c>
      <c r="B862" s="43">
        <v>0</v>
      </c>
      <c r="C862" s="43">
        <v>3</v>
      </c>
      <c r="D862" s="43" t="s">
        <v>1184</v>
      </c>
      <c r="E862" s="43" t="s">
        <v>13</v>
      </c>
      <c r="F862" s="44">
        <v>41</v>
      </c>
      <c r="G862" s="43">
        <v>2</v>
      </c>
      <c r="H862" s="43">
        <v>0</v>
      </c>
      <c r="I862" s="44">
        <v>350026</v>
      </c>
      <c r="J862" s="43">
        <v>14.1083</v>
      </c>
      <c r="K862" s="43"/>
      <c r="L862" s="43" t="s">
        <v>15</v>
      </c>
    </row>
    <row r="863" spans="1:12">
      <c r="A863" s="43">
        <v>862</v>
      </c>
      <c r="B863" s="43">
        <v>0</v>
      </c>
      <c r="C863" s="43">
        <v>2</v>
      </c>
      <c r="D863" s="43" t="s">
        <v>1185</v>
      </c>
      <c r="E863" s="43" t="s">
        <v>13</v>
      </c>
      <c r="F863" s="44">
        <v>21</v>
      </c>
      <c r="G863" s="43">
        <v>1</v>
      </c>
      <c r="H863" s="43">
        <v>0</v>
      </c>
      <c r="I863" s="44">
        <v>28134</v>
      </c>
      <c r="J863" s="43">
        <v>11.5</v>
      </c>
      <c r="K863" s="43"/>
      <c r="L863" s="43" t="s">
        <v>15</v>
      </c>
    </row>
    <row r="864" spans="1:12">
      <c r="A864" s="43">
        <v>863</v>
      </c>
      <c r="B864" s="43">
        <v>1</v>
      </c>
      <c r="C864" s="43">
        <v>1</v>
      </c>
      <c r="D864" s="43" t="s">
        <v>1186</v>
      </c>
      <c r="E864" s="43" t="s">
        <v>17</v>
      </c>
      <c r="F864" s="44">
        <v>48</v>
      </c>
      <c r="G864" s="43">
        <v>0</v>
      </c>
      <c r="H864" s="43">
        <v>0</v>
      </c>
      <c r="I864" s="44">
        <v>17466</v>
      </c>
      <c r="J864" s="43">
        <v>25.9292</v>
      </c>
      <c r="K864" s="43" t="s">
        <v>1106</v>
      </c>
      <c r="L864" s="43" t="s">
        <v>15</v>
      </c>
    </row>
    <row r="865" spans="1:12">
      <c r="A865" s="43">
        <v>864</v>
      </c>
      <c r="B865" s="43">
        <v>0</v>
      </c>
      <c r="C865" s="43">
        <v>3</v>
      </c>
      <c r="D865" s="43" t="s">
        <v>1187</v>
      </c>
      <c r="E865" s="43" t="s">
        <v>17</v>
      </c>
      <c r="F865" s="44" t="s">
        <v>27</v>
      </c>
      <c r="G865" s="43">
        <v>8</v>
      </c>
      <c r="H865" s="43">
        <v>2</v>
      </c>
      <c r="I865" s="44" t="s">
        <v>252</v>
      </c>
      <c r="J865" s="43">
        <v>69.55</v>
      </c>
      <c r="K865" s="43"/>
      <c r="L865" s="43" t="s">
        <v>15</v>
      </c>
    </row>
    <row r="866" spans="1:12">
      <c r="A866" s="43">
        <v>865</v>
      </c>
      <c r="B866" s="43">
        <v>0</v>
      </c>
      <c r="C866" s="43">
        <v>2</v>
      </c>
      <c r="D866" s="43" t="s">
        <v>1188</v>
      </c>
      <c r="E866" s="43" t="s">
        <v>13</v>
      </c>
      <c r="F866" s="44">
        <v>24</v>
      </c>
      <c r="G866" s="43">
        <v>0</v>
      </c>
      <c r="H866" s="43">
        <v>0</v>
      </c>
      <c r="I866" s="44">
        <v>233866</v>
      </c>
      <c r="J866" s="43">
        <v>13</v>
      </c>
      <c r="K866" s="43"/>
      <c r="L866" s="43" t="s">
        <v>15</v>
      </c>
    </row>
    <row r="867" spans="1:12">
      <c r="A867" s="43">
        <v>866</v>
      </c>
      <c r="B867" s="43">
        <v>1</v>
      </c>
      <c r="C867" s="43">
        <v>2</v>
      </c>
      <c r="D867" s="43" t="s">
        <v>1189</v>
      </c>
      <c r="E867" s="43" t="s">
        <v>17</v>
      </c>
      <c r="F867" s="44">
        <v>42</v>
      </c>
      <c r="G867" s="43">
        <v>0</v>
      </c>
      <c r="H867" s="43">
        <v>0</v>
      </c>
      <c r="I867" s="44">
        <v>236852</v>
      </c>
      <c r="J867" s="43">
        <v>13</v>
      </c>
      <c r="K867" s="43"/>
      <c r="L867" s="43" t="s">
        <v>15</v>
      </c>
    </row>
    <row r="868" spans="1:12">
      <c r="A868" s="43">
        <v>867</v>
      </c>
      <c r="B868" s="43">
        <v>1</v>
      </c>
      <c r="C868" s="43">
        <v>2</v>
      </c>
      <c r="D868" s="43" t="s">
        <v>1190</v>
      </c>
      <c r="E868" s="43" t="s">
        <v>17</v>
      </c>
      <c r="F868" s="44">
        <v>27</v>
      </c>
      <c r="G868" s="43">
        <v>1</v>
      </c>
      <c r="H868" s="43">
        <v>0</v>
      </c>
      <c r="I868" s="44" t="s">
        <v>1191</v>
      </c>
      <c r="J868" s="43">
        <v>13.8583</v>
      </c>
      <c r="K868" s="43"/>
      <c r="L868" s="43" t="s">
        <v>20</v>
      </c>
    </row>
    <row r="869" spans="1:12">
      <c r="A869" s="43">
        <v>868</v>
      </c>
      <c r="B869" s="43">
        <v>0</v>
      </c>
      <c r="C869" s="43">
        <v>1</v>
      </c>
      <c r="D869" s="43" t="s">
        <v>1192</v>
      </c>
      <c r="E869" s="43" t="s">
        <v>13</v>
      </c>
      <c r="F869" s="44">
        <v>31</v>
      </c>
      <c r="G869" s="43">
        <v>0</v>
      </c>
      <c r="H869" s="43">
        <v>0</v>
      </c>
      <c r="I869" s="44" t="s">
        <v>1193</v>
      </c>
      <c r="J869" s="43">
        <v>50.4958</v>
      </c>
      <c r="K869" s="43" t="s">
        <v>1194</v>
      </c>
      <c r="L869" s="43" t="s">
        <v>15</v>
      </c>
    </row>
    <row r="870" spans="1:12">
      <c r="A870" s="43">
        <v>869</v>
      </c>
      <c r="B870" s="43">
        <v>0</v>
      </c>
      <c r="C870" s="43">
        <v>3</v>
      </c>
      <c r="D870" s="43" t="s">
        <v>1195</v>
      </c>
      <c r="E870" s="43" t="s">
        <v>13</v>
      </c>
      <c r="F870" s="44" t="s">
        <v>27</v>
      </c>
      <c r="G870" s="43">
        <v>0</v>
      </c>
      <c r="H870" s="43">
        <v>0</v>
      </c>
      <c r="I870" s="44">
        <v>345777</v>
      </c>
      <c r="J870" s="43">
        <v>9.5</v>
      </c>
      <c r="K870" s="43"/>
      <c r="L870" s="43" t="s">
        <v>15</v>
      </c>
    </row>
    <row r="871" spans="1:12">
      <c r="A871" s="43">
        <v>870</v>
      </c>
      <c r="B871" s="43">
        <v>1</v>
      </c>
      <c r="C871" s="43">
        <v>3</v>
      </c>
      <c r="D871" s="43" t="s">
        <v>1196</v>
      </c>
      <c r="E871" s="43" t="s">
        <v>13</v>
      </c>
      <c r="F871" s="44">
        <v>4</v>
      </c>
      <c r="G871" s="43">
        <v>1</v>
      </c>
      <c r="H871" s="43">
        <v>1</v>
      </c>
      <c r="I871" s="44">
        <v>347742</v>
      </c>
      <c r="J871" s="43">
        <v>11.1333</v>
      </c>
      <c r="K871" s="43"/>
      <c r="L871" s="43" t="s">
        <v>15</v>
      </c>
    </row>
    <row r="872" spans="1:12">
      <c r="A872" s="43">
        <v>871</v>
      </c>
      <c r="B872" s="43">
        <v>0</v>
      </c>
      <c r="C872" s="43">
        <v>3</v>
      </c>
      <c r="D872" s="43" t="s">
        <v>1197</v>
      </c>
      <c r="E872" s="43" t="s">
        <v>13</v>
      </c>
      <c r="F872" s="44">
        <v>26</v>
      </c>
      <c r="G872" s="43">
        <v>0</v>
      </c>
      <c r="H872" s="43">
        <v>0</v>
      </c>
      <c r="I872" s="44">
        <v>349248</v>
      </c>
      <c r="J872" s="43">
        <v>7.8958</v>
      </c>
      <c r="K872" s="43"/>
      <c r="L872" s="43" t="s">
        <v>15</v>
      </c>
    </row>
    <row r="873" spans="1:12">
      <c r="A873" s="43">
        <v>872</v>
      </c>
      <c r="B873" s="43">
        <v>1</v>
      </c>
      <c r="C873" s="43">
        <v>1</v>
      </c>
      <c r="D873" s="43" t="s">
        <v>1198</v>
      </c>
      <c r="E873" s="43" t="s">
        <v>17</v>
      </c>
      <c r="F873" s="44">
        <v>47</v>
      </c>
      <c r="G873" s="43">
        <v>1</v>
      </c>
      <c r="H873" s="43">
        <v>1</v>
      </c>
      <c r="I873" s="44">
        <v>11751</v>
      </c>
      <c r="J873" s="43">
        <v>52.5542</v>
      </c>
      <c r="K873" s="43" t="s">
        <v>378</v>
      </c>
      <c r="L873" s="43" t="s">
        <v>15</v>
      </c>
    </row>
    <row r="874" spans="1:12">
      <c r="A874" s="43">
        <v>873</v>
      </c>
      <c r="B874" s="43">
        <v>0</v>
      </c>
      <c r="C874" s="43">
        <v>1</v>
      </c>
      <c r="D874" s="43" t="s">
        <v>1199</v>
      </c>
      <c r="E874" s="43" t="s">
        <v>13</v>
      </c>
      <c r="F874" s="44">
        <v>33</v>
      </c>
      <c r="G874" s="43">
        <v>0</v>
      </c>
      <c r="H874" s="43">
        <v>0</v>
      </c>
      <c r="I874" s="44">
        <v>695</v>
      </c>
      <c r="J874" s="43">
        <v>5</v>
      </c>
      <c r="K874" s="43" t="s">
        <v>958</v>
      </c>
      <c r="L874" s="43" t="s">
        <v>15</v>
      </c>
    </row>
    <row r="875" spans="1:12">
      <c r="A875" s="43">
        <v>874</v>
      </c>
      <c r="B875" s="43">
        <v>0</v>
      </c>
      <c r="C875" s="43">
        <v>3</v>
      </c>
      <c r="D875" s="43" t="s">
        <v>1200</v>
      </c>
      <c r="E875" s="43" t="s">
        <v>13</v>
      </c>
      <c r="F875" s="44">
        <v>47</v>
      </c>
      <c r="G875" s="43">
        <v>0</v>
      </c>
      <c r="H875" s="43">
        <v>0</v>
      </c>
      <c r="I875" s="44">
        <v>345765</v>
      </c>
      <c r="J875" s="43">
        <v>9</v>
      </c>
      <c r="K875" s="43"/>
      <c r="L875" s="43" t="s">
        <v>15</v>
      </c>
    </row>
    <row r="876" spans="1:12">
      <c r="A876" s="43">
        <v>875</v>
      </c>
      <c r="B876" s="43">
        <v>1</v>
      </c>
      <c r="C876" s="43">
        <v>2</v>
      </c>
      <c r="D876" s="43" t="s">
        <v>1201</v>
      </c>
      <c r="E876" s="43" t="s">
        <v>17</v>
      </c>
      <c r="F876" s="44">
        <v>28</v>
      </c>
      <c r="G876" s="43">
        <v>1</v>
      </c>
      <c r="H876" s="43">
        <v>0</v>
      </c>
      <c r="I876" s="44" t="s">
        <v>466</v>
      </c>
      <c r="J876" s="43">
        <v>24</v>
      </c>
      <c r="K876" s="43"/>
      <c r="L876" s="43" t="s">
        <v>20</v>
      </c>
    </row>
    <row r="877" spans="1:12">
      <c r="A877" s="43">
        <v>876</v>
      </c>
      <c r="B877" s="43">
        <v>1</v>
      </c>
      <c r="C877" s="43">
        <v>3</v>
      </c>
      <c r="D877" s="43" t="s">
        <v>1202</v>
      </c>
      <c r="E877" s="43" t="s">
        <v>17</v>
      </c>
      <c r="F877" s="44">
        <v>15</v>
      </c>
      <c r="G877" s="43">
        <v>0</v>
      </c>
      <c r="H877" s="43">
        <v>0</v>
      </c>
      <c r="I877" s="44">
        <v>2667</v>
      </c>
      <c r="J877" s="43">
        <v>7.225</v>
      </c>
      <c r="K877" s="43"/>
      <c r="L877" s="43" t="s">
        <v>20</v>
      </c>
    </row>
    <row r="878" spans="1:12">
      <c r="A878" s="43">
        <v>877</v>
      </c>
      <c r="B878" s="43">
        <v>0</v>
      </c>
      <c r="C878" s="43">
        <v>3</v>
      </c>
      <c r="D878" s="43" t="s">
        <v>1203</v>
      </c>
      <c r="E878" s="43" t="s">
        <v>13</v>
      </c>
      <c r="F878" s="44">
        <v>20</v>
      </c>
      <c r="G878" s="43">
        <v>0</v>
      </c>
      <c r="H878" s="43">
        <v>0</v>
      </c>
      <c r="I878" s="44">
        <v>7534</v>
      </c>
      <c r="J878" s="43">
        <v>9.8458</v>
      </c>
      <c r="K878" s="43"/>
      <c r="L878" s="43" t="s">
        <v>15</v>
      </c>
    </row>
    <row r="879" spans="1:12">
      <c r="A879" s="43">
        <v>878</v>
      </c>
      <c r="B879" s="43">
        <v>0</v>
      </c>
      <c r="C879" s="43">
        <v>3</v>
      </c>
      <c r="D879" s="43" t="s">
        <v>1204</v>
      </c>
      <c r="E879" s="43" t="s">
        <v>13</v>
      </c>
      <c r="F879" s="44">
        <v>19</v>
      </c>
      <c r="G879" s="43">
        <v>0</v>
      </c>
      <c r="H879" s="43">
        <v>0</v>
      </c>
      <c r="I879" s="44">
        <v>349212</v>
      </c>
      <c r="J879" s="43">
        <v>7.8958</v>
      </c>
      <c r="K879" s="43"/>
      <c r="L879" s="43" t="s">
        <v>15</v>
      </c>
    </row>
    <row r="880" spans="1:12">
      <c r="A880" s="43">
        <v>879</v>
      </c>
      <c r="B880" s="43">
        <v>0</v>
      </c>
      <c r="C880" s="43">
        <v>3</v>
      </c>
      <c r="D880" s="43" t="s">
        <v>1205</v>
      </c>
      <c r="E880" s="43" t="s">
        <v>13</v>
      </c>
      <c r="F880" s="44" t="s">
        <v>27</v>
      </c>
      <c r="G880" s="43">
        <v>0</v>
      </c>
      <c r="H880" s="43">
        <v>0</v>
      </c>
      <c r="I880" s="44">
        <v>349217</v>
      </c>
      <c r="J880" s="43">
        <v>7.8958</v>
      </c>
      <c r="K880" s="43"/>
      <c r="L880" s="43" t="s">
        <v>15</v>
      </c>
    </row>
    <row r="881" spans="1:12">
      <c r="A881" s="43">
        <v>880</v>
      </c>
      <c r="B881" s="43">
        <v>1</v>
      </c>
      <c r="C881" s="43">
        <v>1</v>
      </c>
      <c r="D881" s="43" t="s">
        <v>1206</v>
      </c>
      <c r="E881" s="43" t="s">
        <v>17</v>
      </c>
      <c r="F881" s="44">
        <v>56</v>
      </c>
      <c r="G881" s="43">
        <v>0</v>
      </c>
      <c r="H881" s="43">
        <v>1</v>
      </c>
      <c r="I881" s="44">
        <v>11767</v>
      </c>
      <c r="J881" s="43">
        <v>83.1583</v>
      </c>
      <c r="K881" s="43" t="s">
        <v>1207</v>
      </c>
      <c r="L881" s="43" t="s">
        <v>20</v>
      </c>
    </row>
    <row r="882" spans="1:12">
      <c r="A882" s="43">
        <v>881</v>
      </c>
      <c r="B882" s="43">
        <v>1</v>
      </c>
      <c r="C882" s="43">
        <v>2</v>
      </c>
      <c r="D882" s="43" t="s">
        <v>1208</v>
      </c>
      <c r="E882" s="43" t="s">
        <v>17</v>
      </c>
      <c r="F882" s="44">
        <v>25</v>
      </c>
      <c r="G882" s="43">
        <v>0</v>
      </c>
      <c r="H882" s="43">
        <v>1</v>
      </c>
      <c r="I882" s="44">
        <v>230433</v>
      </c>
      <c r="J882" s="43">
        <v>26</v>
      </c>
      <c r="K882" s="43"/>
      <c r="L882" s="43" t="s">
        <v>15</v>
      </c>
    </row>
    <row r="883" spans="1:12">
      <c r="A883" s="43">
        <v>882</v>
      </c>
      <c r="B883" s="43">
        <v>0</v>
      </c>
      <c r="C883" s="43">
        <v>3</v>
      </c>
      <c r="D883" s="43" t="s">
        <v>1209</v>
      </c>
      <c r="E883" s="43" t="s">
        <v>13</v>
      </c>
      <c r="F883" s="44">
        <v>33</v>
      </c>
      <c r="G883" s="43">
        <v>0</v>
      </c>
      <c r="H883" s="43">
        <v>0</v>
      </c>
      <c r="I883" s="44">
        <v>349257</v>
      </c>
      <c r="J883" s="43">
        <v>7.8958</v>
      </c>
      <c r="K883" s="43"/>
      <c r="L883" s="43" t="s">
        <v>15</v>
      </c>
    </row>
    <row r="884" spans="1:12">
      <c r="A884" s="43">
        <v>883</v>
      </c>
      <c r="B884" s="43">
        <v>0</v>
      </c>
      <c r="C884" s="43">
        <v>3</v>
      </c>
      <c r="D884" s="43" t="s">
        <v>1210</v>
      </c>
      <c r="E884" s="43" t="s">
        <v>17</v>
      </c>
      <c r="F884" s="44">
        <v>22</v>
      </c>
      <c r="G884" s="43">
        <v>0</v>
      </c>
      <c r="H884" s="43">
        <v>0</v>
      </c>
      <c r="I884" s="44">
        <v>7552</v>
      </c>
      <c r="J884" s="43">
        <v>10.5167</v>
      </c>
      <c r="K884" s="43"/>
      <c r="L884" s="43" t="s">
        <v>15</v>
      </c>
    </row>
    <row r="885" spans="1:12">
      <c r="A885" s="43">
        <v>884</v>
      </c>
      <c r="B885" s="43">
        <v>0</v>
      </c>
      <c r="C885" s="43">
        <v>2</v>
      </c>
      <c r="D885" s="43" t="s">
        <v>1211</v>
      </c>
      <c r="E885" s="43" t="s">
        <v>13</v>
      </c>
      <c r="F885" s="44">
        <v>28</v>
      </c>
      <c r="G885" s="43">
        <v>0</v>
      </c>
      <c r="H885" s="43">
        <v>0</v>
      </c>
      <c r="I885" s="44" t="s">
        <v>1212</v>
      </c>
      <c r="J885" s="43">
        <v>10.5</v>
      </c>
      <c r="K885" s="43"/>
      <c r="L885" s="43" t="s">
        <v>15</v>
      </c>
    </row>
    <row r="886" spans="1:12">
      <c r="A886" s="43">
        <v>885</v>
      </c>
      <c r="B886" s="43">
        <v>0</v>
      </c>
      <c r="C886" s="43">
        <v>3</v>
      </c>
      <c r="D886" s="43" t="s">
        <v>1213</v>
      </c>
      <c r="E886" s="43" t="s">
        <v>13</v>
      </c>
      <c r="F886" s="44">
        <v>25</v>
      </c>
      <c r="G886" s="43">
        <v>0</v>
      </c>
      <c r="H886" s="43">
        <v>0</v>
      </c>
      <c r="I886" s="44" t="s">
        <v>1214</v>
      </c>
      <c r="J886" s="43">
        <v>7.05</v>
      </c>
      <c r="K886" s="43"/>
      <c r="L886" s="43" t="s">
        <v>15</v>
      </c>
    </row>
    <row r="887" spans="1:12">
      <c r="A887" s="43">
        <v>886</v>
      </c>
      <c r="B887" s="43">
        <v>0</v>
      </c>
      <c r="C887" s="43">
        <v>3</v>
      </c>
      <c r="D887" s="43" t="s">
        <v>1215</v>
      </c>
      <c r="E887" s="43" t="s">
        <v>17</v>
      </c>
      <c r="F887" s="44">
        <v>39</v>
      </c>
      <c r="G887" s="43">
        <v>0</v>
      </c>
      <c r="H887" s="43">
        <v>5</v>
      </c>
      <c r="I887" s="44">
        <v>382652</v>
      </c>
      <c r="J887" s="43">
        <v>29.125</v>
      </c>
      <c r="K887" s="43"/>
      <c r="L887" s="43" t="s">
        <v>28</v>
      </c>
    </row>
    <row r="888" spans="1:12">
      <c r="A888" s="43">
        <v>887</v>
      </c>
      <c r="B888" s="43">
        <v>0</v>
      </c>
      <c r="C888" s="43">
        <v>2</v>
      </c>
      <c r="D888" s="43" t="s">
        <v>1216</v>
      </c>
      <c r="E888" s="43" t="s">
        <v>13</v>
      </c>
      <c r="F888" s="44">
        <v>27</v>
      </c>
      <c r="G888" s="43">
        <v>0</v>
      </c>
      <c r="H888" s="43">
        <v>0</v>
      </c>
      <c r="I888" s="44">
        <v>211536</v>
      </c>
      <c r="J888" s="43">
        <v>13</v>
      </c>
      <c r="K888" s="43"/>
      <c r="L888" s="43" t="s">
        <v>15</v>
      </c>
    </row>
    <row r="889" spans="1:12">
      <c r="A889" s="43">
        <v>888</v>
      </c>
      <c r="B889" s="43">
        <v>1</v>
      </c>
      <c r="C889" s="43">
        <v>1</v>
      </c>
      <c r="D889" s="43" t="s">
        <v>1217</v>
      </c>
      <c r="E889" s="43" t="s">
        <v>17</v>
      </c>
      <c r="F889" s="44">
        <v>19</v>
      </c>
      <c r="G889" s="43">
        <v>0</v>
      </c>
      <c r="H889" s="43">
        <v>0</v>
      </c>
      <c r="I889" s="44">
        <v>112053</v>
      </c>
      <c r="J889" s="43">
        <v>30</v>
      </c>
      <c r="K889" s="43" t="s">
        <v>1218</v>
      </c>
      <c r="L889" s="43" t="s">
        <v>15</v>
      </c>
    </row>
    <row r="890" spans="1:12">
      <c r="A890" s="43">
        <v>889</v>
      </c>
      <c r="B890" s="43">
        <v>0</v>
      </c>
      <c r="C890" s="43">
        <v>3</v>
      </c>
      <c r="D890" s="43" t="s">
        <v>1219</v>
      </c>
      <c r="E890" s="43" t="s">
        <v>17</v>
      </c>
      <c r="F890" s="44" t="s">
        <v>27</v>
      </c>
      <c r="G890" s="43">
        <v>1</v>
      </c>
      <c r="H890" s="43">
        <v>2</v>
      </c>
      <c r="I890" s="44" t="s">
        <v>1089</v>
      </c>
      <c r="J890" s="43">
        <v>23.45</v>
      </c>
      <c r="K890" s="43"/>
      <c r="L890" s="43" t="s">
        <v>15</v>
      </c>
    </row>
    <row r="891" spans="1:12">
      <c r="A891" s="43">
        <v>890</v>
      </c>
      <c r="B891" s="43">
        <v>1</v>
      </c>
      <c r="C891" s="43">
        <v>1</v>
      </c>
      <c r="D891" s="43" t="s">
        <v>1220</v>
      </c>
      <c r="E891" s="43" t="s">
        <v>13</v>
      </c>
      <c r="F891" s="44">
        <v>26</v>
      </c>
      <c r="G891" s="43">
        <v>0</v>
      </c>
      <c r="H891" s="43">
        <v>0</v>
      </c>
      <c r="I891" s="44">
        <v>111369</v>
      </c>
      <c r="J891" s="43">
        <v>30</v>
      </c>
      <c r="K891" s="43" t="s">
        <v>1221</v>
      </c>
      <c r="L891" s="43" t="s">
        <v>20</v>
      </c>
    </row>
    <row r="892" spans="1:12">
      <c r="A892" s="43">
        <v>891</v>
      </c>
      <c r="B892" s="43">
        <v>0</v>
      </c>
      <c r="C892" s="43">
        <v>3</v>
      </c>
      <c r="D892" s="43" t="s">
        <v>1222</v>
      </c>
      <c r="E892" s="43" t="s">
        <v>13</v>
      </c>
      <c r="F892" s="44">
        <v>32</v>
      </c>
      <c r="G892" s="43">
        <v>0</v>
      </c>
      <c r="H892" s="43">
        <v>0</v>
      </c>
      <c r="I892" s="44">
        <v>370376</v>
      </c>
      <c r="J892" s="43">
        <v>7.75</v>
      </c>
      <c r="K892" s="43"/>
      <c r="L892" s="43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92"/>
  <sheetViews>
    <sheetView zoomScale="115" zoomScaleNormal="115" zoomScaleSheetLayoutView="60" topLeftCell="D1" workbookViewId="0">
      <selection activeCell="L15" sqref="L15"/>
    </sheetView>
  </sheetViews>
  <sheetFormatPr defaultColWidth="9.81818181818182" defaultRowHeight="14.5"/>
  <cols>
    <col min="1" max="1" width="11.8181818181818" customWidth="1"/>
    <col min="4" max="4" width="16.7272727272727" customWidth="1"/>
    <col min="5" max="5" width="35" style="37" customWidth="1"/>
    <col min="6" max="8" width="11.6363636363636" customWidth="1"/>
    <col min="9" max="9" width="13.8272727272727" customWidth="1"/>
    <col min="12" max="12" width="11.2727272727273" customWidth="1"/>
    <col min="13" max="13" width="15.2454545454545" customWidth="1"/>
    <col min="14" max="14" width="16" customWidth="1"/>
    <col min="15" max="15" width="16.0909090909091" customWidth="1"/>
    <col min="17" max="17" width="12.7272727272727" customWidth="1"/>
    <col min="20" max="20" width="13.9090909090909" customWidth="1"/>
  </cols>
  <sheetData>
    <row r="1" spans="1:20">
      <c r="A1" s="37" t="s">
        <v>0</v>
      </c>
      <c r="B1" s="37" t="s">
        <v>1</v>
      </c>
      <c r="C1" s="37" t="s">
        <v>2</v>
      </c>
      <c r="D1" s="37" t="s">
        <v>1223</v>
      </c>
      <c r="E1" s="37" t="s">
        <v>1224</v>
      </c>
      <c r="F1" s="37" t="s">
        <v>1225</v>
      </c>
      <c r="G1" s="37" t="s">
        <v>1226</v>
      </c>
      <c r="H1" s="37" t="s">
        <v>5</v>
      </c>
      <c r="I1" s="37" t="s">
        <v>1227</v>
      </c>
      <c r="J1" s="37" t="s">
        <v>6</v>
      </c>
      <c r="K1" s="37" t="s">
        <v>7</v>
      </c>
      <c r="L1" s="37" t="s">
        <v>1228</v>
      </c>
      <c r="M1" s="37" t="s">
        <v>1229</v>
      </c>
      <c r="N1" s="37" t="s">
        <v>1230</v>
      </c>
      <c r="O1" s="37" t="s">
        <v>8</v>
      </c>
      <c r="P1" s="37" t="s">
        <v>9</v>
      </c>
      <c r="Q1" s="37" t="s">
        <v>1231</v>
      </c>
      <c r="R1" s="37" t="s">
        <v>10</v>
      </c>
      <c r="S1" s="37" t="s">
        <v>11</v>
      </c>
      <c r="T1" t="s">
        <v>1232</v>
      </c>
    </row>
    <row r="2" spans="1:20">
      <c r="A2" s="37">
        <v>1</v>
      </c>
      <c r="B2" s="37">
        <v>0</v>
      </c>
      <c r="C2" s="37">
        <v>3</v>
      </c>
      <c r="D2" s="37" t="s">
        <v>1233</v>
      </c>
      <c r="E2" s="37" t="s">
        <v>1234</v>
      </c>
      <c r="F2" s="37" t="s">
        <v>1235</v>
      </c>
      <c r="G2" s="37" t="str">
        <f>_xlfn.XLOOKUP(F2,notes!$B$12:$B$18,notes!$C$12:$C$18,"Unknown")</f>
        <v>Male</v>
      </c>
      <c r="H2" s="38">
        <v>22</v>
      </c>
      <c r="I2" s="39" t="str">
        <f>_xlfn.XLOOKUP(H2,notes!$B$4:$B$8,notes!$C$4:$C$8,"Invalid",-1)</f>
        <v>Adult</v>
      </c>
      <c r="J2" s="37">
        <v>1</v>
      </c>
      <c r="K2" s="37">
        <v>0</v>
      </c>
      <c r="L2" s="37">
        <f>(J2+K2)+1</f>
        <v>2</v>
      </c>
      <c r="M2" s="40" t="str">
        <f t="shared" ref="M2:M65" si="0">IF(B2=1,"Survived","Not Survived")</f>
        <v>Not Survived</v>
      </c>
      <c r="N2" s="37" t="str">
        <f>_xlfn.XLOOKUP(L2,notes!$B$28:$B$30,notes!$C$28:$C$30,"Unknown",-1)</f>
        <v>Small Family</v>
      </c>
      <c r="O2" s="37" t="s">
        <v>14</v>
      </c>
      <c r="P2" s="37">
        <v>7.25</v>
      </c>
      <c r="Q2" s="37" t="str">
        <f>IF(P2&gt;=50,"High",IF(P2&gt;=10,"Mid",IF(P2&lt;10,"Low","invalid")))</f>
        <v>Low</v>
      </c>
      <c r="R2" s="37" t="s">
        <v>1236</v>
      </c>
      <c r="S2" s="37" t="s">
        <v>15</v>
      </c>
      <c r="T2" s="41" t="str">
        <f t="shared" ref="T2:T65" si="1">IF(S2="Q","Queenstown",IF(S2="C","Cherbourg",IF(S2="S","Southampton","Unknown")))</f>
        <v>Southampton</v>
      </c>
    </row>
    <row r="3" spans="1:20">
      <c r="A3" s="37">
        <v>2</v>
      </c>
      <c r="B3" s="37">
        <v>1</v>
      </c>
      <c r="C3" s="37">
        <v>1</v>
      </c>
      <c r="D3" s="37" t="s">
        <v>1237</v>
      </c>
      <c r="E3" s="37" t="s">
        <v>1238</v>
      </c>
      <c r="F3" s="37" t="s">
        <v>1239</v>
      </c>
      <c r="G3" s="37" t="str">
        <f>_xlfn.XLOOKUP(F3,notes!$B$12:$B$18,notes!$C$12:$C$18,"Unknown")</f>
        <v>Female</v>
      </c>
      <c r="H3" s="38">
        <v>38</v>
      </c>
      <c r="I3" s="39" t="str">
        <f>_xlfn.XLOOKUP(H3,notes!$B$4:$B$8,notes!$C$4:$C$8,"Invalid",-1)</f>
        <v>Adult</v>
      </c>
      <c r="J3" s="37">
        <v>1</v>
      </c>
      <c r="K3" s="37">
        <v>0</v>
      </c>
      <c r="L3" s="37">
        <f t="shared" ref="L3:L66" si="2">(J3+K3)+1</f>
        <v>2</v>
      </c>
      <c r="M3" s="40" t="str">
        <f t="shared" si="0"/>
        <v>Survived</v>
      </c>
      <c r="N3" s="37" t="str">
        <f>_xlfn.XLOOKUP(L3,notes!$B$28:$B$30,notes!$C$28:$C$30,"Unknown",-1)</f>
        <v>Small Family</v>
      </c>
      <c r="O3" s="37" t="s">
        <v>18</v>
      </c>
      <c r="P3" s="37">
        <v>71.2833</v>
      </c>
      <c r="Q3" s="37" t="str">
        <f t="shared" ref="Q3:Q66" si="3">IF(P3&gt;=50,"High",IF(P3&gt;=10,"Mid",IF(P3&lt;10,"Low","invalid")))</f>
        <v>High</v>
      </c>
      <c r="R3" s="37" t="s">
        <v>19</v>
      </c>
      <c r="S3" s="37" t="s">
        <v>20</v>
      </c>
      <c r="T3" s="41" t="str">
        <f t="shared" si="1"/>
        <v>Cherbourg</v>
      </c>
    </row>
    <row r="4" spans="1:20">
      <c r="A4" s="37">
        <v>3</v>
      </c>
      <c r="B4" s="37">
        <v>1</v>
      </c>
      <c r="C4" s="37">
        <v>3</v>
      </c>
      <c r="D4" s="37" t="s">
        <v>1240</v>
      </c>
      <c r="E4" s="37" t="s">
        <v>1241</v>
      </c>
      <c r="F4" s="37" t="s">
        <v>1242</v>
      </c>
      <c r="G4" s="37" t="str">
        <f>_xlfn.XLOOKUP(F4,notes!$B$12:$B$18,notes!$C$12:$C$18,"Unknown")</f>
        <v>Female</v>
      </c>
      <c r="H4" s="38">
        <v>26</v>
      </c>
      <c r="I4" s="39" t="str">
        <f>_xlfn.XLOOKUP(H4,notes!$B$4:$B$8,notes!$C$4:$C$8,"Invalid",-1)</f>
        <v>Adult</v>
      </c>
      <c r="J4" s="37">
        <v>0</v>
      </c>
      <c r="K4" s="37">
        <v>0</v>
      </c>
      <c r="L4" s="37">
        <f t="shared" si="2"/>
        <v>1</v>
      </c>
      <c r="M4" s="40" t="str">
        <f t="shared" si="0"/>
        <v>Survived</v>
      </c>
      <c r="N4" s="37" t="str">
        <f>_xlfn.XLOOKUP(L4,notes!$B$28:$B$30,notes!$C$28:$C$30,"Unknown",-1)</f>
        <v>Alone</v>
      </c>
      <c r="O4" s="37" t="s">
        <v>22</v>
      </c>
      <c r="P4" s="37">
        <v>7.925</v>
      </c>
      <c r="Q4" s="37" t="str">
        <f t="shared" si="3"/>
        <v>Low</v>
      </c>
      <c r="R4" s="37" t="s">
        <v>1236</v>
      </c>
      <c r="S4" s="37" t="s">
        <v>15</v>
      </c>
      <c r="T4" s="41" t="str">
        <f t="shared" si="1"/>
        <v>Southampton</v>
      </c>
    </row>
    <row r="5" spans="1:20">
      <c r="A5" s="37">
        <v>4</v>
      </c>
      <c r="B5" s="37">
        <v>1</v>
      </c>
      <c r="C5" s="37">
        <v>1</v>
      </c>
      <c r="D5" s="37" t="s">
        <v>1243</v>
      </c>
      <c r="E5" s="37" t="s">
        <v>1244</v>
      </c>
      <c r="F5" s="37" t="s">
        <v>1239</v>
      </c>
      <c r="G5" s="37" t="str">
        <f>_xlfn.XLOOKUP(F5,notes!$B$12:$B$18,notes!$C$12:$C$18,"Unknown")</f>
        <v>Female</v>
      </c>
      <c r="H5" s="38">
        <v>35</v>
      </c>
      <c r="I5" s="39" t="str">
        <f>_xlfn.XLOOKUP(H5,notes!$B$4:$B$8,notes!$C$4:$C$8,"Invalid",-1)</f>
        <v>Adult</v>
      </c>
      <c r="J5" s="37">
        <v>1</v>
      </c>
      <c r="K5" s="37">
        <v>0</v>
      </c>
      <c r="L5" s="37">
        <f t="shared" si="2"/>
        <v>2</v>
      </c>
      <c r="M5" s="40" t="str">
        <f t="shared" si="0"/>
        <v>Survived</v>
      </c>
      <c r="N5" s="37" t="str">
        <f>_xlfn.XLOOKUP(L5,notes!$B$28:$B$30,notes!$C$28:$C$30,"Unknown",-1)</f>
        <v>Small Family</v>
      </c>
      <c r="O5" s="37">
        <v>113803</v>
      </c>
      <c r="P5" s="37">
        <v>53.1</v>
      </c>
      <c r="Q5" s="37" t="str">
        <f t="shared" si="3"/>
        <v>High</v>
      </c>
      <c r="R5" s="37" t="s">
        <v>24</v>
      </c>
      <c r="S5" s="37" t="s">
        <v>15</v>
      </c>
      <c r="T5" s="41" t="str">
        <f t="shared" si="1"/>
        <v>Southampton</v>
      </c>
    </row>
    <row r="6" spans="1:20">
      <c r="A6" s="37">
        <v>5</v>
      </c>
      <c r="B6" s="37">
        <v>0</v>
      </c>
      <c r="C6" s="37">
        <v>3</v>
      </c>
      <c r="D6" s="37" t="s">
        <v>1245</v>
      </c>
      <c r="E6" s="37" t="s">
        <v>1246</v>
      </c>
      <c r="F6" s="37" t="s">
        <v>1235</v>
      </c>
      <c r="G6" s="37" t="str">
        <f>_xlfn.XLOOKUP(F6,notes!$B$12:$B$18,notes!$C$12:$C$18,"Unknown")</f>
        <v>Male</v>
      </c>
      <c r="H6" s="38">
        <v>35</v>
      </c>
      <c r="I6" s="39" t="str">
        <f>_xlfn.XLOOKUP(H6,notes!$B$4:$B$8,notes!$C$4:$C$8,"Invalid",-1)</f>
        <v>Adult</v>
      </c>
      <c r="J6" s="37">
        <v>0</v>
      </c>
      <c r="K6" s="37">
        <v>0</v>
      </c>
      <c r="L6" s="37">
        <f t="shared" si="2"/>
        <v>1</v>
      </c>
      <c r="M6" s="40" t="str">
        <f t="shared" si="0"/>
        <v>Not Survived</v>
      </c>
      <c r="N6" s="37" t="str">
        <f>_xlfn.XLOOKUP(L6,notes!$B$28:$B$30,notes!$C$28:$C$30,"Unknown",-1)</f>
        <v>Alone</v>
      </c>
      <c r="O6" s="37">
        <v>373450</v>
      </c>
      <c r="P6" s="37">
        <v>8.05</v>
      </c>
      <c r="Q6" s="37" t="str">
        <f t="shared" si="3"/>
        <v>Low</v>
      </c>
      <c r="R6" s="37" t="s">
        <v>1236</v>
      </c>
      <c r="S6" s="37" t="s">
        <v>15</v>
      </c>
      <c r="T6" s="41" t="str">
        <f t="shared" si="1"/>
        <v>Southampton</v>
      </c>
    </row>
    <row r="7" spans="1:20">
      <c r="A7" s="37">
        <v>6</v>
      </c>
      <c r="B7" s="37">
        <v>0</v>
      </c>
      <c r="C7" s="37">
        <v>3</v>
      </c>
      <c r="D7" s="37" t="s">
        <v>1247</v>
      </c>
      <c r="E7" s="37" t="s">
        <v>1248</v>
      </c>
      <c r="F7" s="37" t="s">
        <v>1235</v>
      </c>
      <c r="G7" s="37" t="str">
        <f>_xlfn.XLOOKUP(F7,notes!$B$12:$B$18,notes!$C$12:$C$18,"Unknown")</f>
        <v>Male</v>
      </c>
      <c r="H7" s="38" t="s">
        <v>1236</v>
      </c>
      <c r="I7" s="39" t="str">
        <f>_xlfn.XLOOKUP(H7,notes!$B$4:$B$8,notes!$C$4:$C$8,"Invalid",-1)</f>
        <v>Unknown</v>
      </c>
      <c r="J7" s="37">
        <v>0</v>
      </c>
      <c r="K7" s="37">
        <v>0</v>
      </c>
      <c r="L7" s="37">
        <f t="shared" si="2"/>
        <v>1</v>
      </c>
      <c r="M7" s="40" t="str">
        <f t="shared" si="0"/>
        <v>Not Survived</v>
      </c>
      <c r="N7" s="37" t="str">
        <f>_xlfn.XLOOKUP(L7,notes!$B$28:$B$30,notes!$C$28:$C$30,"Unknown",-1)</f>
        <v>Alone</v>
      </c>
      <c r="O7" s="37">
        <v>330877</v>
      </c>
      <c r="P7" s="37">
        <v>8.4583</v>
      </c>
      <c r="Q7" s="37" t="str">
        <f t="shared" si="3"/>
        <v>Low</v>
      </c>
      <c r="R7" s="37" t="s">
        <v>1236</v>
      </c>
      <c r="S7" s="37" t="s">
        <v>28</v>
      </c>
      <c r="T7" s="41" t="str">
        <f t="shared" si="1"/>
        <v>Queenstown</v>
      </c>
    </row>
    <row r="8" spans="1:20">
      <c r="A8" s="37">
        <v>7</v>
      </c>
      <c r="B8" s="37">
        <v>0</v>
      </c>
      <c r="C8" s="37">
        <v>1</v>
      </c>
      <c r="D8" s="37" t="s">
        <v>1249</v>
      </c>
      <c r="E8" s="37" t="s">
        <v>1250</v>
      </c>
      <c r="F8" s="37" t="s">
        <v>1235</v>
      </c>
      <c r="G8" s="37" t="str">
        <f>_xlfn.XLOOKUP(F8,notes!$B$12:$B$18,notes!$C$12:$C$18,"Unknown")</f>
        <v>Male</v>
      </c>
      <c r="H8" s="38">
        <v>54</v>
      </c>
      <c r="I8" s="39" t="str">
        <f>_xlfn.XLOOKUP(H8,notes!$B$4:$B$8,notes!$C$4:$C$8,"Invalid",-1)</f>
        <v>Adult</v>
      </c>
      <c r="J8" s="37">
        <v>0</v>
      </c>
      <c r="K8" s="37">
        <v>0</v>
      </c>
      <c r="L8" s="37">
        <f t="shared" si="2"/>
        <v>1</v>
      </c>
      <c r="M8" s="40" t="str">
        <f t="shared" si="0"/>
        <v>Not Survived</v>
      </c>
      <c r="N8" s="37" t="str">
        <f>_xlfn.XLOOKUP(L8,notes!$B$28:$B$30,notes!$C$28:$C$30,"Unknown",-1)</f>
        <v>Alone</v>
      </c>
      <c r="O8" s="37">
        <v>17463</v>
      </c>
      <c r="P8" s="37">
        <v>51.8625</v>
      </c>
      <c r="Q8" s="37" t="str">
        <f t="shared" si="3"/>
        <v>High</v>
      </c>
      <c r="R8" s="37" t="s">
        <v>30</v>
      </c>
      <c r="S8" s="37" t="s">
        <v>15</v>
      </c>
      <c r="T8" s="41" t="str">
        <f t="shared" si="1"/>
        <v>Southampton</v>
      </c>
    </row>
    <row r="9" spans="1:20">
      <c r="A9" s="37">
        <v>8</v>
      </c>
      <c r="B9" s="37">
        <v>0</v>
      </c>
      <c r="C9" s="37">
        <v>3</v>
      </c>
      <c r="D9" s="37" t="s">
        <v>1251</v>
      </c>
      <c r="E9" s="37" t="s">
        <v>1252</v>
      </c>
      <c r="F9" s="37" t="s">
        <v>1253</v>
      </c>
      <c r="G9" s="37" t="str">
        <f>_xlfn.XLOOKUP(F9,notes!$B$12:$B$18,notes!$C$12:$C$18,"Unknown")</f>
        <v>Male</v>
      </c>
      <c r="H9" s="38">
        <v>2</v>
      </c>
      <c r="I9" s="39" t="str">
        <f>_xlfn.XLOOKUP(H9,notes!$B$4:$B$8,notes!$C$4:$C$8,"Invalid",-1)</f>
        <v>Kid</v>
      </c>
      <c r="J9" s="37">
        <v>3</v>
      </c>
      <c r="K9" s="37">
        <v>1</v>
      </c>
      <c r="L9" s="37">
        <f t="shared" si="2"/>
        <v>5</v>
      </c>
      <c r="M9" s="40" t="str">
        <f t="shared" si="0"/>
        <v>Not Survived</v>
      </c>
      <c r="N9" s="37" t="str">
        <f>_xlfn.XLOOKUP(L9,notes!$B$28:$B$30,notes!$C$28:$C$30,"Unknown",-1)</f>
        <v>Large Family</v>
      </c>
      <c r="O9" s="37">
        <v>349909</v>
      </c>
      <c r="P9" s="37">
        <v>21.075</v>
      </c>
      <c r="Q9" s="37" t="str">
        <f t="shared" si="3"/>
        <v>Mid</v>
      </c>
      <c r="R9" s="37" t="s">
        <v>1236</v>
      </c>
      <c r="S9" s="37" t="s">
        <v>15</v>
      </c>
      <c r="T9" s="41" t="str">
        <f t="shared" si="1"/>
        <v>Southampton</v>
      </c>
    </row>
    <row r="10" spans="1:20">
      <c r="A10" s="37">
        <v>9</v>
      </c>
      <c r="B10" s="37">
        <v>1</v>
      </c>
      <c r="C10" s="37">
        <v>3</v>
      </c>
      <c r="D10" s="37" t="s">
        <v>1254</v>
      </c>
      <c r="E10" s="37" t="s">
        <v>1255</v>
      </c>
      <c r="F10" s="37" t="s">
        <v>1239</v>
      </c>
      <c r="G10" s="37" t="str">
        <f>_xlfn.XLOOKUP(F10,notes!$B$12:$B$18,notes!$C$12:$C$18,"Unknown")</f>
        <v>Female</v>
      </c>
      <c r="H10" s="38">
        <v>27</v>
      </c>
      <c r="I10" s="39" t="str">
        <f>_xlfn.XLOOKUP(H10,notes!$B$4:$B$8,notes!$C$4:$C$8,"Invalid",-1)</f>
        <v>Adult</v>
      </c>
      <c r="J10" s="37">
        <v>0</v>
      </c>
      <c r="K10" s="37">
        <v>2</v>
      </c>
      <c r="L10" s="37">
        <f t="shared" si="2"/>
        <v>3</v>
      </c>
      <c r="M10" s="40" t="str">
        <f t="shared" si="0"/>
        <v>Survived</v>
      </c>
      <c r="N10" s="37" t="str">
        <f>_xlfn.XLOOKUP(L10,notes!$B$28:$B$30,notes!$C$28:$C$30,"Unknown",-1)</f>
        <v>Small Family</v>
      </c>
      <c r="O10" s="37">
        <v>347742</v>
      </c>
      <c r="P10" s="37">
        <v>11.1333</v>
      </c>
      <c r="Q10" s="37" t="str">
        <f t="shared" si="3"/>
        <v>Mid</v>
      </c>
      <c r="R10" s="37" t="s">
        <v>1236</v>
      </c>
      <c r="S10" s="37" t="s">
        <v>15</v>
      </c>
      <c r="T10" s="41" t="str">
        <f t="shared" si="1"/>
        <v>Southampton</v>
      </c>
    </row>
    <row r="11" spans="1:20">
      <c r="A11" s="37">
        <v>10</v>
      </c>
      <c r="B11" s="37">
        <v>1</v>
      </c>
      <c r="C11" s="37">
        <v>2</v>
      </c>
      <c r="D11" s="37" t="s">
        <v>1256</v>
      </c>
      <c r="E11" s="37" t="s">
        <v>1257</v>
      </c>
      <c r="F11" s="37" t="s">
        <v>1239</v>
      </c>
      <c r="G11" s="37" t="str">
        <f>_xlfn.XLOOKUP(F11,notes!$B$12:$B$18,notes!$C$12:$C$18,"Unknown")</f>
        <v>Female</v>
      </c>
      <c r="H11" s="38">
        <v>14</v>
      </c>
      <c r="I11" s="39" t="str">
        <f>_xlfn.XLOOKUP(H11,notes!$B$4:$B$8,notes!$C$4:$C$8,"Invalid",-1)</f>
        <v>Teenager</v>
      </c>
      <c r="J11" s="37">
        <v>1</v>
      </c>
      <c r="K11" s="37">
        <v>0</v>
      </c>
      <c r="L11" s="37">
        <f t="shared" si="2"/>
        <v>2</v>
      </c>
      <c r="M11" s="40" t="str">
        <f t="shared" si="0"/>
        <v>Survived</v>
      </c>
      <c r="N11" s="37" t="str">
        <f>_xlfn.XLOOKUP(L11,notes!$B$28:$B$30,notes!$C$28:$C$30,"Unknown",-1)</f>
        <v>Small Family</v>
      </c>
      <c r="O11" s="37">
        <v>237736</v>
      </c>
      <c r="P11" s="37">
        <v>30.0708</v>
      </c>
      <c r="Q11" s="37" t="str">
        <f t="shared" si="3"/>
        <v>Mid</v>
      </c>
      <c r="R11" s="37" t="s">
        <v>1236</v>
      </c>
      <c r="S11" s="37" t="s">
        <v>20</v>
      </c>
      <c r="T11" s="41" t="str">
        <f t="shared" si="1"/>
        <v>Cherbourg</v>
      </c>
    </row>
    <row r="12" spans="1:20">
      <c r="A12" s="37">
        <v>11</v>
      </c>
      <c r="B12" s="37">
        <v>1</v>
      </c>
      <c r="C12" s="37">
        <v>3</v>
      </c>
      <c r="D12" s="37" t="s">
        <v>1258</v>
      </c>
      <c r="E12" s="37" t="s">
        <v>1259</v>
      </c>
      <c r="F12" s="37" t="s">
        <v>1242</v>
      </c>
      <c r="G12" s="37" t="str">
        <f>_xlfn.XLOOKUP(F12,notes!$B$12:$B$18,notes!$C$12:$C$18,"Unknown")</f>
        <v>Female</v>
      </c>
      <c r="H12" s="38">
        <v>4</v>
      </c>
      <c r="I12" s="39" t="str">
        <f>_xlfn.XLOOKUP(H12,notes!$B$4:$B$8,notes!$C$4:$C$8,"Invalid",-1)</f>
        <v>Kid</v>
      </c>
      <c r="J12" s="37">
        <v>1</v>
      </c>
      <c r="K12" s="37">
        <v>1</v>
      </c>
      <c r="L12" s="37">
        <f t="shared" si="2"/>
        <v>3</v>
      </c>
      <c r="M12" s="40" t="str">
        <f t="shared" si="0"/>
        <v>Survived</v>
      </c>
      <c r="N12" s="37" t="str">
        <f>_xlfn.XLOOKUP(L12,notes!$B$28:$B$30,notes!$C$28:$C$30,"Unknown",-1)</f>
        <v>Small Family</v>
      </c>
      <c r="O12" s="37" t="s">
        <v>35</v>
      </c>
      <c r="P12" s="37">
        <v>16.7</v>
      </c>
      <c r="Q12" s="37" t="str">
        <f t="shared" si="3"/>
        <v>Mid</v>
      </c>
      <c r="R12" s="37" t="s">
        <v>36</v>
      </c>
      <c r="S12" s="37" t="s">
        <v>15</v>
      </c>
      <c r="T12" s="41" t="str">
        <f t="shared" si="1"/>
        <v>Southampton</v>
      </c>
    </row>
    <row r="13" spans="1:20">
      <c r="A13" s="37">
        <v>12</v>
      </c>
      <c r="B13" s="37">
        <v>1</v>
      </c>
      <c r="C13" s="37">
        <v>1</v>
      </c>
      <c r="D13" s="37" t="s">
        <v>1260</v>
      </c>
      <c r="E13" s="37" t="s">
        <v>1261</v>
      </c>
      <c r="F13" s="37" t="s">
        <v>1242</v>
      </c>
      <c r="G13" s="37" t="str">
        <f>_xlfn.XLOOKUP(F13,notes!$B$12:$B$18,notes!$C$12:$C$18,"Unknown")</f>
        <v>Female</v>
      </c>
      <c r="H13" s="38">
        <v>58</v>
      </c>
      <c r="I13" s="39" t="str">
        <f>_xlfn.XLOOKUP(H13,notes!$B$4:$B$8,notes!$C$4:$C$8,"Invalid",-1)</f>
        <v>Adult</v>
      </c>
      <c r="J13" s="37">
        <v>0</v>
      </c>
      <c r="K13" s="37">
        <v>0</v>
      </c>
      <c r="L13" s="37">
        <f t="shared" si="2"/>
        <v>1</v>
      </c>
      <c r="M13" s="40" t="str">
        <f t="shared" si="0"/>
        <v>Survived</v>
      </c>
      <c r="N13" s="37" t="str">
        <f>_xlfn.XLOOKUP(L13,notes!$B$28:$B$30,notes!$C$28:$C$30,"Unknown",-1)</f>
        <v>Alone</v>
      </c>
      <c r="O13" s="37">
        <v>113783</v>
      </c>
      <c r="P13" s="37">
        <v>26.55</v>
      </c>
      <c r="Q13" s="37" t="str">
        <f t="shared" si="3"/>
        <v>Mid</v>
      </c>
      <c r="R13" s="37" t="s">
        <v>38</v>
      </c>
      <c r="S13" s="37" t="s">
        <v>15</v>
      </c>
      <c r="T13" s="41" t="str">
        <f t="shared" si="1"/>
        <v>Southampton</v>
      </c>
    </row>
    <row r="14" spans="1:20">
      <c r="A14" s="37">
        <v>13</v>
      </c>
      <c r="B14" s="37">
        <v>0</v>
      </c>
      <c r="C14" s="37">
        <v>3</v>
      </c>
      <c r="D14" s="37" t="s">
        <v>1262</v>
      </c>
      <c r="E14" s="37" t="s">
        <v>1246</v>
      </c>
      <c r="F14" s="37" t="s">
        <v>1235</v>
      </c>
      <c r="G14" s="37" t="str">
        <f>_xlfn.XLOOKUP(F14,notes!$B$12:$B$18,notes!$C$12:$C$18,"Unknown")</f>
        <v>Male</v>
      </c>
      <c r="H14" s="38">
        <v>20</v>
      </c>
      <c r="I14" s="39" t="str">
        <f>_xlfn.XLOOKUP(H14,notes!$B$4:$B$8,notes!$C$4:$C$8,"Invalid",-1)</f>
        <v>Adult</v>
      </c>
      <c r="J14" s="37">
        <v>0</v>
      </c>
      <c r="K14" s="37">
        <v>0</v>
      </c>
      <c r="L14" s="37">
        <f t="shared" si="2"/>
        <v>1</v>
      </c>
      <c r="M14" s="40" t="str">
        <f t="shared" si="0"/>
        <v>Not Survived</v>
      </c>
      <c r="N14" s="37" t="str">
        <f>_xlfn.XLOOKUP(L14,notes!$B$28:$B$30,notes!$C$28:$C$30,"Unknown",-1)</f>
        <v>Alone</v>
      </c>
      <c r="O14" s="37" t="s">
        <v>40</v>
      </c>
      <c r="P14" s="37">
        <v>8.05</v>
      </c>
      <c r="Q14" s="37" t="str">
        <f t="shared" si="3"/>
        <v>Low</v>
      </c>
      <c r="R14" s="37" t="s">
        <v>1236</v>
      </c>
      <c r="S14" s="37" t="s">
        <v>15</v>
      </c>
      <c r="T14" s="41" t="str">
        <f t="shared" si="1"/>
        <v>Southampton</v>
      </c>
    </row>
    <row r="15" spans="1:20">
      <c r="A15" s="37">
        <v>14</v>
      </c>
      <c r="B15" s="37">
        <v>0</v>
      </c>
      <c r="C15" s="37">
        <v>3</v>
      </c>
      <c r="D15" s="37" t="s">
        <v>1263</v>
      </c>
      <c r="E15" s="37" t="s">
        <v>1264</v>
      </c>
      <c r="F15" s="37" t="s">
        <v>1235</v>
      </c>
      <c r="G15" s="37" t="str">
        <f>_xlfn.XLOOKUP(F15,notes!$B$12:$B$18,notes!$C$12:$C$18,"Unknown")</f>
        <v>Male</v>
      </c>
      <c r="H15" s="38">
        <v>39</v>
      </c>
      <c r="I15" s="39" t="str">
        <f>_xlfn.XLOOKUP(H15,notes!$B$4:$B$8,notes!$C$4:$C$8,"Invalid",-1)</f>
        <v>Adult</v>
      </c>
      <c r="J15" s="37">
        <v>1</v>
      </c>
      <c r="K15" s="37">
        <v>5</v>
      </c>
      <c r="L15" s="37">
        <f t="shared" si="2"/>
        <v>7</v>
      </c>
      <c r="M15" s="40" t="str">
        <f t="shared" si="0"/>
        <v>Not Survived</v>
      </c>
      <c r="N15" s="37" t="str">
        <f>_xlfn.XLOOKUP(L15,notes!$B$28:$B$30,notes!$C$28:$C$30,"Unknown",-1)</f>
        <v>Large Family</v>
      </c>
      <c r="O15" s="37">
        <v>347082</v>
      </c>
      <c r="P15" s="37">
        <v>31.275</v>
      </c>
      <c r="Q15" s="37" t="str">
        <f t="shared" si="3"/>
        <v>Mid</v>
      </c>
      <c r="R15" s="37" t="s">
        <v>1236</v>
      </c>
      <c r="S15" s="37" t="s">
        <v>15</v>
      </c>
      <c r="T15" s="41" t="str">
        <f t="shared" si="1"/>
        <v>Southampton</v>
      </c>
    </row>
    <row r="16" spans="1:20">
      <c r="A16" s="37">
        <v>15</v>
      </c>
      <c r="B16" s="37">
        <v>0</v>
      </c>
      <c r="C16" s="37">
        <v>3</v>
      </c>
      <c r="D16" s="37" t="s">
        <v>1265</v>
      </c>
      <c r="E16" s="37" t="s">
        <v>1266</v>
      </c>
      <c r="F16" s="37" t="s">
        <v>1242</v>
      </c>
      <c r="G16" s="37" t="str">
        <f>_xlfn.XLOOKUP(F16,notes!$B$12:$B$18,notes!$C$12:$C$18,"Unknown")</f>
        <v>Female</v>
      </c>
      <c r="H16" s="38">
        <v>14</v>
      </c>
      <c r="I16" s="39" t="str">
        <f>_xlfn.XLOOKUP(H16,notes!$B$4:$B$8,notes!$C$4:$C$8,"Invalid",-1)</f>
        <v>Teenager</v>
      </c>
      <c r="J16" s="37">
        <v>0</v>
      </c>
      <c r="K16" s="37">
        <v>0</v>
      </c>
      <c r="L16" s="37">
        <f t="shared" si="2"/>
        <v>1</v>
      </c>
      <c r="M16" s="40" t="str">
        <f t="shared" si="0"/>
        <v>Not Survived</v>
      </c>
      <c r="N16" s="37" t="str">
        <f>_xlfn.XLOOKUP(L16,notes!$B$28:$B$30,notes!$C$28:$C$30,"Unknown",-1)</f>
        <v>Alone</v>
      </c>
      <c r="O16" s="37">
        <v>350406</v>
      </c>
      <c r="P16" s="37">
        <v>7.8542</v>
      </c>
      <c r="Q16" s="37" t="str">
        <f t="shared" si="3"/>
        <v>Low</v>
      </c>
      <c r="R16" s="37" t="s">
        <v>1236</v>
      </c>
      <c r="S16" s="37" t="s">
        <v>15</v>
      </c>
      <c r="T16" s="41" t="str">
        <f t="shared" si="1"/>
        <v>Southampton</v>
      </c>
    </row>
    <row r="17" spans="1:20">
      <c r="A17" s="37">
        <v>16</v>
      </c>
      <c r="B17" s="37">
        <v>1</v>
      </c>
      <c r="C17" s="37">
        <v>2</v>
      </c>
      <c r="D17" s="37" t="s">
        <v>1267</v>
      </c>
      <c r="E17" s="37" t="s">
        <v>1268</v>
      </c>
      <c r="F17" s="37" t="s">
        <v>1239</v>
      </c>
      <c r="G17" s="37" t="str">
        <f>_xlfn.XLOOKUP(F17,notes!$B$12:$B$18,notes!$C$12:$C$18,"Unknown")</f>
        <v>Female</v>
      </c>
      <c r="H17" s="38">
        <v>55</v>
      </c>
      <c r="I17" s="39" t="str">
        <f>_xlfn.XLOOKUP(H17,notes!$B$4:$B$8,notes!$C$4:$C$8,"Invalid",-1)</f>
        <v>Adult</v>
      </c>
      <c r="J17" s="37">
        <v>0</v>
      </c>
      <c r="K17" s="37">
        <v>0</v>
      </c>
      <c r="L17" s="37">
        <f t="shared" si="2"/>
        <v>1</v>
      </c>
      <c r="M17" s="40" t="str">
        <f t="shared" si="0"/>
        <v>Survived</v>
      </c>
      <c r="N17" s="37" t="str">
        <f>_xlfn.XLOOKUP(L17,notes!$B$28:$B$30,notes!$C$28:$C$30,"Unknown",-1)</f>
        <v>Alone</v>
      </c>
      <c r="O17" s="37">
        <v>248706</v>
      </c>
      <c r="P17" s="37">
        <v>16</v>
      </c>
      <c r="Q17" s="37" t="str">
        <f t="shared" si="3"/>
        <v>Mid</v>
      </c>
      <c r="R17" s="37" t="s">
        <v>1236</v>
      </c>
      <c r="S17" s="37" t="s">
        <v>15</v>
      </c>
      <c r="T17" s="41" t="str">
        <f t="shared" si="1"/>
        <v>Southampton</v>
      </c>
    </row>
    <row r="18" spans="1:20">
      <c r="A18" s="37">
        <v>17</v>
      </c>
      <c r="B18" s="37">
        <v>0</v>
      </c>
      <c r="C18" s="37">
        <v>3</v>
      </c>
      <c r="D18" s="37" t="s">
        <v>1269</v>
      </c>
      <c r="E18" s="37" t="s">
        <v>1270</v>
      </c>
      <c r="F18" s="37" t="s">
        <v>1253</v>
      </c>
      <c r="G18" s="37" t="str">
        <f>_xlfn.XLOOKUP(F18,notes!$B$12:$B$18,notes!$C$12:$C$18,"Unknown")</f>
        <v>Male</v>
      </c>
      <c r="H18" s="38">
        <v>2</v>
      </c>
      <c r="I18" s="39" t="str">
        <f>_xlfn.XLOOKUP(H18,notes!$B$4:$B$8,notes!$C$4:$C$8,"Invalid",-1)</f>
        <v>Kid</v>
      </c>
      <c r="J18" s="37">
        <v>4</v>
      </c>
      <c r="K18" s="37">
        <v>1</v>
      </c>
      <c r="L18" s="37">
        <f t="shared" si="2"/>
        <v>6</v>
      </c>
      <c r="M18" s="40" t="str">
        <f t="shared" si="0"/>
        <v>Not Survived</v>
      </c>
      <c r="N18" s="37" t="str">
        <f>_xlfn.XLOOKUP(L18,notes!$B$28:$B$30,notes!$C$28:$C$30,"Unknown",-1)</f>
        <v>Large Family</v>
      </c>
      <c r="O18" s="37">
        <v>382652</v>
      </c>
      <c r="P18" s="37">
        <v>29.125</v>
      </c>
      <c r="Q18" s="37" t="str">
        <f t="shared" si="3"/>
        <v>Mid</v>
      </c>
      <c r="R18" s="37" t="s">
        <v>1236</v>
      </c>
      <c r="S18" s="37" t="s">
        <v>28</v>
      </c>
      <c r="T18" s="41" t="str">
        <f t="shared" si="1"/>
        <v>Queenstown</v>
      </c>
    </row>
    <row r="19" spans="1:20">
      <c r="A19" s="37">
        <v>18</v>
      </c>
      <c r="B19" s="37">
        <v>1</v>
      </c>
      <c r="C19" s="37">
        <v>2</v>
      </c>
      <c r="D19" s="37" t="s">
        <v>1271</v>
      </c>
      <c r="E19" s="37" t="s">
        <v>1272</v>
      </c>
      <c r="F19" s="37" t="s">
        <v>1235</v>
      </c>
      <c r="G19" s="37" t="str">
        <f>_xlfn.XLOOKUP(F19,notes!$B$12:$B$18,notes!$C$12:$C$18,"Unknown")</f>
        <v>Male</v>
      </c>
      <c r="H19" s="38" t="s">
        <v>1236</v>
      </c>
      <c r="I19" s="39" t="str">
        <f>_xlfn.XLOOKUP(H19,notes!$B$4:$B$8,notes!$C$4:$C$8,"Invalid",-1)</f>
        <v>Unknown</v>
      </c>
      <c r="J19" s="37">
        <v>0</v>
      </c>
      <c r="K19" s="37">
        <v>0</v>
      </c>
      <c r="L19" s="37">
        <f t="shared" si="2"/>
        <v>1</v>
      </c>
      <c r="M19" s="40" t="str">
        <f t="shared" si="0"/>
        <v>Survived</v>
      </c>
      <c r="N19" s="37" t="str">
        <f>_xlfn.XLOOKUP(L19,notes!$B$28:$B$30,notes!$C$28:$C$30,"Unknown",-1)</f>
        <v>Alone</v>
      </c>
      <c r="O19" s="37">
        <v>244373</v>
      </c>
      <c r="P19" s="37">
        <v>13</v>
      </c>
      <c r="Q19" s="37" t="str">
        <f t="shared" si="3"/>
        <v>Mid</v>
      </c>
      <c r="R19" s="37" t="s">
        <v>1236</v>
      </c>
      <c r="S19" s="37" t="s">
        <v>15</v>
      </c>
      <c r="T19" s="41" t="str">
        <f t="shared" si="1"/>
        <v>Southampton</v>
      </c>
    </row>
    <row r="20" spans="1:20">
      <c r="A20" s="37">
        <v>19</v>
      </c>
      <c r="B20" s="37">
        <v>0</v>
      </c>
      <c r="C20" s="37">
        <v>3</v>
      </c>
      <c r="D20" s="37" t="s">
        <v>1273</v>
      </c>
      <c r="E20" s="37" t="s">
        <v>1274</v>
      </c>
      <c r="F20" s="37" t="s">
        <v>1239</v>
      </c>
      <c r="G20" s="37" t="str">
        <f>_xlfn.XLOOKUP(F20,notes!$B$12:$B$18,notes!$C$12:$C$18,"Unknown")</f>
        <v>Female</v>
      </c>
      <c r="H20" s="38">
        <v>31</v>
      </c>
      <c r="I20" s="39" t="str">
        <f>_xlfn.XLOOKUP(H20,notes!$B$4:$B$8,notes!$C$4:$C$8,"Invalid",-1)</f>
        <v>Adult</v>
      </c>
      <c r="J20" s="37">
        <v>1</v>
      </c>
      <c r="K20" s="37">
        <v>0</v>
      </c>
      <c r="L20" s="37">
        <f t="shared" si="2"/>
        <v>2</v>
      </c>
      <c r="M20" s="40" t="str">
        <f t="shared" si="0"/>
        <v>Not Survived</v>
      </c>
      <c r="N20" s="37" t="str">
        <f>_xlfn.XLOOKUP(L20,notes!$B$28:$B$30,notes!$C$28:$C$30,"Unknown",-1)</f>
        <v>Small Family</v>
      </c>
      <c r="O20" s="37">
        <v>345763</v>
      </c>
      <c r="P20" s="37">
        <v>18</v>
      </c>
      <c r="Q20" s="37" t="str">
        <f t="shared" si="3"/>
        <v>Mid</v>
      </c>
      <c r="R20" s="37" t="s">
        <v>1236</v>
      </c>
      <c r="S20" s="37" t="s">
        <v>15</v>
      </c>
      <c r="T20" s="41" t="str">
        <f t="shared" si="1"/>
        <v>Southampton</v>
      </c>
    </row>
    <row r="21" spans="1:20">
      <c r="A21" s="37">
        <v>20</v>
      </c>
      <c r="B21" s="37">
        <v>1</v>
      </c>
      <c r="C21" s="37">
        <v>3</v>
      </c>
      <c r="D21" s="37" t="s">
        <v>1275</v>
      </c>
      <c r="E21" s="37" t="s">
        <v>1276</v>
      </c>
      <c r="F21" s="37" t="s">
        <v>1239</v>
      </c>
      <c r="G21" s="37" t="str">
        <f>_xlfn.XLOOKUP(F21,notes!$B$12:$B$18,notes!$C$12:$C$18,"Unknown")</f>
        <v>Female</v>
      </c>
      <c r="H21" s="38" t="s">
        <v>1236</v>
      </c>
      <c r="I21" s="39" t="str">
        <f>_xlfn.XLOOKUP(H21,notes!$B$4:$B$8,notes!$C$4:$C$8,"Invalid",-1)</f>
        <v>Unknown</v>
      </c>
      <c r="J21" s="37">
        <v>0</v>
      </c>
      <c r="K21" s="37">
        <v>0</v>
      </c>
      <c r="L21" s="37">
        <f t="shared" si="2"/>
        <v>1</v>
      </c>
      <c r="M21" s="40" t="str">
        <f t="shared" si="0"/>
        <v>Survived</v>
      </c>
      <c r="N21" s="37" t="str">
        <f>_xlfn.XLOOKUP(L21,notes!$B$28:$B$30,notes!$C$28:$C$30,"Unknown",-1)</f>
        <v>Alone</v>
      </c>
      <c r="O21" s="37">
        <v>2649</v>
      </c>
      <c r="P21" s="37">
        <v>7.225</v>
      </c>
      <c r="Q21" s="37" t="str">
        <f t="shared" si="3"/>
        <v>Low</v>
      </c>
      <c r="R21" s="37" t="s">
        <v>1236</v>
      </c>
      <c r="S21" s="37" t="s">
        <v>20</v>
      </c>
      <c r="T21" s="41" t="str">
        <f t="shared" si="1"/>
        <v>Cherbourg</v>
      </c>
    </row>
    <row r="22" spans="1:20">
      <c r="A22" s="37">
        <v>21</v>
      </c>
      <c r="B22" s="37">
        <v>0</v>
      </c>
      <c r="C22" s="37">
        <v>2</v>
      </c>
      <c r="D22" s="37" t="s">
        <v>1277</v>
      </c>
      <c r="E22" s="37" t="s">
        <v>1278</v>
      </c>
      <c r="F22" s="37" t="s">
        <v>1235</v>
      </c>
      <c r="G22" s="37" t="str">
        <f>_xlfn.XLOOKUP(F22,notes!$B$12:$B$18,notes!$C$12:$C$18,"Unknown")</f>
        <v>Male</v>
      </c>
      <c r="H22" s="38">
        <v>35</v>
      </c>
      <c r="I22" s="39" t="str">
        <f>_xlfn.XLOOKUP(H22,notes!$B$4:$B$8,notes!$C$4:$C$8,"Invalid",-1)</f>
        <v>Adult</v>
      </c>
      <c r="J22" s="37">
        <v>0</v>
      </c>
      <c r="K22" s="37">
        <v>0</v>
      </c>
      <c r="L22" s="37">
        <f t="shared" si="2"/>
        <v>1</v>
      </c>
      <c r="M22" s="40" t="str">
        <f t="shared" si="0"/>
        <v>Not Survived</v>
      </c>
      <c r="N22" s="37" t="str">
        <f>_xlfn.XLOOKUP(L22,notes!$B$28:$B$30,notes!$C$28:$C$30,"Unknown",-1)</f>
        <v>Alone</v>
      </c>
      <c r="O22" s="37">
        <v>239865</v>
      </c>
      <c r="P22" s="37">
        <v>26</v>
      </c>
      <c r="Q22" s="37" t="str">
        <f t="shared" si="3"/>
        <v>Mid</v>
      </c>
      <c r="R22" s="37" t="s">
        <v>1236</v>
      </c>
      <c r="S22" s="37" t="s">
        <v>15</v>
      </c>
      <c r="T22" s="41" t="str">
        <f t="shared" si="1"/>
        <v>Southampton</v>
      </c>
    </row>
    <row r="23" spans="1:20">
      <c r="A23" s="37">
        <v>22</v>
      </c>
      <c r="B23" s="37">
        <v>1</v>
      </c>
      <c r="C23" s="37">
        <v>2</v>
      </c>
      <c r="D23" s="37" t="s">
        <v>1279</v>
      </c>
      <c r="E23" s="37" t="s">
        <v>1280</v>
      </c>
      <c r="F23" s="37" t="s">
        <v>1235</v>
      </c>
      <c r="G23" s="37" t="str">
        <f>_xlfn.XLOOKUP(F23,notes!$B$12:$B$18,notes!$C$12:$C$18,"Unknown")</f>
        <v>Male</v>
      </c>
      <c r="H23" s="38">
        <v>34</v>
      </c>
      <c r="I23" s="39" t="str">
        <f>_xlfn.XLOOKUP(H23,notes!$B$4:$B$8,notes!$C$4:$C$8,"Invalid",-1)</f>
        <v>Adult</v>
      </c>
      <c r="J23" s="37">
        <v>0</v>
      </c>
      <c r="K23" s="37">
        <v>0</v>
      </c>
      <c r="L23" s="37">
        <f t="shared" si="2"/>
        <v>1</v>
      </c>
      <c r="M23" s="40" t="str">
        <f t="shared" si="0"/>
        <v>Survived</v>
      </c>
      <c r="N23" s="37" t="str">
        <f>_xlfn.XLOOKUP(L23,notes!$B$28:$B$30,notes!$C$28:$C$30,"Unknown",-1)</f>
        <v>Alone</v>
      </c>
      <c r="O23" s="37">
        <v>248698</v>
      </c>
      <c r="P23" s="37">
        <v>13</v>
      </c>
      <c r="Q23" s="37" t="str">
        <f t="shared" si="3"/>
        <v>Mid</v>
      </c>
      <c r="R23" s="37" t="s">
        <v>50</v>
      </c>
      <c r="S23" s="37" t="s">
        <v>15</v>
      </c>
      <c r="T23" s="41" t="str">
        <f t="shared" si="1"/>
        <v>Southampton</v>
      </c>
    </row>
    <row r="24" spans="1:20">
      <c r="A24" s="37">
        <v>23</v>
      </c>
      <c r="B24" s="37">
        <v>1</v>
      </c>
      <c r="C24" s="37">
        <v>3</v>
      </c>
      <c r="D24" s="37" t="s">
        <v>1281</v>
      </c>
      <c r="E24" s="37" t="s">
        <v>1282</v>
      </c>
      <c r="F24" s="37" t="s">
        <v>1242</v>
      </c>
      <c r="G24" s="37" t="str">
        <f>_xlfn.XLOOKUP(F24,notes!$B$12:$B$18,notes!$C$12:$C$18,"Unknown")</f>
        <v>Female</v>
      </c>
      <c r="H24" s="38">
        <v>15</v>
      </c>
      <c r="I24" s="39" t="str">
        <f>_xlfn.XLOOKUP(H24,notes!$B$4:$B$8,notes!$C$4:$C$8,"Invalid",-1)</f>
        <v>Teenager</v>
      </c>
      <c r="J24" s="37">
        <v>0</v>
      </c>
      <c r="K24" s="37">
        <v>0</v>
      </c>
      <c r="L24" s="37">
        <f t="shared" si="2"/>
        <v>1</v>
      </c>
      <c r="M24" s="40" t="str">
        <f t="shared" si="0"/>
        <v>Survived</v>
      </c>
      <c r="N24" s="37" t="str">
        <f>_xlfn.XLOOKUP(L24,notes!$B$28:$B$30,notes!$C$28:$C$30,"Unknown",-1)</f>
        <v>Alone</v>
      </c>
      <c r="O24" s="37">
        <v>330923</v>
      </c>
      <c r="P24" s="37">
        <v>8.0292</v>
      </c>
      <c r="Q24" s="37" t="str">
        <f t="shared" si="3"/>
        <v>Low</v>
      </c>
      <c r="R24" s="37" t="s">
        <v>1236</v>
      </c>
      <c r="S24" s="37" t="s">
        <v>28</v>
      </c>
      <c r="T24" s="41" t="str">
        <f t="shared" si="1"/>
        <v>Queenstown</v>
      </c>
    </row>
    <row r="25" spans="1:20">
      <c r="A25" s="37">
        <v>24</v>
      </c>
      <c r="B25" s="37">
        <v>1</v>
      </c>
      <c r="C25" s="37">
        <v>1</v>
      </c>
      <c r="D25" s="37" t="s">
        <v>1283</v>
      </c>
      <c r="E25" s="37" t="s">
        <v>1284</v>
      </c>
      <c r="F25" s="37" t="s">
        <v>1235</v>
      </c>
      <c r="G25" s="37" t="str">
        <f>_xlfn.XLOOKUP(F25,notes!$B$12:$B$18,notes!$C$12:$C$18,"Unknown")</f>
        <v>Male</v>
      </c>
      <c r="H25" s="38">
        <v>28</v>
      </c>
      <c r="I25" s="39" t="str">
        <f>_xlfn.XLOOKUP(H25,notes!$B$4:$B$8,notes!$C$4:$C$8,"Invalid",-1)</f>
        <v>Adult</v>
      </c>
      <c r="J25" s="37">
        <v>0</v>
      </c>
      <c r="K25" s="37">
        <v>0</v>
      </c>
      <c r="L25" s="37">
        <f t="shared" si="2"/>
        <v>1</v>
      </c>
      <c r="M25" s="40" t="str">
        <f t="shared" si="0"/>
        <v>Survived</v>
      </c>
      <c r="N25" s="37" t="str">
        <f>_xlfn.XLOOKUP(L25,notes!$B$28:$B$30,notes!$C$28:$C$30,"Unknown",-1)</f>
        <v>Alone</v>
      </c>
      <c r="O25" s="37">
        <v>113788</v>
      </c>
      <c r="P25" s="37">
        <v>35.5</v>
      </c>
      <c r="Q25" s="37" t="str">
        <f t="shared" si="3"/>
        <v>Mid</v>
      </c>
      <c r="R25" s="37" t="s">
        <v>53</v>
      </c>
      <c r="S25" s="37" t="s">
        <v>15</v>
      </c>
      <c r="T25" s="41" t="str">
        <f t="shared" si="1"/>
        <v>Southampton</v>
      </c>
    </row>
    <row r="26" spans="1:20">
      <c r="A26" s="37">
        <v>25</v>
      </c>
      <c r="B26" s="37">
        <v>0</v>
      </c>
      <c r="C26" s="37">
        <v>3</v>
      </c>
      <c r="D26" s="37" t="s">
        <v>1251</v>
      </c>
      <c r="E26" s="37" t="s">
        <v>1285</v>
      </c>
      <c r="F26" s="37" t="s">
        <v>1242</v>
      </c>
      <c r="G26" s="37" t="str">
        <f>_xlfn.XLOOKUP(F26,notes!$B$12:$B$18,notes!$C$12:$C$18,"Unknown")</f>
        <v>Female</v>
      </c>
      <c r="H26" s="38">
        <v>8</v>
      </c>
      <c r="I26" s="39" t="str">
        <f>_xlfn.XLOOKUP(H26,notes!$B$4:$B$8,notes!$C$4:$C$8,"Invalid",-1)</f>
        <v>Kid</v>
      </c>
      <c r="J26" s="37">
        <v>3</v>
      </c>
      <c r="K26" s="37">
        <v>1</v>
      </c>
      <c r="L26" s="37">
        <f t="shared" si="2"/>
        <v>5</v>
      </c>
      <c r="M26" s="40" t="str">
        <f t="shared" si="0"/>
        <v>Not Survived</v>
      </c>
      <c r="N26" s="37" t="str">
        <f>_xlfn.XLOOKUP(L26,notes!$B$28:$B$30,notes!$C$28:$C$30,"Unknown",-1)</f>
        <v>Large Family</v>
      </c>
      <c r="O26" s="37">
        <v>349909</v>
      </c>
      <c r="P26" s="37">
        <v>21.075</v>
      </c>
      <c r="Q26" s="37" t="str">
        <f t="shared" si="3"/>
        <v>Mid</v>
      </c>
      <c r="R26" s="37" t="s">
        <v>1236</v>
      </c>
      <c r="S26" s="37" t="s">
        <v>15</v>
      </c>
      <c r="T26" s="41" t="str">
        <f t="shared" si="1"/>
        <v>Southampton</v>
      </c>
    </row>
    <row r="27" spans="1:20">
      <c r="A27" s="37">
        <v>26</v>
      </c>
      <c r="B27" s="37">
        <v>1</v>
      </c>
      <c r="C27" s="37">
        <v>3</v>
      </c>
      <c r="D27" s="37" t="s">
        <v>1286</v>
      </c>
      <c r="E27" s="37" t="s">
        <v>1287</v>
      </c>
      <c r="F27" s="37" t="s">
        <v>1239</v>
      </c>
      <c r="G27" s="37" t="str">
        <f>_xlfn.XLOOKUP(F27,notes!$B$12:$B$18,notes!$C$12:$C$18,"Unknown")</f>
        <v>Female</v>
      </c>
      <c r="H27" s="38">
        <v>38</v>
      </c>
      <c r="I27" s="39" t="str">
        <f>_xlfn.XLOOKUP(H27,notes!$B$4:$B$8,notes!$C$4:$C$8,"Invalid",-1)</f>
        <v>Adult</v>
      </c>
      <c r="J27" s="37">
        <v>1</v>
      </c>
      <c r="K27" s="37">
        <v>5</v>
      </c>
      <c r="L27" s="37">
        <f t="shared" si="2"/>
        <v>7</v>
      </c>
      <c r="M27" s="40" t="str">
        <f t="shared" si="0"/>
        <v>Survived</v>
      </c>
      <c r="N27" s="37" t="str">
        <f>_xlfn.XLOOKUP(L27,notes!$B$28:$B$30,notes!$C$28:$C$30,"Unknown",-1)</f>
        <v>Large Family</v>
      </c>
      <c r="O27" s="37">
        <v>347077</v>
      </c>
      <c r="P27" s="37">
        <v>31.3875</v>
      </c>
      <c r="Q27" s="37" t="str">
        <f t="shared" si="3"/>
        <v>Mid</v>
      </c>
      <c r="R27" s="37" t="s">
        <v>1236</v>
      </c>
      <c r="S27" s="37" t="s">
        <v>15</v>
      </c>
      <c r="T27" s="41" t="str">
        <f t="shared" si="1"/>
        <v>Southampton</v>
      </c>
    </row>
    <row r="28" spans="1:20">
      <c r="A28" s="37">
        <v>27</v>
      </c>
      <c r="B28" s="37">
        <v>0</v>
      </c>
      <c r="C28" s="37">
        <v>3</v>
      </c>
      <c r="D28" s="37" t="s">
        <v>1288</v>
      </c>
      <c r="E28" s="37" t="s">
        <v>1289</v>
      </c>
      <c r="F28" s="37" t="s">
        <v>1235</v>
      </c>
      <c r="G28" s="37" t="str">
        <f>_xlfn.XLOOKUP(F28,notes!$B$12:$B$18,notes!$C$12:$C$18,"Unknown")</f>
        <v>Male</v>
      </c>
      <c r="H28" s="38" t="s">
        <v>1236</v>
      </c>
      <c r="I28" s="39" t="str">
        <f>_xlfn.XLOOKUP(H28,notes!$B$4:$B$8,notes!$C$4:$C$8,"Invalid",-1)</f>
        <v>Unknown</v>
      </c>
      <c r="J28" s="37">
        <v>0</v>
      </c>
      <c r="K28" s="37">
        <v>0</v>
      </c>
      <c r="L28" s="37">
        <f t="shared" si="2"/>
        <v>1</v>
      </c>
      <c r="M28" s="40" t="str">
        <f t="shared" si="0"/>
        <v>Not Survived</v>
      </c>
      <c r="N28" s="37" t="str">
        <f>_xlfn.XLOOKUP(L28,notes!$B$28:$B$30,notes!$C$28:$C$30,"Unknown",-1)</f>
        <v>Alone</v>
      </c>
      <c r="O28" s="37">
        <v>2631</v>
      </c>
      <c r="P28" s="37">
        <v>7.225</v>
      </c>
      <c r="Q28" s="37" t="str">
        <f t="shared" si="3"/>
        <v>Low</v>
      </c>
      <c r="R28" s="37" t="s">
        <v>1236</v>
      </c>
      <c r="S28" s="37" t="s">
        <v>20</v>
      </c>
      <c r="T28" s="41" t="str">
        <f t="shared" si="1"/>
        <v>Cherbourg</v>
      </c>
    </row>
    <row r="29" spans="1:20">
      <c r="A29" s="37">
        <v>28</v>
      </c>
      <c r="B29" s="37">
        <v>0</v>
      </c>
      <c r="C29" s="37">
        <v>1</v>
      </c>
      <c r="D29" s="37" t="s">
        <v>1290</v>
      </c>
      <c r="E29" s="37" t="s">
        <v>1291</v>
      </c>
      <c r="F29" s="37" t="s">
        <v>1235</v>
      </c>
      <c r="G29" s="37" t="str">
        <f>_xlfn.XLOOKUP(F29,notes!$B$12:$B$18,notes!$C$12:$C$18,"Unknown")</f>
        <v>Male</v>
      </c>
      <c r="H29" s="38">
        <v>19</v>
      </c>
      <c r="I29" s="39" t="str">
        <f>_xlfn.XLOOKUP(H29,notes!$B$4:$B$8,notes!$C$4:$C$8,"Invalid",-1)</f>
        <v>Teenager</v>
      </c>
      <c r="J29" s="37">
        <v>3</v>
      </c>
      <c r="K29" s="37">
        <v>2</v>
      </c>
      <c r="L29" s="37">
        <f t="shared" si="2"/>
        <v>6</v>
      </c>
      <c r="M29" s="40" t="str">
        <f t="shared" si="0"/>
        <v>Not Survived</v>
      </c>
      <c r="N29" s="37" t="str">
        <f>_xlfn.XLOOKUP(L29,notes!$B$28:$B$30,notes!$C$28:$C$30,"Unknown",-1)</f>
        <v>Large Family</v>
      </c>
      <c r="O29" s="37">
        <v>19950</v>
      </c>
      <c r="P29" s="37">
        <v>263</v>
      </c>
      <c r="Q29" s="37" t="str">
        <f t="shared" si="3"/>
        <v>High</v>
      </c>
      <c r="R29" s="37" t="s">
        <v>58</v>
      </c>
      <c r="S29" s="37" t="s">
        <v>15</v>
      </c>
      <c r="T29" s="41" t="str">
        <f t="shared" si="1"/>
        <v>Southampton</v>
      </c>
    </row>
    <row r="30" spans="1:20">
      <c r="A30" s="37">
        <v>29</v>
      </c>
      <c r="B30" s="37">
        <v>1</v>
      </c>
      <c r="C30" s="37">
        <v>3</v>
      </c>
      <c r="D30" s="37" t="s">
        <v>1292</v>
      </c>
      <c r="E30" s="37" t="s">
        <v>1293</v>
      </c>
      <c r="F30" s="37" t="s">
        <v>1242</v>
      </c>
      <c r="G30" s="37" t="str">
        <f>_xlfn.XLOOKUP(F30,notes!$B$12:$B$18,notes!$C$12:$C$18,"Unknown")</f>
        <v>Female</v>
      </c>
      <c r="H30" s="38" t="s">
        <v>1236</v>
      </c>
      <c r="I30" s="39" t="str">
        <f>_xlfn.XLOOKUP(H30,notes!$B$4:$B$8,notes!$C$4:$C$8,"Invalid",-1)</f>
        <v>Unknown</v>
      </c>
      <c r="J30" s="37">
        <v>0</v>
      </c>
      <c r="K30" s="37">
        <v>0</v>
      </c>
      <c r="L30" s="37">
        <f t="shared" si="2"/>
        <v>1</v>
      </c>
      <c r="M30" s="40" t="str">
        <f t="shared" si="0"/>
        <v>Survived</v>
      </c>
      <c r="N30" s="37" t="str">
        <f>_xlfn.XLOOKUP(L30,notes!$B$28:$B$30,notes!$C$28:$C$30,"Unknown",-1)</f>
        <v>Alone</v>
      </c>
      <c r="O30" s="37">
        <v>330959</v>
      </c>
      <c r="P30" s="37">
        <v>7.8792</v>
      </c>
      <c r="Q30" s="37" t="str">
        <f t="shared" si="3"/>
        <v>Low</v>
      </c>
      <c r="R30" s="37" t="s">
        <v>1236</v>
      </c>
      <c r="S30" s="37" t="s">
        <v>28</v>
      </c>
      <c r="T30" s="41" t="str">
        <f t="shared" si="1"/>
        <v>Queenstown</v>
      </c>
    </row>
    <row r="31" spans="1:20">
      <c r="A31" s="37">
        <v>30</v>
      </c>
      <c r="B31" s="37">
        <v>0</v>
      </c>
      <c r="C31" s="37">
        <v>3</v>
      </c>
      <c r="D31" s="37" t="s">
        <v>1294</v>
      </c>
      <c r="E31" s="37" t="s">
        <v>1295</v>
      </c>
      <c r="F31" s="37" t="s">
        <v>1235</v>
      </c>
      <c r="G31" s="37" t="str">
        <f>_xlfn.XLOOKUP(F31,notes!$B$12:$B$18,notes!$C$12:$C$18,"Unknown")</f>
        <v>Male</v>
      </c>
      <c r="H31" s="38" t="s">
        <v>1236</v>
      </c>
      <c r="I31" s="39" t="str">
        <f>_xlfn.XLOOKUP(H31,notes!$B$4:$B$8,notes!$C$4:$C$8,"Invalid",-1)</f>
        <v>Unknown</v>
      </c>
      <c r="J31" s="37">
        <v>0</v>
      </c>
      <c r="K31" s="37">
        <v>0</v>
      </c>
      <c r="L31" s="37">
        <f t="shared" si="2"/>
        <v>1</v>
      </c>
      <c r="M31" s="40" t="str">
        <f t="shared" si="0"/>
        <v>Not Survived</v>
      </c>
      <c r="N31" s="37" t="str">
        <f>_xlfn.XLOOKUP(L31,notes!$B$28:$B$30,notes!$C$28:$C$30,"Unknown",-1)</f>
        <v>Alone</v>
      </c>
      <c r="O31" s="37">
        <v>349216</v>
      </c>
      <c r="P31" s="37">
        <v>7.8958</v>
      </c>
      <c r="Q31" s="37" t="str">
        <f t="shared" si="3"/>
        <v>Low</v>
      </c>
      <c r="R31" s="37" t="s">
        <v>1236</v>
      </c>
      <c r="S31" s="37" t="s">
        <v>15</v>
      </c>
      <c r="T31" s="41" t="str">
        <f t="shared" si="1"/>
        <v>Southampton</v>
      </c>
    </row>
    <row r="32" spans="1:20">
      <c r="A32" s="37">
        <v>31</v>
      </c>
      <c r="B32" s="37">
        <v>0</v>
      </c>
      <c r="C32" s="37">
        <v>1</v>
      </c>
      <c r="D32" s="37" t="s">
        <v>1296</v>
      </c>
      <c r="E32" s="37" t="s">
        <v>1297</v>
      </c>
      <c r="F32" s="37" t="s">
        <v>1298</v>
      </c>
      <c r="G32" s="37" t="str">
        <f>_xlfn.XLOOKUP(F32,notes!$B$12:$B$18,notes!$C$12:$C$18,"Unknown")</f>
        <v>Unknown</v>
      </c>
      <c r="H32" s="38">
        <v>40</v>
      </c>
      <c r="I32" s="39" t="str">
        <f>_xlfn.XLOOKUP(H32,notes!$B$4:$B$8,notes!$C$4:$C$8,"Invalid",-1)</f>
        <v>Adult</v>
      </c>
      <c r="J32" s="37">
        <v>0</v>
      </c>
      <c r="K32" s="37">
        <v>0</v>
      </c>
      <c r="L32" s="37">
        <f t="shared" si="2"/>
        <v>1</v>
      </c>
      <c r="M32" s="40" t="str">
        <f t="shared" si="0"/>
        <v>Not Survived</v>
      </c>
      <c r="N32" s="37" t="str">
        <f>_xlfn.XLOOKUP(L32,notes!$B$28:$B$30,notes!$C$28:$C$30,"Unknown",-1)</f>
        <v>Alone</v>
      </c>
      <c r="O32" s="37" t="s">
        <v>62</v>
      </c>
      <c r="P32" s="37">
        <v>27.7208</v>
      </c>
      <c r="Q32" s="37" t="str">
        <f t="shared" si="3"/>
        <v>Mid</v>
      </c>
      <c r="R32" s="37" t="s">
        <v>1236</v>
      </c>
      <c r="S32" s="37" t="s">
        <v>20</v>
      </c>
      <c r="T32" s="41" t="str">
        <f t="shared" si="1"/>
        <v>Cherbourg</v>
      </c>
    </row>
    <row r="33" spans="1:20">
      <c r="A33" s="37">
        <v>32</v>
      </c>
      <c r="B33" s="37">
        <v>1</v>
      </c>
      <c r="C33" s="37">
        <v>1</v>
      </c>
      <c r="D33" s="37" t="s">
        <v>1299</v>
      </c>
      <c r="E33" s="37" t="s">
        <v>1300</v>
      </c>
      <c r="F33" s="37" t="s">
        <v>1239</v>
      </c>
      <c r="G33" s="37" t="str">
        <f>_xlfn.XLOOKUP(F33,notes!$B$12:$B$18,notes!$C$12:$C$18,"Unknown")</f>
        <v>Female</v>
      </c>
      <c r="H33" s="38" t="s">
        <v>1236</v>
      </c>
      <c r="I33" s="39" t="str">
        <f>_xlfn.XLOOKUP(H33,notes!$B$4:$B$8,notes!$C$4:$C$8,"Invalid",-1)</f>
        <v>Unknown</v>
      </c>
      <c r="J33" s="37">
        <v>1</v>
      </c>
      <c r="K33" s="37">
        <v>0</v>
      </c>
      <c r="L33" s="37">
        <f t="shared" si="2"/>
        <v>2</v>
      </c>
      <c r="M33" s="40" t="str">
        <f t="shared" si="0"/>
        <v>Survived</v>
      </c>
      <c r="N33" s="37" t="str">
        <f>_xlfn.XLOOKUP(L33,notes!$B$28:$B$30,notes!$C$28:$C$30,"Unknown",-1)</f>
        <v>Small Family</v>
      </c>
      <c r="O33" s="37" t="s">
        <v>64</v>
      </c>
      <c r="P33" s="37">
        <v>146.5208</v>
      </c>
      <c r="Q33" s="37" t="str">
        <f t="shared" si="3"/>
        <v>High</v>
      </c>
      <c r="R33" s="37" t="s">
        <v>65</v>
      </c>
      <c r="S33" s="37" t="s">
        <v>20</v>
      </c>
      <c r="T33" s="41" t="str">
        <f t="shared" si="1"/>
        <v>Cherbourg</v>
      </c>
    </row>
    <row r="34" spans="1:20">
      <c r="A34" s="37">
        <v>33</v>
      </c>
      <c r="B34" s="37">
        <v>1</v>
      </c>
      <c r="C34" s="37">
        <v>3</v>
      </c>
      <c r="D34" s="37" t="s">
        <v>1301</v>
      </c>
      <c r="E34" s="37" t="s">
        <v>1302</v>
      </c>
      <c r="F34" s="37" t="s">
        <v>1242</v>
      </c>
      <c r="G34" s="37" t="str">
        <f>_xlfn.XLOOKUP(F34,notes!$B$12:$B$18,notes!$C$12:$C$18,"Unknown")</f>
        <v>Female</v>
      </c>
      <c r="H34" s="38" t="s">
        <v>1236</v>
      </c>
      <c r="I34" s="39" t="str">
        <f>_xlfn.XLOOKUP(H34,notes!$B$4:$B$8,notes!$C$4:$C$8,"Invalid",-1)</f>
        <v>Unknown</v>
      </c>
      <c r="J34" s="37">
        <v>0</v>
      </c>
      <c r="K34" s="37">
        <v>0</v>
      </c>
      <c r="L34" s="37">
        <f t="shared" si="2"/>
        <v>1</v>
      </c>
      <c r="M34" s="40" t="str">
        <f t="shared" si="0"/>
        <v>Survived</v>
      </c>
      <c r="N34" s="37" t="str">
        <f>_xlfn.XLOOKUP(L34,notes!$B$28:$B$30,notes!$C$28:$C$30,"Unknown",-1)</f>
        <v>Alone</v>
      </c>
      <c r="O34" s="37">
        <v>335677</v>
      </c>
      <c r="P34" s="37">
        <v>7.75</v>
      </c>
      <c r="Q34" s="37" t="str">
        <f t="shared" si="3"/>
        <v>Low</v>
      </c>
      <c r="R34" s="37" t="s">
        <v>1236</v>
      </c>
      <c r="S34" s="37" t="s">
        <v>28</v>
      </c>
      <c r="T34" s="41" t="str">
        <f t="shared" si="1"/>
        <v>Queenstown</v>
      </c>
    </row>
    <row r="35" spans="1:20">
      <c r="A35" s="37">
        <v>34</v>
      </c>
      <c r="B35" s="37">
        <v>0</v>
      </c>
      <c r="C35" s="37">
        <v>2</v>
      </c>
      <c r="D35" s="37" t="s">
        <v>1303</v>
      </c>
      <c r="E35" s="37" t="s">
        <v>1304</v>
      </c>
      <c r="F35" s="37" t="s">
        <v>1235</v>
      </c>
      <c r="G35" s="37" t="str">
        <f>_xlfn.XLOOKUP(F35,notes!$B$12:$B$18,notes!$C$12:$C$18,"Unknown")</f>
        <v>Male</v>
      </c>
      <c r="H35" s="38">
        <v>66</v>
      </c>
      <c r="I35" s="39" t="str">
        <f>_xlfn.XLOOKUP(H35,notes!$B$4:$B$8,notes!$C$4:$C$8,"Invalid",-1)</f>
        <v>Elderly</v>
      </c>
      <c r="J35" s="37">
        <v>0</v>
      </c>
      <c r="K35" s="37">
        <v>0</v>
      </c>
      <c r="L35" s="37">
        <f t="shared" si="2"/>
        <v>1</v>
      </c>
      <c r="M35" s="40" t="str">
        <f t="shared" si="0"/>
        <v>Not Survived</v>
      </c>
      <c r="N35" s="37" t="str">
        <f>_xlfn.XLOOKUP(L35,notes!$B$28:$B$30,notes!$C$28:$C$30,"Unknown",-1)</f>
        <v>Alone</v>
      </c>
      <c r="O35" s="37" t="s">
        <v>68</v>
      </c>
      <c r="P35" s="37">
        <v>10.5</v>
      </c>
      <c r="Q35" s="37" t="str">
        <f t="shared" si="3"/>
        <v>Mid</v>
      </c>
      <c r="R35" s="37" t="s">
        <v>1236</v>
      </c>
      <c r="S35" s="37" t="s">
        <v>15</v>
      </c>
      <c r="T35" s="41" t="str">
        <f t="shared" si="1"/>
        <v>Southampton</v>
      </c>
    </row>
    <row r="36" spans="1:20">
      <c r="A36" s="37">
        <v>35</v>
      </c>
      <c r="B36" s="37">
        <v>0</v>
      </c>
      <c r="C36" s="37">
        <v>1</v>
      </c>
      <c r="D36" s="37" t="s">
        <v>1305</v>
      </c>
      <c r="E36" s="37" t="s">
        <v>1306</v>
      </c>
      <c r="F36" s="37" t="s">
        <v>1235</v>
      </c>
      <c r="G36" s="37" t="str">
        <f>_xlfn.XLOOKUP(F36,notes!$B$12:$B$18,notes!$C$12:$C$18,"Unknown")</f>
        <v>Male</v>
      </c>
      <c r="H36" s="38">
        <v>28</v>
      </c>
      <c r="I36" s="39" t="str">
        <f>_xlfn.XLOOKUP(H36,notes!$B$4:$B$8,notes!$C$4:$C$8,"Invalid",-1)</f>
        <v>Adult</v>
      </c>
      <c r="J36" s="37">
        <v>1</v>
      </c>
      <c r="K36" s="37">
        <v>0</v>
      </c>
      <c r="L36" s="37">
        <f t="shared" si="2"/>
        <v>2</v>
      </c>
      <c r="M36" s="40" t="str">
        <f t="shared" si="0"/>
        <v>Not Survived</v>
      </c>
      <c r="N36" s="37" t="str">
        <f>_xlfn.XLOOKUP(L36,notes!$B$28:$B$30,notes!$C$28:$C$30,"Unknown",-1)</f>
        <v>Small Family</v>
      </c>
      <c r="O36" s="37" t="s">
        <v>70</v>
      </c>
      <c r="P36" s="37">
        <v>82.1708</v>
      </c>
      <c r="Q36" s="37" t="str">
        <f t="shared" si="3"/>
        <v>High</v>
      </c>
      <c r="R36" s="37" t="s">
        <v>1236</v>
      </c>
      <c r="S36" s="37" t="s">
        <v>20</v>
      </c>
      <c r="T36" s="41" t="str">
        <f t="shared" si="1"/>
        <v>Cherbourg</v>
      </c>
    </row>
    <row r="37" spans="1:20">
      <c r="A37" s="37">
        <v>36</v>
      </c>
      <c r="B37" s="37">
        <v>0</v>
      </c>
      <c r="C37" s="37">
        <v>1</v>
      </c>
      <c r="D37" s="37" t="s">
        <v>1307</v>
      </c>
      <c r="E37" s="37" t="s">
        <v>1308</v>
      </c>
      <c r="F37" s="37" t="s">
        <v>1235</v>
      </c>
      <c r="G37" s="37" t="str">
        <f>_xlfn.XLOOKUP(F37,notes!$B$12:$B$18,notes!$C$12:$C$18,"Unknown")</f>
        <v>Male</v>
      </c>
      <c r="H37" s="38">
        <v>42</v>
      </c>
      <c r="I37" s="39" t="str">
        <f>_xlfn.XLOOKUP(H37,notes!$B$4:$B$8,notes!$C$4:$C$8,"Invalid",-1)</f>
        <v>Adult</v>
      </c>
      <c r="J37" s="37">
        <v>1</v>
      </c>
      <c r="K37" s="37">
        <v>0</v>
      </c>
      <c r="L37" s="37">
        <f t="shared" si="2"/>
        <v>2</v>
      </c>
      <c r="M37" s="40" t="str">
        <f t="shared" si="0"/>
        <v>Not Survived</v>
      </c>
      <c r="N37" s="37" t="str">
        <f>_xlfn.XLOOKUP(L37,notes!$B$28:$B$30,notes!$C$28:$C$30,"Unknown",-1)</f>
        <v>Small Family</v>
      </c>
      <c r="O37" s="37">
        <v>113789</v>
      </c>
      <c r="P37" s="37">
        <v>52</v>
      </c>
      <c r="Q37" s="37" t="str">
        <f t="shared" si="3"/>
        <v>High</v>
      </c>
      <c r="R37" s="37" t="s">
        <v>1236</v>
      </c>
      <c r="S37" s="37" t="s">
        <v>15</v>
      </c>
      <c r="T37" s="41" t="str">
        <f t="shared" si="1"/>
        <v>Southampton</v>
      </c>
    </row>
    <row r="38" spans="1:20">
      <c r="A38" s="37">
        <v>37</v>
      </c>
      <c r="B38" s="37">
        <v>1</v>
      </c>
      <c r="C38" s="37">
        <v>3</v>
      </c>
      <c r="D38" s="37" t="s">
        <v>1309</v>
      </c>
      <c r="E38" s="37" t="s">
        <v>1310</v>
      </c>
      <c r="F38" s="37" t="s">
        <v>1235</v>
      </c>
      <c r="G38" s="37" t="str">
        <f>_xlfn.XLOOKUP(F38,notes!$B$12:$B$18,notes!$C$12:$C$18,"Unknown")</f>
        <v>Male</v>
      </c>
      <c r="H38" s="38" t="s">
        <v>1236</v>
      </c>
      <c r="I38" s="39" t="str">
        <f>_xlfn.XLOOKUP(H38,notes!$B$4:$B$8,notes!$C$4:$C$8,"Invalid",-1)</f>
        <v>Unknown</v>
      </c>
      <c r="J38" s="37">
        <v>0</v>
      </c>
      <c r="K38" s="37">
        <v>0</v>
      </c>
      <c r="L38" s="37">
        <f t="shared" si="2"/>
        <v>1</v>
      </c>
      <c r="M38" s="40" t="str">
        <f t="shared" si="0"/>
        <v>Survived</v>
      </c>
      <c r="N38" s="37" t="str">
        <f>_xlfn.XLOOKUP(L38,notes!$B$28:$B$30,notes!$C$28:$C$30,"Unknown",-1)</f>
        <v>Alone</v>
      </c>
      <c r="O38" s="37">
        <v>2677</v>
      </c>
      <c r="P38" s="37">
        <v>7.2292</v>
      </c>
      <c r="Q38" s="37" t="str">
        <f t="shared" si="3"/>
        <v>Low</v>
      </c>
      <c r="R38" s="37" t="s">
        <v>1236</v>
      </c>
      <c r="S38" s="37" t="s">
        <v>20</v>
      </c>
      <c r="T38" s="41" t="str">
        <f t="shared" si="1"/>
        <v>Cherbourg</v>
      </c>
    </row>
    <row r="39" spans="1:20">
      <c r="A39" s="37">
        <v>38</v>
      </c>
      <c r="B39" s="37">
        <v>0</v>
      </c>
      <c r="C39" s="37">
        <v>3</v>
      </c>
      <c r="D39" s="37" t="s">
        <v>1311</v>
      </c>
      <c r="E39" s="37" t="s">
        <v>1312</v>
      </c>
      <c r="F39" s="37" t="s">
        <v>1235</v>
      </c>
      <c r="G39" s="37" t="str">
        <f>_xlfn.XLOOKUP(F39,notes!$B$12:$B$18,notes!$C$12:$C$18,"Unknown")</f>
        <v>Male</v>
      </c>
      <c r="H39" s="38">
        <v>21</v>
      </c>
      <c r="I39" s="39" t="str">
        <f>_xlfn.XLOOKUP(H39,notes!$B$4:$B$8,notes!$C$4:$C$8,"Invalid",-1)</f>
        <v>Adult</v>
      </c>
      <c r="J39" s="37">
        <v>0</v>
      </c>
      <c r="K39" s="37">
        <v>0</v>
      </c>
      <c r="L39" s="37">
        <f t="shared" si="2"/>
        <v>1</v>
      </c>
      <c r="M39" s="40" t="str">
        <f t="shared" si="0"/>
        <v>Not Survived</v>
      </c>
      <c r="N39" s="37" t="str">
        <f>_xlfn.XLOOKUP(L39,notes!$B$28:$B$30,notes!$C$28:$C$30,"Unknown",-1)</f>
        <v>Alone</v>
      </c>
      <c r="O39" s="37" t="s">
        <v>74</v>
      </c>
      <c r="P39" s="37">
        <v>8.05</v>
      </c>
      <c r="Q39" s="37" t="str">
        <f t="shared" si="3"/>
        <v>Low</v>
      </c>
      <c r="R39" s="37" t="s">
        <v>1236</v>
      </c>
      <c r="S39" s="37" t="s">
        <v>15</v>
      </c>
      <c r="T39" s="41" t="str">
        <f t="shared" si="1"/>
        <v>Southampton</v>
      </c>
    </row>
    <row r="40" spans="1:20">
      <c r="A40" s="37">
        <v>39</v>
      </c>
      <c r="B40" s="37">
        <v>0</v>
      </c>
      <c r="C40" s="37">
        <v>3</v>
      </c>
      <c r="D40" s="37" t="s">
        <v>1273</v>
      </c>
      <c r="E40" s="37" t="s">
        <v>1313</v>
      </c>
      <c r="F40" s="37" t="s">
        <v>1242</v>
      </c>
      <c r="G40" s="37" t="str">
        <f>_xlfn.XLOOKUP(F40,notes!$B$12:$B$18,notes!$C$12:$C$18,"Unknown")</f>
        <v>Female</v>
      </c>
      <c r="H40" s="38">
        <v>18</v>
      </c>
      <c r="I40" s="39" t="str">
        <f>_xlfn.XLOOKUP(H40,notes!$B$4:$B$8,notes!$C$4:$C$8,"Invalid",-1)</f>
        <v>Teenager</v>
      </c>
      <c r="J40" s="37">
        <v>2</v>
      </c>
      <c r="K40" s="37">
        <v>0</v>
      </c>
      <c r="L40" s="37">
        <f t="shared" si="2"/>
        <v>3</v>
      </c>
      <c r="M40" s="40" t="str">
        <f t="shared" si="0"/>
        <v>Not Survived</v>
      </c>
      <c r="N40" s="37" t="str">
        <f>_xlfn.XLOOKUP(L40,notes!$B$28:$B$30,notes!$C$28:$C$30,"Unknown",-1)</f>
        <v>Small Family</v>
      </c>
      <c r="O40" s="37">
        <v>345764</v>
      </c>
      <c r="P40" s="37">
        <v>18</v>
      </c>
      <c r="Q40" s="37" t="str">
        <f t="shared" si="3"/>
        <v>Mid</v>
      </c>
      <c r="R40" s="37" t="s">
        <v>1236</v>
      </c>
      <c r="S40" s="37" t="s">
        <v>15</v>
      </c>
      <c r="T40" s="41" t="str">
        <f t="shared" si="1"/>
        <v>Southampton</v>
      </c>
    </row>
    <row r="41" spans="1:20">
      <c r="A41" s="37">
        <v>40</v>
      </c>
      <c r="B41" s="37">
        <v>1</v>
      </c>
      <c r="C41" s="37">
        <v>3</v>
      </c>
      <c r="D41" s="37" t="s">
        <v>1314</v>
      </c>
      <c r="E41" s="37" t="s">
        <v>1315</v>
      </c>
      <c r="F41" s="37" t="s">
        <v>1242</v>
      </c>
      <c r="G41" s="37" t="str">
        <f>_xlfn.XLOOKUP(F41,notes!$B$12:$B$18,notes!$C$12:$C$18,"Unknown")</f>
        <v>Female</v>
      </c>
      <c r="H41" s="38">
        <v>14</v>
      </c>
      <c r="I41" s="39" t="str">
        <f>_xlfn.XLOOKUP(H41,notes!$B$4:$B$8,notes!$C$4:$C$8,"Invalid",-1)</f>
        <v>Teenager</v>
      </c>
      <c r="J41" s="37">
        <v>1</v>
      </c>
      <c r="K41" s="37">
        <v>0</v>
      </c>
      <c r="L41" s="37">
        <f t="shared" si="2"/>
        <v>2</v>
      </c>
      <c r="M41" s="40" t="str">
        <f t="shared" si="0"/>
        <v>Survived</v>
      </c>
      <c r="N41" s="37" t="str">
        <f>_xlfn.XLOOKUP(L41,notes!$B$28:$B$30,notes!$C$28:$C$30,"Unknown",-1)</f>
        <v>Small Family</v>
      </c>
      <c r="O41" s="37">
        <v>2651</v>
      </c>
      <c r="P41" s="37">
        <v>11.2417</v>
      </c>
      <c r="Q41" s="37" t="str">
        <f t="shared" si="3"/>
        <v>Mid</v>
      </c>
      <c r="R41" s="37" t="s">
        <v>1236</v>
      </c>
      <c r="S41" s="37" t="s">
        <v>20</v>
      </c>
      <c r="T41" s="41" t="str">
        <f t="shared" si="1"/>
        <v>Cherbourg</v>
      </c>
    </row>
    <row r="42" spans="1:20">
      <c r="A42" s="37">
        <v>41</v>
      </c>
      <c r="B42" s="37">
        <v>0</v>
      </c>
      <c r="C42" s="37">
        <v>3</v>
      </c>
      <c r="D42" s="37" t="s">
        <v>1316</v>
      </c>
      <c r="E42" s="37" t="s">
        <v>1317</v>
      </c>
      <c r="F42" s="37" t="s">
        <v>1239</v>
      </c>
      <c r="G42" s="37" t="str">
        <f>_xlfn.XLOOKUP(F42,notes!$B$12:$B$18,notes!$C$12:$C$18,"Unknown")</f>
        <v>Female</v>
      </c>
      <c r="H42" s="38">
        <v>40</v>
      </c>
      <c r="I42" s="39" t="str">
        <f>_xlfn.XLOOKUP(H42,notes!$B$4:$B$8,notes!$C$4:$C$8,"Invalid",-1)</f>
        <v>Adult</v>
      </c>
      <c r="J42" s="37">
        <v>1</v>
      </c>
      <c r="K42" s="37">
        <v>0</v>
      </c>
      <c r="L42" s="37">
        <f t="shared" si="2"/>
        <v>2</v>
      </c>
      <c r="M42" s="40" t="str">
        <f t="shared" si="0"/>
        <v>Not Survived</v>
      </c>
      <c r="N42" s="37" t="str">
        <f>_xlfn.XLOOKUP(L42,notes!$B$28:$B$30,notes!$C$28:$C$30,"Unknown",-1)</f>
        <v>Small Family</v>
      </c>
      <c r="O42" s="37">
        <v>7546</v>
      </c>
      <c r="P42" s="37">
        <v>9.475</v>
      </c>
      <c r="Q42" s="37" t="str">
        <f t="shared" si="3"/>
        <v>Low</v>
      </c>
      <c r="R42" s="37" t="s">
        <v>1236</v>
      </c>
      <c r="S42" s="37" t="s">
        <v>15</v>
      </c>
      <c r="T42" s="41" t="str">
        <f t="shared" si="1"/>
        <v>Southampton</v>
      </c>
    </row>
    <row r="43" spans="1:20">
      <c r="A43" s="37">
        <v>42</v>
      </c>
      <c r="B43" s="37">
        <v>0</v>
      </c>
      <c r="C43" s="37">
        <v>2</v>
      </c>
      <c r="D43" s="37" t="s">
        <v>1318</v>
      </c>
      <c r="E43" s="37" t="s">
        <v>1319</v>
      </c>
      <c r="F43" s="37" t="s">
        <v>1239</v>
      </c>
      <c r="G43" s="37" t="str">
        <f>_xlfn.XLOOKUP(F43,notes!$B$12:$B$18,notes!$C$12:$C$18,"Unknown")</f>
        <v>Female</v>
      </c>
      <c r="H43" s="38">
        <v>27</v>
      </c>
      <c r="I43" s="39" t="str">
        <f>_xlfn.XLOOKUP(H43,notes!$B$4:$B$8,notes!$C$4:$C$8,"Invalid",-1)</f>
        <v>Adult</v>
      </c>
      <c r="J43" s="37">
        <v>1</v>
      </c>
      <c r="K43" s="37">
        <v>0</v>
      </c>
      <c r="L43" s="37">
        <f t="shared" si="2"/>
        <v>2</v>
      </c>
      <c r="M43" s="40" t="str">
        <f t="shared" si="0"/>
        <v>Not Survived</v>
      </c>
      <c r="N43" s="37" t="str">
        <f>_xlfn.XLOOKUP(L43,notes!$B$28:$B$30,notes!$C$28:$C$30,"Unknown",-1)</f>
        <v>Small Family</v>
      </c>
      <c r="O43" s="37">
        <v>11668</v>
      </c>
      <c r="P43" s="37">
        <v>21</v>
      </c>
      <c r="Q43" s="37" t="str">
        <f t="shared" si="3"/>
        <v>Mid</v>
      </c>
      <c r="R43" s="37" t="s">
        <v>1236</v>
      </c>
      <c r="S43" s="37" t="s">
        <v>15</v>
      </c>
      <c r="T43" s="41" t="str">
        <f t="shared" si="1"/>
        <v>Southampton</v>
      </c>
    </row>
    <row r="44" spans="1:20">
      <c r="A44" s="37">
        <v>43</v>
      </c>
      <c r="B44" s="37">
        <v>0</v>
      </c>
      <c r="C44" s="37">
        <v>3</v>
      </c>
      <c r="D44" s="37" t="s">
        <v>1320</v>
      </c>
      <c r="E44" s="37" t="s">
        <v>1321</v>
      </c>
      <c r="F44" s="37" t="s">
        <v>1235</v>
      </c>
      <c r="G44" s="37" t="str">
        <f>_xlfn.XLOOKUP(F44,notes!$B$12:$B$18,notes!$C$12:$C$18,"Unknown")</f>
        <v>Male</v>
      </c>
      <c r="H44" s="38" t="s">
        <v>1236</v>
      </c>
      <c r="I44" s="39" t="str">
        <f>_xlfn.XLOOKUP(H44,notes!$B$4:$B$8,notes!$C$4:$C$8,"Invalid",-1)</f>
        <v>Unknown</v>
      </c>
      <c r="J44" s="37">
        <v>0</v>
      </c>
      <c r="K44" s="37">
        <v>0</v>
      </c>
      <c r="L44" s="37">
        <f t="shared" si="2"/>
        <v>1</v>
      </c>
      <c r="M44" s="40" t="str">
        <f t="shared" si="0"/>
        <v>Not Survived</v>
      </c>
      <c r="N44" s="37" t="str">
        <f>_xlfn.XLOOKUP(L44,notes!$B$28:$B$30,notes!$C$28:$C$30,"Unknown",-1)</f>
        <v>Alone</v>
      </c>
      <c r="O44" s="37">
        <v>349253</v>
      </c>
      <c r="P44" s="37">
        <v>7.8958</v>
      </c>
      <c r="Q44" s="37" t="str">
        <f t="shared" si="3"/>
        <v>Low</v>
      </c>
      <c r="R44" s="37" t="s">
        <v>1236</v>
      </c>
      <c r="S44" s="37" t="s">
        <v>20</v>
      </c>
      <c r="T44" s="41" t="str">
        <f t="shared" si="1"/>
        <v>Cherbourg</v>
      </c>
    </row>
    <row r="45" spans="1:20">
      <c r="A45" s="37">
        <v>44</v>
      </c>
      <c r="B45" s="37">
        <v>1</v>
      </c>
      <c r="C45" s="37">
        <v>2</v>
      </c>
      <c r="D45" s="37" t="s">
        <v>1322</v>
      </c>
      <c r="E45" s="37" t="s">
        <v>1323</v>
      </c>
      <c r="F45" s="37" t="s">
        <v>1242</v>
      </c>
      <c r="G45" s="37" t="str">
        <f>_xlfn.XLOOKUP(F45,notes!$B$12:$B$18,notes!$C$12:$C$18,"Unknown")</f>
        <v>Female</v>
      </c>
      <c r="H45" s="38">
        <v>3</v>
      </c>
      <c r="I45" s="39" t="str">
        <f>_xlfn.XLOOKUP(H45,notes!$B$4:$B$8,notes!$C$4:$C$8,"Invalid",-1)</f>
        <v>Kid</v>
      </c>
      <c r="J45" s="37">
        <v>1</v>
      </c>
      <c r="K45" s="37">
        <v>2</v>
      </c>
      <c r="L45" s="37">
        <f t="shared" si="2"/>
        <v>4</v>
      </c>
      <c r="M45" s="40" t="str">
        <f t="shared" si="0"/>
        <v>Survived</v>
      </c>
      <c r="N45" s="37" t="str">
        <f>_xlfn.XLOOKUP(L45,notes!$B$28:$B$30,notes!$C$28:$C$30,"Unknown",-1)</f>
        <v>Large Family</v>
      </c>
      <c r="O45" s="37" t="s">
        <v>81</v>
      </c>
      <c r="P45" s="37">
        <v>41.5792</v>
      </c>
      <c r="Q45" s="37" t="str">
        <f t="shared" si="3"/>
        <v>Mid</v>
      </c>
      <c r="R45" s="37" t="s">
        <v>1236</v>
      </c>
      <c r="S45" s="37" t="s">
        <v>20</v>
      </c>
      <c r="T45" s="41" t="str">
        <f t="shared" si="1"/>
        <v>Cherbourg</v>
      </c>
    </row>
    <row r="46" spans="1:20">
      <c r="A46" s="37">
        <v>45</v>
      </c>
      <c r="B46" s="37">
        <v>1</v>
      </c>
      <c r="C46" s="37">
        <v>3</v>
      </c>
      <c r="D46" s="37" t="s">
        <v>1324</v>
      </c>
      <c r="E46" s="37" t="s">
        <v>1325</v>
      </c>
      <c r="F46" s="37" t="s">
        <v>1242</v>
      </c>
      <c r="G46" s="37" t="str">
        <f>_xlfn.XLOOKUP(F46,notes!$B$12:$B$18,notes!$C$12:$C$18,"Unknown")</f>
        <v>Female</v>
      </c>
      <c r="H46" s="38">
        <v>19</v>
      </c>
      <c r="I46" s="39" t="str">
        <f>_xlfn.XLOOKUP(H46,notes!$B$4:$B$8,notes!$C$4:$C$8,"Invalid",-1)</f>
        <v>Teenager</v>
      </c>
      <c r="J46" s="37">
        <v>0</v>
      </c>
      <c r="K46" s="37">
        <v>0</v>
      </c>
      <c r="L46" s="37">
        <f t="shared" si="2"/>
        <v>1</v>
      </c>
      <c r="M46" s="40" t="str">
        <f t="shared" si="0"/>
        <v>Survived</v>
      </c>
      <c r="N46" s="37" t="str">
        <f>_xlfn.XLOOKUP(L46,notes!$B$28:$B$30,notes!$C$28:$C$30,"Unknown",-1)</f>
        <v>Alone</v>
      </c>
      <c r="O46" s="37">
        <v>330958</v>
      </c>
      <c r="P46" s="37">
        <v>7.8792</v>
      </c>
      <c r="Q46" s="37" t="str">
        <f t="shared" si="3"/>
        <v>Low</v>
      </c>
      <c r="R46" s="37" t="s">
        <v>1236</v>
      </c>
      <c r="S46" s="37" t="s">
        <v>28</v>
      </c>
      <c r="T46" s="41" t="str">
        <f t="shared" si="1"/>
        <v>Queenstown</v>
      </c>
    </row>
    <row r="47" spans="1:20">
      <c r="A47" s="37">
        <v>46</v>
      </c>
      <c r="B47" s="37">
        <v>0</v>
      </c>
      <c r="C47" s="37">
        <v>3</v>
      </c>
      <c r="D47" s="37" t="s">
        <v>1326</v>
      </c>
      <c r="E47" s="37" t="s">
        <v>1327</v>
      </c>
      <c r="F47" s="37" t="s">
        <v>1235</v>
      </c>
      <c r="G47" s="37" t="str">
        <f>_xlfn.XLOOKUP(F47,notes!$B$12:$B$18,notes!$C$12:$C$18,"Unknown")</f>
        <v>Male</v>
      </c>
      <c r="H47" s="38" t="s">
        <v>1236</v>
      </c>
      <c r="I47" s="39" t="str">
        <f>_xlfn.XLOOKUP(H47,notes!$B$4:$B$8,notes!$C$4:$C$8,"Invalid",-1)</f>
        <v>Unknown</v>
      </c>
      <c r="J47" s="37">
        <v>0</v>
      </c>
      <c r="K47" s="37">
        <v>0</v>
      </c>
      <c r="L47" s="37">
        <f t="shared" si="2"/>
        <v>1</v>
      </c>
      <c r="M47" s="40" t="str">
        <f t="shared" si="0"/>
        <v>Not Survived</v>
      </c>
      <c r="N47" s="37" t="str">
        <f>_xlfn.XLOOKUP(L47,notes!$B$28:$B$30,notes!$C$28:$C$30,"Unknown",-1)</f>
        <v>Alone</v>
      </c>
      <c r="O47" s="37" t="s">
        <v>84</v>
      </c>
      <c r="P47" s="37">
        <v>8.05</v>
      </c>
      <c r="Q47" s="37" t="str">
        <f t="shared" si="3"/>
        <v>Low</v>
      </c>
      <c r="R47" s="37" t="s">
        <v>1236</v>
      </c>
      <c r="S47" s="37" t="s">
        <v>15</v>
      </c>
      <c r="T47" s="41" t="str">
        <f t="shared" si="1"/>
        <v>Southampton</v>
      </c>
    </row>
    <row r="48" spans="1:20">
      <c r="A48" s="37">
        <v>47</v>
      </c>
      <c r="B48" s="37">
        <v>0</v>
      </c>
      <c r="C48" s="37">
        <v>3</v>
      </c>
      <c r="D48" s="37" t="s">
        <v>1328</v>
      </c>
      <c r="E48" s="37" t="s">
        <v>1329</v>
      </c>
      <c r="F48" s="37" t="s">
        <v>1235</v>
      </c>
      <c r="G48" s="37" t="str">
        <f>_xlfn.XLOOKUP(F48,notes!$B$12:$B$18,notes!$C$12:$C$18,"Unknown")</f>
        <v>Male</v>
      </c>
      <c r="H48" s="38" t="s">
        <v>1236</v>
      </c>
      <c r="I48" s="39" t="str">
        <f>_xlfn.XLOOKUP(H48,notes!$B$4:$B$8,notes!$C$4:$C$8,"Invalid",-1)</f>
        <v>Unknown</v>
      </c>
      <c r="J48" s="37">
        <v>1</v>
      </c>
      <c r="K48" s="37">
        <v>0</v>
      </c>
      <c r="L48" s="37">
        <f t="shared" si="2"/>
        <v>2</v>
      </c>
      <c r="M48" s="40" t="str">
        <f t="shared" si="0"/>
        <v>Not Survived</v>
      </c>
      <c r="N48" s="37" t="str">
        <f>_xlfn.XLOOKUP(L48,notes!$B$28:$B$30,notes!$C$28:$C$30,"Unknown",-1)</f>
        <v>Small Family</v>
      </c>
      <c r="O48" s="37">
        <v>370371</v>
      </c>
      <c r="P48" s="37">
        <v>15.5</v>
      </c>
      <c r="Q48" s="37" t="str">
        <f t="shared" si="3"/>
        <v>Mid</v>
      </c>
      <c r="R48" s="37" t="s">
        <v>1236</v>
      </c>
      <c r="S48" s="37" t="s">
        <v>28</v>
      </c>
      <c r="T48" s="41" t="str">
        <f t="shared" si="1"/>
        <v>Queenstown</v>
      </c>
    </row>
    <row r="49" spans="1:20">
      <c r="A49" s="37">
        <v>48</v>
      </c>
      <c r="B49" s="37">
        <v>1</v>
      </c>
      <c r="C49" s="37">
        <v>3</v>
      </c>
      <c r="D49" s="37" t="s">
        <v>1330</v>
      </c>
      <c r="E49" s="37" t="s">
        <v>1331</v>
      </c>
      <c r="F49" s="37" t="s">
        <v>1242</v>
      </c>
      <c r="G49" s="37" t="str">
        <f>_xlfn.XLOOKUP(F49,notes!$B$12:$B$18,notes!$C$12:$C$18,"Unknown")</f>
        <v>Female</v>
      </c>
      <c r="H49" s="38" t="s">
        <v>1236</v>
      </c>
      <c r="I49" s="39" t="str">
        <f>_xlfn.XLOOKUP(H49,notes!$B$4:$B$8,notes!$C$4:$C$8,"Invalid",-1)</f>
        <v>Unknown</v>
      </c>
      <c r="J49" s="37">
        <v>0</v>
      </c>
      <c r="K49" s="37">
        <v>0</v>
      </c>
      <c r="L49" s="37">
        <f t="shared" si="2"/>
        <v>1</v>
      </c>
      <c r="M49" s="40" t="str">
        <f t="shared" si="0"/>
        <v>Survived</v>
      </c>
      <c r="N49" s="37" t="str">
        <f>_xlfn.XLOOKUP(L49,notes!$B$28:$B$30,notes!$C$28:$C$30,"Unknown",-1)</f>
        <v>Alone</v>
      </c>
      <c r="O49" s="37">
        <v>14311</v>
      </c>
      <c r="P49" s="37">
        <v>7.75</v>
      </c>
      <c r="Q49" s="37" t="str">
        <f t="shared" si="3"/>
        <v>Low</v>
      </c>
      <c r="R49" s="37" t="s">
        <v>1236</v>
      </c>
      <c r="S49" s="37" t="s">
        <v>28</v>
      </c>
      <c r="T49" s="41" t="str">
        <f t="shared" si="1"/>
        <v>Queenstown</v>
      </c>
    </row>
    <row r="50" spans="1:20">
      <c r="A50" s="37">
        <v>49</v>
      </c>
      <c r="B50" s="37">
        <v>0</v>
      </c>
      <c r="C50" s="37">
        <v>3</v>
      </c>
      <c r="D50" s="37" t="s">
        <v>1332</v>
      </c>
      <c r="E50" s="37" t="s">
        <v>1333</v>
      </c>
      <c r="F50" s="37" t="s">
        <v>1235</v>
      </c>
      <c r="G50" s="37" t="str">
        <f>_xlfn.XLOOKUP(F50,notes!$B$12:$B$18,notes!$C$12:$C$18,"Unknown")</f>
        <v>Male</v>
      </c>
      <c r="H50" s="38" t="s">
        <v>1236</v>
      </c>
      <c r="I50" s="39" t="str">
        <f>_xlfn.XLOOKUP(H50,notes!$B$4:$B$8,notes!$C$4:$C$8,"Invalid",-1)</f>
        <v>Unknown</v>
      </c>
      <c r="J50" s="37">
        <v>2</v>
      </c>
      <c r="K50" s="37">
        <v>0</v>
      </c>
      <c r="L50" s="37">
        <f t="shared" si="2"/>
        <v>3</v>
      </c>
      <c r="M50" s="40" t="str">
        <f t="shared" si="0"/>
        <v>Not Survived</v>
      </c>
      <c r="N50" s="37" t="str">
        <f>_xlfn.XLOOKUP(L50,notes!$B$28:$B$30,notes!$C$28:$C$30,"Unknown",-1)</f>
        <v>Small Family</v>
      </c>
      <c r="O50" s="37">
        <v>2662</v>
      </c>
      <c r="P50" s="37">
        <v>21.6792</v>
      </c>
      <c r="Q50" s="37" t="str">
        <f t="shared" si="3"/>
        <v>Mid</v>
      </c>
      <c r="R50" s="37" t="s">
        <v>1236</v>
      </c>
      <c r="S50" s="37" t="s">
        <v>20</v>
      </c>
      <c r="T50" s="41" t="str">
        <f t="shared" si="1"/>
        <v>Cherbourg</v>
      </c>
    </row>
    <row r="51" spans="1:20">
      <c r="A51" s="37">
        <v>50</v>
      </c>
      <c r="B51" s="37">
        <v>0</v>
      </c>
      <c r="C51" s="37">
        <v>3</v>
      </c>
      <c r="D51" s="37" t="s">
        <v>1334</v>
      </c>
      <c r="E51" s="37" t="s">
        <v>1335</v>
      </c>
      <c r="F51" s="37" t="s">
        <v>1239</v>
      </c>
      <c r="G51" s="37" t="str">
        <f>_xlfn.XLOOKUP(F51,notes!$B$12:$B$18,notes!$C$12:$C$18,"Unknown")</f>
        <v>Female</v>
      </c>
      <c r="H51" s="38">
        <v>18</v>
      </c>
      <c r="I51" s="39" t="str">
        <f>_xlfn.XLOOKUP(H51,notes!$B$4:$B$8,notes!$C$4:$C$8,"Invalid",-1)</f>
        <v>Teenager</v>
      </c>
      <c r="J51" s="37">
        <v>1</v>
      </c>
      <c r="K51" s="37">
        <v>0</v>
      </c>
      <c r="L51" s="37">
        <f t="shared" si="2"/>
        <v>2</v>
      </c>
      <c r="M51" s="40" t="str">
        <f t="shared" si="0"/>
        <v>Not Survived</v>
      </c>
      <c r="N51" s="37" t="str">
        <f>_xlfn.XLOOKUP(L51,notes!$B$28:$B$30,notes!$C$28:$C$30,"Unknown",-1)</f>
        <v>Small Family</v>
      </c>
      <c r="O51" s="37">
        <v>349237</v>
      </c>
      <c r="P51" s="37">
        <v>17.8</v>
      </c>
      <c r="Q51" s="37" t="str">
        <f t="shared" si="3"/>
        <v>Mid</v>
      </c>
      <c r="R51" s="37" t="s">
        <v>1236</v>
      </c>
      <c r="S51" s="37" t="s">
        <v>15</v>
      </c>
      <c r="T51" s="41" t="str">
        <f t="shared" si="1"/>
        <v>Southampton</v>
      </c>
    </row>
    <row r="52" spans="1:20">
      <c r="A52" s="37">
        <v>51</v>
      </c>
      <c r="B52" s="37">
        <v>0</v>
      </c>
      <c r="C52" s="37">
        <v>3</v>
      </c>
      <c r="D52" s="37" t="s">
        <v>1336</v>
      </c>
      <c r="E52" s="37" t="s">
        <v>1337</v>
      </c>
      <c r="F52" s="37" t="s">
        <v>1253</v>
      </c>
      <c r="G52" s="37" t="str">
        <f>_xlfn.XLOOKUP(F52,notes!$B$12:$B$18,notes!$C$12:$C$18,"Unknown")</f>
        <v>Male</v>
      </c>
      <c r="H52" s="38">
        <v>7</v>
      </c>
      <c r="I52" s="39" t="str">
        <f>_xlfn.XLOOKUP(H52,notes!$B$4:$B$8,notes!$C$4:$C$8,"Invalid",-1)</f>
        <v>Kid</v>
      </c>
      <c r="J52" s="37">
        <v>4</v>
      </c>
      <c r="K52" s="37">
        <v>1</v>
      </c>
      <c r="L52" s="37">
        <f t="shared" si="2"/>
        <v>6</v>
      </c>
      <c r="M52" s="40" t="str">
        <f t="shared" si="0"/>
        <v>Not Survived</v>
      </c>
      <c r="N52" s="37" t="str">
        <f>_xlfn.XLOOKUP(L52,notes!$B$28:$B$30,notes!$C$28:$C$30,"Unknown",-1)</f>
        <v>Large Family</v>
      </c>
      <c r="O52" s="37">
        <v>3101295</v>
      </c>
      <c r="P52" s="37">
        <v>39.6875</v>
      </c>
      <c r="Q52" s="37" t="str">
        <f t="shared" si="3"/>
        <v>Mid</v>
      </c>
      <c r="R52" s="37" t="s">
        <v>1236</v>
      </c>
      <c r="S52" s="37" t="s">
        <v>15</v>
      </c>
      <c r="T52" s="41" t="str">
        <f t="shared" si="1"/>
        <v>Southampton</v>
      </c>
    </row>
    <row r="53" spans="1:20">
      <c r="A53" s="37">
        <v>52</v>
      </c>
      <c r="B53" s="37">
        <v>0</v>
      </c>
      <c r="C53" s="37">
        <v>3</v>
      </c>
      <c r="D53" s="37" t="s">
        <v>1338</v>
      </c>
      <c r="E53" s="37" t="s">
        <v>1339</v>
      </c>
      <c r="F53" s="37" t="s">
        <v>1235</v>
      </c>
      <c r="G53" s="37" t="str">
        <f>_xlfn.XLOOKUP(F53,notes!$B$12:$B$18,notes!$C$12:$C$18,"Unknown")</f>
        <v>Male</v>
      </c>
      <c r="H53" s="38">
        <v>21</v>
      </c>
      <c r="I53" s="39" t="str">
        <f>_xlfn.XLOOKUP(H53,notes!$B$4:$B$8,notes!$C$4:$C$8,"Invalid",-1)</f>
        <v>Adult</v>
      </c>
      <c r="J53" s="37">
        <v>0</v>
      </c>
      <c r="K53" s="37">
        <v>0</v>
      </c>
      <c r="L53" s="37">
        <f t="shared" si="2"/>
        <v>1</v>
      </c>
      <c r="M53" s="40" t="str">
        <f t="shared" si="0"/>
        <v>Not Survived</v>
      </c>
      <c r="N53" s="37" t="str">
        <f>_xlfn.XLOOKUP(L53,notes!$B$28:$B$30,notes!$C$28:$C$30,"Unknown",-1)</f>
        <v>Alone</v>
      </c>
      <c r="O53" s="37" t="s">
        <v>91</v>
      </c>
      <c r="P53" s="37">
        <v>7.8</v>
      </c>
      <c r="Q53" s="37" t="str">
        <f t="shared" si="3"/>
        <v>Low</v>
      </c>
      <c r="R53" s="37" t="s">
        <v>1236</v>
      </c>
      <c r="S53" s="37" t="s">
        <v>15</v>
      </c>
      <c r="T53" s="41" t="str">
        <f t="shared" si="1"/>
        <v>Southampton</v>
      </c>
    </row>
    <row r="54" spans="1:20">
      <c r="A54" s="37">
        <v>53</v>
      </c>
      <c r="B54" s="37">
        <v>1</v>
      </c>
      <c r="C54" s="37">
        <v>1</v>
      </c>
      <c r="D54" s="37" t="s">
        <v>1340</v>
      </c>
      <c r="E54" s="37" t="s">
        <v>1341</v>
      </c>
      <c r="F54" s="37" t="s">
        <v>1239</v>
      </c>
      <c r="G54" s="37" t="str">
        <f>_xlfn.XLOOKUP(F54,notes!$B$12:$B$18,notes!$C$12:$C$18,"Unknown")</f>
        <v>Female</v>
      </c>
      <c r="H54" s="38">
        <v>49</v>
      </c>
      <c r="I54" s="39" t="str">
        <f>_xlfn.XLOOKUP(H54,notes!$B$4:$B$8,notes!$C$4:$C$8,"Invalid",-1)</f>
        <v>Adult</v>
      </c>
      <c r="J54" s="37">
        <v>1</v>
      </c>
      <c r="K54" s="37">
        <v>0</v>
      </c>
      <c r="L54" s="37">
        <f t="shared" si="2"/>
        <v>2</v>
      </c>
      <c r="M54" s="40" t="str">
        <f t="shared" si="0"/>
        <v>Survived</v>
      </c>
      <c r="N54" s="37" t="str">
        <f>_xlfn.XLOOKUP(L54,notes!$B$28:$B$30,notes!$C$28:$C$30,"Unknown",-1)</f>
        <v>Small Family</v>
      </c>
      <c r="O54" s="37" t="s">
        <v>93</v>
      </c>
      <c r="P54" s="37">
        <v>76.7292</v>
      </c>
      <c r="Q54" s="37" t="str">
        <f t="shared" si="3"/>
        <v>High</v>
      </c>
      <c r="R54" s="37" t="s">
        <v>94</v>
      </c>
      <c r="S54" s="37" t="s">
        <v>20</v>
      </c>
      <c r="T54" s="41" t="str">
        <f t="shared" si="1"/>
        <v>Cherbourg</v>
      </c>
    </row>
    <row r="55" spans="1:20">
      <c r="A55" s="37">
        <v>54</v>
      </c>
      <c r="B55" s="37">
        <v>1</v>
      </c>
      <c r="C55" s="37">
        <v>2</v>
      </c>
      <c r="D55" s="37" t="s">
        <v>1342</v>
      </c>
      <c r="E55" s="37" t="s">
        <v>1343</v>
      </c>
      <c r="F55" s="37" t="s">
        <v>1239</v>
      </c>
      <c r="G55" s="37" t="str">
        <f>_xlfn.XLOOKUP(F55,notes!$B$12:$B$18,notes!$C$12:$C$18,"Unknown")</f>
        <v>Female</v>
      </c>
      <c r="H55" s="38">
        <v>29</v>
      </c>
      <c r="I55" s="39" t="str">
        <f>_xlfn.XLOOKUP(H55,notes!$B$4:$B$8,notes!$C$4:$C$8,"Invalid",-1)</f>
        <v>Adult</v>
      </c>
      <c r="J55" s="37">
        <v>1</v>
      </c>
      <c r="K55" s="37">
        <v>0</v>
      </c>
      <c r="L55" s="37">
        <f t="shared" si="2"/>
        <v>2</v>
      </c>
      <c r="M55" s="40" t="str">
        <f t="shared" si="0"/>
        <v>Survived</v>
      </c>
      <c r="N55" s="37" t="str">
        <f>_xlfn.XLOOKUP(L55,notes!$B$28:$B$30,notes!$C$28:$C$30,"Unknown",-1)</f>
        <v>Small Family</v>
      </c>
      <c r="O55" s="37">
        <v>2926</v>
      </c>
      <c r="P55" s="37">
        <v>26</v>
      </c>
      <c r="Q55" s="37" t="str">
        <f t="shared" si="3"/>
        <v>Mid</v>
      </c>
      <c r="R55" s="37" t="s">
        <v>1236</v>
      </c>
      <c r="S55" s="37" t="s">
        <v>15</v>
      </c>
      <c r="T55" s="41" t="str">
        <f t="shared" si="1"/>
        <v>Southampton</v>
      </c>
    </row>
    <row r="56" spans="1:20">
      <c r="A56" s="37">
        <v>55</v>
      </c>
      <c r="B56" s="37">
        <v>0</v>
      </c>
      <c r="C56" s="37">
        <v>1</v>
      </c>
      <c r="D56" s="37" t="s">
        <v>1344</v>
      </c>
      <c r="E56" s="37" t="s">
        <v>1345</v>
      </c>
      <c r="F56" s="37" t="s">
        <v>1235</v>
      </c>
      <c r="G56" s="37" t="str">
        <f>_xlfn.XLOOKUP(F56,notes!$B$12:$B$18,notes!$C$12:$C$18,"Unknown")</f>
        <v>Male</v>
      </c>
      <c r="H56" s="38">
        <v>65</v>
      </c>
      <c r="I56" s="39" t="str">
        <f>_xlfn.XLOOKUP(H56,notes!$B$4:$B$8,notes!$C$4:$C$8,"Invalid",-1)</f>
        <v>Elderly</v>
      </c>
      <c r="J56" s="37">
        <v>0</v>
      </c>
      <c r="K56" s="37">
        <v>1</v>
      </c>
      <c r="L56" s="37">
        <f t="shared" si="2"/>
        <v>2</v>
      </c>
      <c r="M56" s="40" t="str">
        <f t="shared" si="0"/>
        <v>Not Survived</v>
      </c>
      <c r="N56" s="37" t="str">
        <f>_xlfn.XLOOKUP(L56,notes!$B$28:$B$30,notes!$C$28:$C$30,"Unknown",-1)</f>
        <v>Small Family</v>
      </c>
      <c r="O56" s="37">
        <v>113509</v>
      </c>
      <c r="P56" s="37">
        <v>61.9792</v>
      </c>
      <c r="Q56" s="37" t="str">
        <f t="shared" si="3"/>
        <v>High</v>
      </c>
      <c r="R56" s="37" t="s">
        <v>97</v>
      </c>
      <c r="S56" s="37" t="s">
        <v>20</v>
      </c>
      <c r="T56" s="41" t="str">
        <f t="shared" si="1"/>
        <v>Cherbourg</v>
      </c>
    </row>
    <row r="57" spans="1:20">
      <c r="A57" s="37">
        <v>56</v>
      </c>
      <c r="B57" s="37">
        <v>1</v>
      </c>
      <c r="C57" s="37">
        <v>1</v>
      </c>
      <c r="D57" s="37" t="s">
        <v>1346</v>
      </c>
      <c r="E57" s="37" t="s">
        <v>1347</v>
      </c>
      <c r="F57" s="37" t="s">
        <v>1235</v>
      </c>
      <c r="G57" s="37" t="str">
        <f>_xlfn.XLOOKUP(F57,notes!$B$12:$B$18,notes!$C$12:$C$18,"Unknown")</f>
        <v>Male</v>
      </c>
      <c r="H57" s="38" t="s">
        <v>1236</v>
      </c>
      <c r="I57" s="39" t="str">
        <f>_xlfn.XLOOKUP(H57,notes!$B$4:$B$8,notes!$C$4:$C$8,"Invalid",-1)</f>
        <v>Unknown</v>
      </c>
      <c r="J57" s="37">
        <v>0</v>
      </c>
      <c r="K57" s="37">
        <v>0</v>
      </c>
      <c r="L57" s="37">
        <f t="shared" si="2"/>
        <v>1</v>
      </c>
      <c r="M57" s="40" t="str">
        <f t="shared" si="0"/>
        <v>Survived</v>
      </c>
      <c r="N57" s="37" t="str">
        <f>_xlfn.XLOOKUP(L57,notes!$B$28:$B$30,notes!$C$28:$C$30,"Unknown",-1)</f>
        <v>Alone</v>
      </c>
      <c r="O57" s="37">
        <v>19947</v>
      </c>
      <c r="P57" s="37">
        <v>35.5</v>
      </c>
      <c r="Q57" s="37" t="str">
        <f t="shared" si="3"/>
        <v>Mid</v>
      </c>
      <c r="R57" s="37" t="s">
        <v>99</v>
      </c>
      <c r="S57" s="37" t="s">
        <v>15</v>
      </c>
      <c r="T57" s="41" t="str">
        <f t="shared" si="1"/>
        <v>Southampton</v>
      </c>
    </row>
    <row r="58" spans="1:20">
      <c r="A58" s="37">
        <v>57</v>
      </c>
      <c r="B58" s="37">
        <v>1</v>
      </c>
      <c r="C58" s="37">
        <v>2</v>
      </c>
      <c r="D58" s="37" t="s">
        <v>1348</v>
      </c>
      <c r="E58" s="37" t="s">
        <v>1349</v>
      </c>
      <c r="F58" s="37" t="s">
        <v>1242</v>
      </c>
      <c r="G58" s="37" t="str">
        <f>_xlfn.XLOOKUP(F58,notes!$B$12:$B$18,notes!$C$12:$C$18,"Unknown")</f>
        <v>Female</v>
      </c>
      <c r="H58" s="38">
        <v>21</v>
      </c>
      <c r="I58" s="39" t="str">
        <f>_xlfn.XLOOKUP(H58,notes!$B$4:$B$8,notes!$C$4:$C$8,"Invalid",-1)</f>
        <v>Adult</v>
      </c>
      <c r="J58" s="37">
        <v>0</v>
      </c>
      <c r="K58" s="37">
        <v>0</v>
      </c>
      <c r="L58" s="37">
        <f t="shared" si="2"/>
        <v>1</v>
      </c>
      <c r="M58" s="40" t="str">
        <f t="shared" si="0"/>
        <v>Survived</v>
      </c>
      <c r="N58" s="37" t="str">
        <f>_xlfn.XLOOKUP(L58,notes!$B$28:$B$30,notes!$C$28:$C$30,"Unknown",-1)</f>
        <v>Alone</v>
      </c>
      <c r="O58" s="37" t="s">
        <v>101</v>
      </c>
      <c r="P58" s="37">
        <v>10.5</v>
      </c>
      <c r="Q58" s="37" t="str">
        <f t="shared" si="3"/>
        <v>Mid</v>
      </c>
      <c r="R58" s="37" t="s">
        <v>1236</v>
      </c>
      <c r="S58" s="37" t="s">
        <v>15</v>
      </c>
      <c r="T58" s="41" t="str">
        <f t="shared" si="1"/>
        <v>Southampton</v>
      </c>
    </row>
    <row r="59" spans="1:20">
      <c r="A59" s="37">
        <v>58</v>
      </c>
      <c r="B59" s="37">
        <v>0</v>
      </c>
      <c r="C59" s="37">
        <v>3</v>
      </c>
      <c r="D59" s="37" t="s">
        <v>1350</v>
      </c>
      <c r="E59" s="37" t="s">
        <v>1351</v>
      </c>
      <c r="F59" s="37" t="s">
        <v>1235</v>
      </c>
      <c r="G59" s="37" t="str">
        <f>_xlfn.XLOOKUP(F59,notes!$B$12:$B$18,notes!$C$12:$C$18,"Unknown")</f>
        <v>Male</v>
      </c>
      <c r="H59" s="38">
        <v>28.5</v>
      </c>
      <c r="I59" s="39" t="str">
        <f>_xlfn.XLOOKUP(H59,notes!$B$4:$B$8,notes!$C$4:$C$8,"Invalid",-1)</f>
        <v>Adult</v>
      </c>
      <c r="J59" s="37">
        <v>0</v>
      </c>
      <c r="K59" s="37">
        <v>0</v>
      </c>
      <c r="L59" s="37">
        <f t="shared" si="2"/>
        <v>1</v>
      </c>
      <c r="M59" s="40" t="str">
        <f t="shared" si="0"/>
        <v>Not Survived</v>
      </c>
      <c r="N59" s="37" t="str">
        <f>_xlfn.XLOOKUP(L59,notes!$B$28:$B$30,notes!$C$28:$C$30,"Unknown",-1)</f>
        <v>Alone</v>
      </c>
      <c r="O59" s="37">
        <v>2697</v>
      </c>
      <c r="P59" s="37">
        <v>7.2292</v>
      </c>
      <c r="Q59" s="37" t="str">
        <f t="shared" si="3"/>
        <v>Low</v>
      </c>
      <c r="R59" s="37" t="s">
        <v>1236</v>
      </c>
      <c r="S59" s="37" t="s">
        <v>20</v>
      </c>
      <c r="T59" s="41" t="str">
        <f t="shared" si="1"/>
        <v>Cherbourg</v>
      </c>
    </row>
    <row r="60" spans="1:20">
      <c r="A60" s="37">
        <v>59</v>
      </c>
      <c r="B60" s="37">
        <v>1</v>
      </c>
      <c r="C60" s="37">
        <v>2</v>
      </c>
      <c r="D60" s="37" t="s">
        <v>1352</v>
      </c>
      <c r="E60" s="37" t="s">
        <v>1353</v>
      </c>
      <c r="F60" s="37" t="s">
        <v>1242</v>
      </c>
      <c r="G60" s="37" t="str">
        <f>_xlfn.XLOOKUP(F60,notes!$B$12:$B$18,notes!$C$12:$C$18,"Unknown")</f>
        <v>Female</v>
      </c>
      <c r="H60" s="38">
        <v>5</v>
      </c>
      <c r="I60" s="39" t="str">
        <f>_xlfn.XLOOKUP(H60,notes!$B$4:$B$8,notes!$C$4:$C$8,"Invalid",-1)</f>
        <v>Kid</v>
      </c>
      <c r="J60" s="37">
        <v>1</v>
      </c>
      <c r="K60" s="37">
        <v>2</v>
      </c>
      <c r="L60" s="37">
        <f t="shared" si="2"/>
        <v>4</v>
      </c>
      <c r="M60" s="40" t="str">
        <f t="shared" si="0"/>
        <v>Survived</v>
      </c>
      <c r="N60" s="37" t="str">
        <f>_xlfn.XLOOKUP(L60,notes!$B$28:$B$30,notes!$C$28:$C$30,"Unknown",-1)</f>
        <v>Large Family</v>
      </c>
      <c r="O60" s="37" t="s">
        <v>104</v>
      </c>
      <c r="P60" s="37">
        <v>27.75</v>
      </c>
      <c r="Q60" s="37" t="str">
        <f t="shared" si="3"/>
        <v>Mid</v>
      </c>
      <c r="R60" s="37" t="s">
        <v>1236</v>
      </c>
      <c r="S60" s="37" t="s">
        <v>15</v>
      </c>
      <c r="T60" s="41" t="str">
        <f t="shared" si="1"/>
        <v>Southampton</v>
      </c>
    </row>
    <row r="61" spans="1:20">
      <c r="A61" s="37">
        <v>60</v>
      </c>
      <c r="B61" s="37">
        <v>0</v>
      </c>
      <c r="C61" s="37">
        <v>3</v>
      </c>
      <c r="D61" s="37" t="s">
        <v>1354</v>
      </c>
      <c r="E61" s="37" t="s">
        <v>1355</v>
      </c>
      <c r="F61" s="37" t="s">
        <v>1253</v>
      </c>
      <c r="G61" s="37" t="str">
        <f>_xlfn.XLOOKUP(F61,notes!$B$12:$B$18,notes!$C$12:$C$18,"Unknown")</f>
        <v>Male</v>
      </c>
      <c r="H61" s="38">
        <v>11</v>
      </c>
      <c r="I61" s="39" t="str">
        <f>_xlfn.XLOOKUP(H61,notes!$B$4:$B$8,notes!$C$4:$C$8,"Invalid",-1)</f>
        <v>Kid</v>
      </c>
      <c r="J61" s="37">
        <v>5</v>
      </c>
      <c r="K61" s="37">
        <v>2</v>
      </c>
      <c r="L61" s="37">
        <f t="shared" si="2"/>
        <v>8</v>
      </c>
      <c r="M61" s="40" t="str">
        <f t="shared" si="0"/>
        <v>Not Survived</v>
      </c>
      <c r="N61" s="37" t="str">
        <f>_xlfn.XLOOKUP(L61,notes!$B$28:$B$30,notes!$C$28:$C$30,"Unknown",-1)</f>
        <v>Large Family</v>
      </c>
      <c r="O61" s="37" t="s">
        <v>106</v>
      </c>
      <c r="P61" s="37">
        <v>46.9</v>
      </c>
      <c r="Q61" s="37" t="str">
        <f t="shared" si="3"/>
        <v>Mid</v>
      </c>
      <c r="R61" s="37" t="s">
        <v>1236</v>
      </c>
      <c r="S61" s="37" t="s">
        <v>15</v>
      </c>
      <c r="T61" s="41" t="str">
        <f t="shared" si="1"/>
        <v>Southampton</v>
      </c>
    </row>
    <row r="62" spans="1:20">
      <c r="A62" s="37">
        <v>61</v>
      </c>
      <c r="B62" s="37">
        <v>0</v>
      </c>
      <c r="C62" s="37">
        <v>3</v>
      </c>
      <c r="D62" s="37" t="s">
        <v>1356</v>
      </c>
      <c r="E62" s="37" t="s">
        <v>1357</v>
      </c>
      <c r="F62" s="37" t="s">
        <v>1235</v>
      </c>
      <c r="G62" s="37" t="str">
        <f>_xlfn.XLOOKUP(F62,notes!$B$12:$B$18,notes!$C$12:$C$18,"Unknown")</f>
        <v>Male</v>
      </c>
      <c r="H62" s="38">
        <v>22</v>
      </c>
      <c r="I62" s="39" t="str">
        <f>_xlfn.XLOOKUP(H62,notes!$B$4:$B$8,notes!$C$4:$C$8,"Invalid",-1)</f>
        <v>Adult</v>
      </c>
      <c r="J62" s="37">
        <v>0</v>
      </c>
      <c r="K62" s="37">
        <v>0</v>
      </c>
      <c r="L62" s="37">
        <f t="shared" si="2"/>
        <v>1</v>
      </c>
      <c r="M62" s="40" t="str">
        <f t="shared" si="0"/>
        <v>Not Survived</v>
      </c>
      <c r="N62" s="37" t="str">
        <f>_xlfn.XLOOKUP(L62,notes!$B$28:$B$30,notes!$C$28:$C$30,"Unknown",-1)</f>
        <v>Alone</v>
      </c>
      <c r="O62" s="37">
        <v>2669</v>
      </c>
      <c r="P62" s="37">
        <v>7.2292</v>
      </c>
      <c r="Q62" s="37" t="str">
        <f t="shared" si="3"/>
        <v>Low</v>
      </c>
      <c r="R62" s="37" t="s">
        <v>1236</v>
      </c>
      <c r="S62" s="37" t="s">
        <v>20</v>
      </c>
      <c r="T62" s="41" t="str">
        <f t="shared" si="1"/>
        <v>Cherbourg</v>
      </c>
    </row>
    <row r="63" spans="1:20">
      <c r="A63" s="37">
        <v>62</v>
      </c>
      <c r="B63" s="37">
        <v>1</v>
      </c>
      <c r="C63" s="37">
        <v>1</v>
      </c>
      <c r="D63" s="37" t="s">
        <v>1358</v>
      </c>
      <c r="E63" s="37" t="s">
        <v>1359</v>
      </c>
      <c r="F63" s="37" t="s">
        <v>1242</v>
      </c>
      <c r="G63" s="37" t="str">
        <f>_xlfn.XLOOKUP(F63,notes!$B$12:$B$18,notes!$C$12:$C$18,"Unknown")</f>
        <v>Female</v>
      </c>
      <c r="H63" s="38">
        <v>38</v>
      </c>
      <c r="I63" s="39" t="str">
        <f>_xlfn.XLOOKUP(H63,notes!$B$4:$B$8,notes!$C$4:$C$8,"Invalid",-1)</f>
        <v>Adult</v>
      </c>
      <c r="J63" s="37">
        <v>0</v>
      </c>
      <c r="K63" s="37">
        <v>0</v>
      </c>
      <c r="L63" s="37">
        <f t="shared" si="2"/>
        <v>1</v>
      </c>
      <c r="M63" s="40" t="str">
        <f t="shared" si="0"/>
        <v>Survived</v>
      </c>
      <c r="N63" s="37" t="str">
        <f>_xlfn.XLOOKUP(L63,notes!$B$28:$B$30,notes!$C$28:$C$30,"Unknown",-1)</f>
        <v>Alone</v>
      </c>
      <c r="O63" s="37">
        <v>113572</v>
      </c>
      <c r="P63" s="37">
        <v>80</v>
      </c>
      <c r="Q63" s="37" t="str">
        <f t="shared" si="3"/>
        <v>High</v>
      </c>
      <c r="R63" s="37" t="s">
        <v>109</v>
      </c>
      <c r="S63" s="37" t="s">
        <v>1236</v>
      </c>
      <c r="T63" s="41" t="str">
        <f t="shared" si="1"/>
        <v>Unknown</v>
      </c>
    </row>
    <row r="64" spans="1:20">
      <c r="A64" s="37">
        <v>63</v>
      </c>
      <c r="B64" s="37">
        <v>0</v>
      </c>
      <c r="C64" s="37">
        <v>1</v>
      </c>
      <c r="D64" s="37" t="s">
        <v>1360</v>
      </c>
      <c r="E64" s="37" t="s">
        <v>1361</v>
      </c>
      <c r="F64" s="37" t="s">
        <v>1235</v>
      </c>
      <c r="G64" s="37" t="str">
        <f>_xlfn.XLOOKUP(F64,notes!$B$12:$B$18,notes!$C$12:$C$18,"Unknown")</f>
        <v>Male</v>
      </c>
      <c r="H64" s="38">
        <v>45</v>
      </c>
      <c r="I64" s="39" t="str">
        <f>_xlfn.XLOOKUP(H64,notes!$B$4:$B$8,notes!$C$4:$C$8,"Invalid",-1)</f>
        <v>Adult</v>
      </c>
      <c r="J64" s="37">
        <v>1</v>
      </c>
      <c r="K64" s="37">
        <v>0</v>
      </c>
      <c r="L64" s="37">
        <f t="shared" si="2"/>
        <v>2</v>
      </c>
      <c r="M64" s="40" t="str">
        <f t="shared" si="0"/>
        <v>Not Survived</v>
      </c>
      <c r="N64" s="37" t="str">
        <f>_xlfn.XLOOKUP(L64,notes!$B$28:$B$30,notes!$C$28:$C$30,"Unknown",-1)</f>
        <v>Small Family</v>
      </c>
      <c r="O64" s="37">
        <v>36973</v>
      </c>
      <c r="P64" s="37">
        <v>83.475</v>
      </c>
      <c r="Q64" s="37" t="str">
        <f t="shared" si="3"/>
        <v>High</v>
      </c>
      <c r="R64" s="37" t="s">
        <v>111</v>
      </c>
      <c r="S64" s="37" t="s">
        <v>15</v>
      </c>
      <c r="T64" s="41" t="str">
        <f t="shared" si="1"/>
        <v>Southampton</v>
      </c>
    </row>
    <row r="65" spans="1:20">
      <c r="A65" s="37">
        <v>64</v>
      </c>
      <c r="B65" s="37">
        <v>0</v>
      </c>
      <c r="C65" s="37">
        <v>3</v>
      </c>
      <c r="D65" s="37" t="s">
        <v>1362</v>
      </c>
      <c r="E65" s="37" t="s">
        <v>1363</v>
      </c>
      <c r="F65" s="37" t="s">
        <v>1253</v>
      </c>
      <c r="G65" s="37" t="str">
        <f>_xlfn.XLOOKUP(F65,notes!$B$12:$B$18,notes!$C$12:$C$18,"Unknown")</f>
        <v>Male</v>
      </c>
      <c r="H65" s="38">
        <v>4</v>
      </c>
      <c r="I65" s="39" t="str">
        <f>_xlfn.XLOOKUP(H65,notes!$B$4:$B$8,notes!$C$4:$C$8,"Invalid",-1)</f>
        <v>Kid</v>
      </c>
      <c r="J65" s="37">
        <v>3</v>
      </c>
      <c r="K65" s="37">
        <v>2</v>
      </c>
      <c r="L65" s="37">
        <f t="shared" si="2"/>
        <v>6</v>
      </c>
      <c r="M65" s="40" t="str">
        <f t="shared" si="0"/>
        <v>Not Survived</v>
      </c>
      <c r="N65" s="37" t="str">
        <f>_xlfn.XLOOKUP(L65,notes!$B$28:$B$30,notes!$C$28:$C$30,"Unknown",-1)</f>
        <v>Large Family</v>
      </c>
      <c r="O65" s="37">
        <v>347088</v>
      </c>
      <c r="P65" s="37">
        <v>27.9</v>
      </c>
      <c r="Q65" s="37" t="str">
        <f t="shared" si="3"/>
        <v>Mid</v>
      </c>
      <c r="R65" s="37" t="s">
        <v>1236</v>
      </c>
      <c r="S65" s="37" t="s">
        <v>15</v>
      </c>
      <c r="T65" s="41" t="str">
        <f t="shared" si="1"/>
        <v>Southampton</v>
      </c>
    </row>
    <row r="66" spans="1:20">
      <c r="A66" s="37">
        <v>65</v>
      </c>
      <c r="B66" s="37">
        <v>0</v>
      </c>
      <c r="C66" s="37">
        <v>1</v>
      </c>
      <c r="D66" s="37" t="s">
        <v>1364</v>
      </c>
      <c r="E66" s="37" t="s">
        <v>1365</v>
      </c>
      <c r="F66" s="37" t="s">
        <v>1235</v>
      </c>
      <c r="G66" s="37" t="str">
        <f>_xlfn.XLOOKUP(F66,notes!$B$12:$B$18,notes!$C$12:$C$18,"Unknown")</f>
        <v>Male</v>
      </c>
      <c r="H66" s="38" t="s">
        <v>1236</v>
      </c>
      <c r="I66" s="39" t="str">
        <f>_xlfn.XLOOKUP(H66,notes!$B$4:$B$8,notes!$C$4:$C$8,"Invalid",-1)</f>
        <v>Unknown</v>
      </c>
      <c r="J66" s="37">
        <v>0</v>
      </c>
      <c r="K66" s="37">
        <v>0</v>
      </c>
      <c r="L66" s="37">
        <f t="shared" si="2"/>
        <v>1</v>
      </c>
      <c r="M66" s="40" t="str">
        <f t="shared" ref="M66:M129" si="4">IF(B66=1,"Survived","Not Survived")</f>
        <v>Not Survived</v>
      </c>
      <c r="N66" s="37" t="str">
        <f>_xlfn.XLOOKUP(L66,notes!$B$28:$B$30,notes!$C$28:$C$30,"Unknown",-1)</f>
        <v>Alone</v>
      </c>
      <c r="O66" s="37" t="s">
        <v>114</v>
      </c>
      <c r="P66" s="37">
        <v>27.7208</v>
      </c>
      <c r="Q66" s="37" t="str">
        <f t="shared" si="3"/>
        <v>Mid</v>
      </c>
      <c r="R66" s="37" t="s">
        <v>1236</v>
      </c>
      <c r="S66" s="37" t="s">
        <v>20</v>
      </c>
      <c r="T66" s="41" t="str">
        <f t="shared" ref="T66:T129" si="5">IF(S66="Q","Queenstown",IF(S66="C","Cherbourg",IF(S66="S","Southampton","Unknown")))</f>
        <v>Cherbourg</v>
      </c>
    </row>
    <row r="67" spans="1:20">
      <c r="A67" s="37">
        <v>66</v>
      </c>
      <c r="B67" s="37">
        <v>1</v>
      </c>
      <c r="C67" s="37">
        <v>3</v>
      </c>
      <c r="D67" s="37" t="s">
        <v>1366</v>
      </c>
      <c r="E67" s="37" t="s">
        <v>1367</v>
      </c>
      <c r="F67" s="37" t="s">
        <v>1253</v>
      </c>
      <c r="G67" s="37" t="str">
        <f>_xlfn.XLOOKUP(F67,notes!$B$12:$B$18,notes!$C$12:$C$18,"Unknown")</f>
        <v>Male</v>
      </c>
      <c r="H67" s="38" t="s">
        <v>1236</v>
      </c>
      <c r="I67" s="39" t="str">
        <f>_xlfn.XLOOKUP(H67,notes!$B$4:$B$8,notes!$C$4:$C$8,"Invalid",-1)</f>
        <v>Unknown</v>
      </c>
      <c r="J67" s="37">
        <v>1</v>
      </c>
      <c r="K67" s="37">
        <v>1</v>
      </c>
      <c r="L67" s="37">
        <f t="shared" ref="L67:L130" si="6">(J67+K67)+1</f>
        <v>3</v>
      </c>
      <c r="M67" s="40" t="str">
        <f t="shared" si="4"/>
        <v>Survived</v>
      </c>
      <c r="N67" s="37" t="str">
        <f>_xlfn.XLOOKUP(L67,notes!$B$28:$B$30,notes!$C$28:$C$30,"Unknown",-1)</f>
        <v>Small Family</v>
      </c>
      <c r="O67" s="37">
        <v>2661</v>
      </c>
      <c r="P67" s="37">
        <v>15.2458</v>
      </c>
      <c r="Q67" s="37" t="str">
        <f t="shared" ref="Q67:Q130" si="7">IF(P67&gt;=50,"High",IF(P67&gt;=10,"Mid",IF(P67&lt;10,"Low","invalid")))</f>
        <v>Mid</v>
      </c>
      <c r="R67" s="37" t="s">
        <v>1236</v>
      </c>
      <c r="S67" s="37" t="s">
        <v>20</v>
      </c>
      <c r="T67" s="41" t="str">
        <f t="shared" si="5"/>
        <v>Cherbourg</v>
      </c>
    </row>
    <row r="68" spans="1:20">
      <c r="A68" s="37">
        <v>67</v>
      </c>
      <c r="B68" s="37">
        <v>1</v>
      </c>
      <c r="C68" s="37">
        <v>2</v>
      </c>
      <c r="D68" s="37" t="s">
        <v>1368</v>
      </c>
      <c r="E68" s="37" t="s">
        <v>1369</v>
      </c>
      <c r="F68" s="37" t="s">
        <v>1239</v>
      </c>
      <c r="G68" s="37" t="str">
        <f>_xlfn.XLOOKUP(F68,notes!$B$12:$B$18,notes!$C$12:$C$18,"Unknown")</f>
        <v>Female</v>
      </c>
      <c r="H68" s="38">
        <v>29</v>
      </c>
      <c r="I68" s="39" t="str">
        <f>_xlfn.XLOOKUP(H68,notes!$B$4:$B$8,notes!$C$4:$C$8,"Invalid",-1)</f>
        <v>Adult</v>
      </c>
      <c r="J68" s="37">
        <v>0</v>
      </c>
      <c r="K68" s="37">
        <v>0</v>
      </c>
      <c r="L68" s="37">
        <f t="shared" si="6"/>
        <v>1</v>
      </c>
      <c r="M68" s="40" t="str">
        <f t="shared" si="4"/>
        <v>Survived</v>
      </c>
      <c r="N68" s="37" t="str">
        <f>_xlfn.XLOOKUP(L68,notes!$B$28:$B$30,notes!$C$28:$C$30,"Unknown",-1)</f>
        <v>Alone</v>
      </c>
      <c r="O68" s="37" t="s">
        <v>117</v>
      </c>
      <c r="P68" s="37">
        <v>10.5</v>
      </c>
      <c r="Q68" s="37" t="str">
        <f t="shared" si="7"/>
        <v>Mid</v>
      </c>
      <c r="R68" s="37" t="s">
        <v>118</v>
      </c>
      <c r="S68" s="37" t="s">
        <v>15</v>
      </c>
      <c r="T68" s="41" t="str">
        <f t="shared" si="5"/>
        <v>Southampton</v>
      </c>
    </row>
    <row r="69" spans="1:20">
      <c r="A69" s="37">
        <v>68</v>
      </c>
      <c r="B69" s="37">
        <v>0</v>
      </c>
      <c r="C69" s="37">
        <v>3</v>
      </c>
      <c r="D69" s="37" t="s">
        <v>1370</v>
      </c>
      <c r="E69" s="37" t="s">
        <v>1371</v>
      </c>
      <c r="F69" s="37" t="s">
        <v>1235</v>
      </c>
      <c r="G69" s="37" t="str">
        <f>_xlfn.XLOOKUP(F69,notes!$B$12:$B$18,notes!$C$12:$C$18,"Unknown")</f>
        <v>Male</v>
      </c>
      <c r="H69" s="38">
        <v>19</v>
      </c>
      <c r="I69" s="39" t="str">
        <f>_xlfn.XLOOKUP(H69,notes!$B$4:$B$8,notes!$C$4:$C$8,"Invalid",-1)</f>
        <v>Teenager</v>
      </c>
      <c r="J69" s="37">
        <v>0</v>
      </c>
      <c r="K69" s="37">
        <v>0</v>
      </c>
      <c r="L69" s="37">
        <f t="shared" si="6"/>
        <v>1</v>
      </c>
      <c r="M69" s="40" t="str">
        <f t="shared" si="4"/>
        <v>Not Survived</v>
      </c>
      <c r="N69" s="37" t="str">
        <f>_xlfn.XLOOKUP(L69,notes!$B$28:$B$30,notes!$C$28:$C$30,"Unknown",-1)</f>
        <v>Alone</v>
      </c>
      <c r="O69" s="37" t="s">
        <v>120</v>
      </c>
      <c r="P69" s="37">
        <v>8.1583</v>
      </c>
      <c r="Q69" s="37" t="str">
        <f t="shared" si="7"/>
        <v>Low</v>
      </c>
      <c r="R69" s="37" t="s">
        <v>1236</v>
      </c>
      <c r="S69" s="37" t="s">
        <v>15</v>
      </c>
      <c r="T69" s="41" t="str">
        <f t="shared" si="5"/>
        <v>Southampton</v>
      </c>
    </row>
    <row r="70" spans="1:20">
      <c r="A70" s="37">
        <v>69</v>
      </c>
      <c r="B70" s="37">
        <v>1</v>
      </c>
      <c r="C70" s="37">
        <v>3</v>
      </c>
      <c r="D70" s="37" t="s">
        <v>1263</v>
      </c>
      <c r="E70" s="37" t="s">
        <v>1372</v>
      </c>
      <c r="F70" s="37" t="s">
        <v>1242</v>
      </c>
      <c r="G70" s="37" t="str">
        <f>_xlfn.XLOOKUP(F70,notes!$B$12:$B$18,notes!$C$12:$C$18,"Unknown")</f>
        <v>Female</v>
      </c>
      <c r="H70" s="38">
        <v>17</v>
      </c>
      <c r="I70" s="39" t="str">
        <f>_xlfn.XLOOKUP(H70,notes!$B$4:$B$8,notes!$C$4:$C$8,"Invalid",-1)</f>
        <v>Teenager</v>
      </c>
      <c r="J70" s="37">
        <v>4</v>
      </c>
      <c r="K70" s="37">
        <v>2</v>
      </c>
      <c r="L70" s="37">
        <f t="shared" si="6"/>
        <v>7</v>
      </c>
      <c r="M70" s="40" t="str">
        <f t="shared" si="4"/>
        <v>Survived</v>
      </c>
      <c r="N70" s="37" t="str">
        <f>_xlfn.XLOOKUP(L70,notes!$B$28:$B$30,notes!$C$28:$C$30,"Unknown",-1)</f>
        <v>Large Family</v>
      </c>
      <c r="O70" s="37">
        <v>3101281</v>
      </c>
      <c r="P70" s="37">
        <v>7.925</v>
      </c>
      <c r="Q70" s="37" t="str">
        <f t="shared" si="7"/>
        <v>Low</v>
      </c>
      <c r="R70" s="37" t="s">
        <v>1236</v>
      </c>
      <c r="S70" s="37" t="s">
        <v>15</v>
      </c>
      <c r="T70" s="41" t="str">
        <f t="shared" si="5"/>
        <v>Southampton</v>
      </c>
    </row>
    <row r="71" spans="1:20">
      <c r="A71" s="37">
        <v>70</v>
      </c>
      <c r="B71" s="37">
        <v>0</v>
      </c>
      <c r="C71" s="37">
        <v>3</v>
      </c>
      <c r="D71" s="37" t="s">
        <v>1373</v>
      </c>
      <c r="E71" s="37" t="s">
        <v>1374</v>
      </c>
      <c r="F71" s="37" t="s">
        <v>1235</v>
      </c>
      <c r="G71" s="37" t="str">
        <f>_xlfn.XLOOKUP(F71,notes!$B$12:$B$18,notes!$C$12:$C$18,"Unknown")</f>
        <v>Male</v>
      </c>
      <c r="H71" s="38">
        <v>26</v>
      </c>
      <c r="I71" s="39" t="str">
        <f>_xlfn.XLOOKUP(H71,notes!$B$4:$B$8,notes!$C$4:$C$8,"Invalid",-1)</f>
        <v>Adult</v>
      </c>
      <c r="J71" s="37">
        <v>2</v>
      </c>
      <c r="K71" s="37">
        <v>0</v>
      </c>
      <c r="L71" s="37">
        <f t="shared" si="6"/>
        <v>3</v>
      </c>
      <c r="M71" s="40" t="str">
        <f t="shared" si="4"/>
        <v>Not Survived</v>
      </c>
      <c r="N71" s="37" t="str">
        <f>_xlfn.XLOOKUP(L71,notes!$B$28:$B$30,notes!$C$28:$C$30,"Unknown",-1)</f>
        <v>Small Family</v>
      </c>
      <c r="O71" s="37">
        <v>315151</v>
      </c>
      <c r="P71" s="37">
        <v>8.6625</v>
      </c>
      <c r="Q71" s="37" t="str">
        <f t="shared" si="7"/>
        <v>Low</v>
      </c>
      <c r="R71" s="37" t="s">
        <v>1236</v>
      </c>
      <c r="S71" s="37" t="s">
        <v>15</v>
      </c>
      <c r="T71" s="41" t="str">
        <f t="shared" si="5"/>
        <v>Southampton</v>
      </c>
    </row>
    <row r="72" spans="1:20">
      <c r="A72" s="37">
        <v>71</v>
      </c>
      <c r="B72" s="37">
        <v>0</v>
      </c>
      <c r="C72" s="37">
        <v>2</v>
      </c>
      <c r="D72" s="37" t="s">
        <v>1375</v>
      </c>
      <c r="E72" s="37" t="s">
        <v>1376</v>
      </c>
      <c r="F72" s="37" t="s">
        <v>1235</v>
      </c>
      <c r="G72" s="37" t="str">
        <f>_xlfn.XLOOKUP(F72,notes!$B$12:$B$18,notes!$C$12:$C$18,"Unknown")</f>
        <v>Male</v>
      </c>
      <c r="H72" s="38">
        <v>32</v>
      </c>
      <c r="I72" s="39" t="str">
        <f>_xlfn.XLOOKUP(H72,notes!$B$4:$B$8,notes!$C$4:$C$8,"Invalid",-1)</f>
        <v>Adult</v>
      </c>
      <c r="J72" s="37">
        <v>0</v>
      </c>
      <c r="K72" s="37">
        <v>0</v>
      </c>
      <c r="L72" s="37">
        <f t="shared" si="6"/>
        <v>1</v>
      </c>
      <c r="M72" s="40" t="str">
        <f t="shared" si="4"/>
        <v>Not Survived</v>
      </c>
      <c r="N72" s="37" t="str">
        <f>_xlfn.XLOOKUP(L72,notes!$B$28:$B$30,notes!$C$28:$C$30,"Unknown",-1)</f>
        <v>Alone</v>
      </c>
      <c r="O72" s="37" t="s">
        <v>124</v>
      </c>
      <c r="P72" s="37">
        <v>10.5</v>
      </c>
      <c r="Q72" s="37" t="str">
        <f t="shared" si="7"/>
        <v>Mid</v>
      </c>
      <c r="R72" s="37" t="s">
        <v>1236</v>
      </c>
      <c r="S72" s="37" t="s">
        <v>15</v>
      </c>
      <c r="T72" s="41" t="str">
        <f t="shared" si="5"/>
        <v>Southampton</v>
      </c>
    </row>
    <row r="73" spans="1:20">
      <c r="A73" s="37">
        <v>72</v>
      </c>
      <c r="B73" s="37">
        <v>0</v>
      </c>
      <c r="C73" s="37">
        <v>3</v>
      </c>
      <c r="D73" s="37" t="s">
        <v>1354</v>
      </c>
      <c r="E73" s="37" t="s">
        <v>1377</v>
      </c>
      <c r="F73" s="37" t="s">
        <v>1242</v>
      </c>
      <c r="G73" s="37" t="str">
        <f>_xlfn.XLOOKUP(F73,notes!$B$12:$B$18,notes!$C$12:$C$18,"Unknown")</f>
        <v>Female</v>
      </c>
      <c r="H73" s="38">
        <v>16</v>
      </c>
      <c r="I73" s="39" t="str">
        <f>_xlfn.XLOOKUP(H73,notes!$B$4:$B$8,notes!$C$4:$C$8,"Invalid",-1)</f>
        <v>Teenager</v>
      </c>
      <c r="J73" s="37">
        <v>5</v>
      </c>
      <c r="K73" s="37">
        <v>2</v>
      </c>
      <c r="L73" s="37">
        <f t="shared" si="6"/>
        <v>8</v>
      </c>
      <c r="M73" s="40" t="str">
        <f t="shared" si="4"/>
        <v>Not Survived</v>
      </c>
      <c r="N73" s="37" t="str">
        <f>_xlfn.XLOOKUP(L73,notes!$B$28:$B$30,notes!$C$28:$C$30,"Unknown",-1)</f>
        <v>Large Family</v>
      </c>
      <c r="O73" s="37" t="s">
        <v>106</v>
      </c>
      <c r="P73" s="37">
        <v>46.9</v>
      </c>
      <c r="Q73" s="37" t="str">
        <f t="shared" si="7"/>
        <v>Mid</v>
      </c>
      <c r="R73" s="37" t="s">
        <v>1236</v>
      </c>
      <c r="S73" s="37" t="s">
        <v>15</v>
      </c>
      <c r="T73" s="41" t="str">
        <f t="shared" si="5"/>
        <v>Southampton</v>
      </c>
    </row>
    <row r="74" spans="1:20">
      <c r="A74" s="37">
        <v>73</v>
      </c>
      <c r="B74" s="37">
        <v>0</v>
      </c>
      <c r="C74" s="37">
        <v>2</v>
      </c>
      <c r="D74" s="37" t="s">
        <v>1378</v>
      </c>
      <c r="E74" s="37" t="s">
        <v>1379</v>
      </c>
      <c r="F74" s="37" t="s">
        <v>1235</v>
      </c>
      <c r="G74" s="37" t="str">
        <f>_xlfn.XLOOKUP(F74,notes!$B$12:$B$18,notes!$C$12:$C$18,"Unknown")</f>
        <v>Male</v>
      </c>
      <c r="H74" s="38">
        <v>21</v>
      </c>
      <c r="I74" s="39" t="str">
        <f>_xlfn.XLOOKUP(H74,notes!$B$4:$B$8,notes!$C$4:$C$8,"Invalid",-1)</f>
        <v>Adult</v>
      </c>
      <c r="J74" s="37">
        <v>0</v>
      </c>
      <c r="K74" s="37">
        <v>0</v>
      </c>
      <c r="L74" s="37">
        <f t="shared" si="6"/>
        <v>1</v>
      </c>
      <c r="M74" s="40" t="str">
        <f t="shared" si="4"/>
        <v>Not Survived</v>
      </c>
      <c r="N74" s="37" t="str">
        <f>_xlfn.XLOOKUP(L74,notes!$B$28:$B$30,notes!$C$28:$C$30,"Unknown",-1)</f>
        <v>Alone</v>
      </c>
      <c r="O74" s="37" t="s">
        <v>127</v>
      </c>
      <c r="P74" s="37">
        <v>73.5</v>
      </c>
      <c r="Q74" s="37" t="str">
        <f t="shared" si="7"/>
        <v>High</v>
      </c>
      <c r="R74" s="37" t="s">
        <v>1236</v>
      </c>
      <c r="S74" s="37" t="s">
        <v>15</v>
      </c>
      <c r="T74" s="41" t="str">
        <f t="shared" si="5"/>
        <v>Southampton</v>
      </c>
    </row>
    <row r="75" spans="1:20">
      <c r="A75" s="37">
        <v>74</v>
      </c>
      <c r="B75" s="37">
        <v>0</v>
      </c>
      <c r="C75" s="37">
        <v>3</v>
      </c>
      <c r="D75" s="37" t="s">
        <v>1380</v>
      </c>
      <c r="E75" s="37" t="s">
        <v>1381</v>
      </c>
      <c r="F75" s="37" t="s">
        <v>1235</v>
      </c>
      <c r="G75" s="37" t="str">
        <f>_xlfn.XLOOKUP(F75,notes!$B$12:$B$18,notes!$C$12:$C$18,"Unknown")</f>
        <v>Male</v>
      </c>
      <c r="H75" s="38">
        <v>26</v>
      </c>
      <c r="I75" s="39" t="str">
        <f>_xlfn.XLOOKUP(H75,notes!$B$4:$B$8,notes!$C$4:$C$8,"Invalid",-1)</f>
        <v>Adult</v>
      </c>
      <c r="J75" s="37">
        <v>1</v>
      </c>
      <c r="K75" s="37">
        <v>0</v>
      </c>
      <c r="L75" s="37">
        <f t="shared" si="6"/>
        <v>2</v>
      </c>
      <c r="M75" s="40" t="str">
        <f t="shared" si="4"/>
        <v>Not Survived</v>
      </c>
      <c r="N75" s="37" t="str">
        <f>_xlfn.XLOOKUP(L75,notes!$B$28:$B$30,notes!$C$28:$C$30,"Unknown",-1)</f>
        <v>Small Family</v>
      </c>
      <c r="O75" s="37">
        <v>2680</v>
      </c>
      <c r="P75" s="37">
        <v>14.4542</v>
      </c>
      <c r="Q75" s="37" t="str">
        <f t="shared" si="7"/>
        <v>Mid</v>
      </c>
      <c r="R75" s="37" t="s">
        <v>1236</v>
      </c>
      <c r="S75" s="37" t="s">
        <v>20</v>
      </c>
      <c r="T75" s="41" t="str">
        <f t="shared" si="5"/>
        <v>Cherbourg</v>
      </c>
    </row>
    <row r="76" spans="1:20">
      <c r="A76" s="37">
        <v>75</v>
      </c>
      <c r="B76" s="37">
        <v>1</v>
      </c>
      <c r="C76" s="37">
        <v>3</v>
      </c>
      <c r="D76" s="37" t="s">
        <v>1382</v>
      </c>
      <c r="E76" s="37" t="s">
        <v>1383</v>
      </c>
      <c r="F76" s="37" t="s">
        <v>1235</v>
      </c>
      <c r="G76" s="37" t="str">
        <f>_xlfn.XLOOKUP(F76,notes!$B$12:$B$18,notes!$C$12:$C$18,"Unknown")</f>
        <v>Male</v>
      </c>
      <c r="H76" s="38">
        <v>32</v>
      </c>
      <c r="I76" s="39" t="str">
        <f>_xlfn.XLOOKUP(H76,notes!$B$4:$B$8,notes!$C$4:$C$8,"Invalid",-1)</f>
        <v>Adult</v>
      </c>
      <c r="J76" s="37">
        <v>0</v>
      </c>
      <c r="K76" s="37">
        <v>0</v>
      </c>
      <c r="L76" s="37">
        <f t="shared" si="6"/>
        <v>1</v>
      </c>
      <c r="M76" s="40" t="str">
        <f t="shared" si="4"/>
        <v>Survived</v>
      </c>
      <c r="N76" s="37" t="str">
        <f>_xlfn.XLOOKUP(L76,notes!$B$28:$B$30,notes!$C$28:$C$30,"Unknown",-1)</f>
        <v>Alone</v>
      </c>
      <c r="O76" s="37">
        <v>1601</v>
      </c>
      <c r="P76" s="37">
        <v>56.4958</v>
      </c>
      <c r="Q76" s="37" t="str">
        <f t="shared" si="7"/>
        <v>High</v>
      </c>
      <c r="R76" s="37" t="s">
        <v>1236</v>
      </c>
      <c r="S76" s="37" t="s">
        <v>15</v>
      </c>
      <c r="T76" s="41" t="str">
        <f t="shared" si="5"/>
        <v>Southampton</v>
      </c>
    </row>
    <row r="77" spans="1:20">
      <c r="A77" s="37">
        <v>76</v>
      </c>
      <c r="B77" s="37">
        <v>0</v>
      </c>
      <c r="C77" s="37">
        <v>3</v>
      </c>
      <c r="D77" s="37" t="s">
        <v>1384</v>
      </c>
      <c r="E77" s="37" t="s">
        <v>1385</v>
      </c>
      <c r="F77" s="37" t="s">
        <v>1235</v>
      </c>
      <c r="G77" s="37" t="str">
        <f>_xlfn.XLOOKUP(F77,notes!$B$12:$B$18,notes!$C$12:$C$18,"Unknown")</f>
        <v>Male</v>
      </c>
      <c r="H77" s="38">
        <v>25</v>
      </c>
      <c r="I77" s="39" t="str">
        <f>_xlfn.XLOOKUP(H77,notes!$B$4:$B$8,notes!$C$4:$C$8,"Invalid",-1)</f>
        <v>Adult</v>
      </c>
      <c r="J77" s="37">
        <v>0</v>
      </c>
      <c r="K77" s="37">
        <v>0</v>
      </c>
      <c r="L77" s="37">
        <f t="shared" si="6"/>
        <v>1</v>
      </c>
      <c r="M77" s="40" t="str">
        <f t="shared" si="4"/>
        <v>Not Survived</v>
      </c>
      <c r="N77" s="37" t="str">
        <f>_xlfn.XLOOKUP(L77,notes!$B$28:$B$30,notes!$C$28:$C$30,"Unknown",-1)</f>
        <v>Alone</v>
      </c>
      <c r="O77" s="37">
        <v>348123</v>
      </c>
      <c r="P77" s="37">
        <v>7.65</v>
      </c>
      <c r="Q77" s="37" t="str">
        <f t="shared" si="7"/>
        <v>Low</v>
      </c>
      <c r="R77" s="37" t="s">
        <v>131</v>
      </c>
      <c r="S77" s="37" t="s">
        <v>15</v>
      </c>
      <c r="T77" s="41" t="str">
        <f t="shared" si="5"/>
        <v>Southampton</v>
      </c>
    </row>
    <row r="78" spans="1:20">
      <c r="A78" s="37">
        <v>77</v>
      </c>
      <c r="B78" s="37">
        <v>0</v>
      </c>
      <c r="C78" s="37">
        <v>3</v>
      </c>
      <c r="D78" s="37" t="s">
        <v>1386</v>
      </c>
      <c r="E78" s="37" t="s">
        <v>1387</v>
      </c>
      <c r="F78" s="37" t="s">
        <v>1235</v>
      </c>
      <c r="G78" s="37" t="str">
        <f>_xlfn.XLOOKUP(F78,notes!$B$12:$B$18,notes!$C$12:$C$18,"Unknown")</f>
        <v>Male</v>
      </c>
      <c r="H78" s="38" t="s">
        <v>1236</v>
      </c>
      <c r="I78" s="39" t="str">
        <f>_xlfn.XLOOKUP(H78,notes!$B$4:$B$8,notes!$C$4:$C$8,"Invalid",-1)</f>
        <v>Unknown</v>
      </c>
      <c r="J78" s="37">
        <v>0</v>
      </c>
      <c r="K78" s="37">
        <v>0</v>
      </c>
      <c r="L78" s="37">
        <f t="shared" si="6"/>
        <v>1</v>
      </c>
      <c r="M78" s="40" t="str">
        <f t="shared" si="4"/>
        <v>Not Survived</v>
      </c>
      <c r="N78" s="37" t="str">
        <f>_xlfn.XLOOKUP(L78,notes!$B$28:$B$30,notes!$C$28:$C$30,"Unknown",-1)</f>
        <v>Alone</v>
      </c>
      <c r="O78" s="37">
        <v>349208</v>
      </c>
      <c r="P78" s="37">
        <v>7.8958</v>
      </c>
      <c r="Q78" s="37" t="str">
        <f t="shared" si="7"/>
        <v>Low</v>
      </c>
      <c r="R78" s="37" t="s">
        <v>1236</v>
      </c>
      <c r="S78" s="37" t="s">
        <v>15</v>
      </c>
      <c r="T78" s="41" t="str">
        <f t="shared" si="5"/>
        <v>Southampton</v>
      </c>
    </row>
    <row r="79" spans="1:20">
      <c r="A79" s="37">
        <v>78</v>
      </c>
      <c r="B79" s="37">
        <v>0</v>
      </c>
      <c r="C79" s="37">
        <v>3</v>
      </c>
      <c r="D79" s="37" t="s">
        <v>1388</v>
      </c>
      <c r="E79" s="37" t="s">
        <v>1389</v>
      </c>
      <c r="F79" s="37" t="s">
        <v>1235</v>
      </c>
      <c r="G79" s="37" t="str">
        <f>_xlfn.XLOOKUP(F79,notes!$B$12:$B$18,notes!$C$12:$C$18,"Unknown")</f>
        <v>Male</v>
      </c>
      <c r="H79" s="38" t="s">
        <v>1236</v>
      </c>
      <c r="I79" s="39" t="str">
        <f>_xlfn.XLOOKUP(H79,notes!$B$4:$B$8,notes!$C$4:$C$8,"Invalid",-1)</f>
        <v>Unknown</v>
      </c>
      <c r="J79" s="37">
        <v>0</v>
      </c>
      <c r="K79" s="37">
        <v>0</v>
      </c>
      <c r="L79" s="37">
        <f t="shared" si="6"/>
        <v>1</v>
      </c>
      <c r="M79" s="40" t="str">
        <f t="shared" si="4"/>
        <v>Not Survived</v>
      </c>
      <c r="N79" s="37" t="str">
        <f>_xlfn.XLOOKUP(L79,notes!$B$28:$B$30,notes!$C$28:$C$30,"Unknown",-1)</f>
        <v>Alone</v>
      </c>
      <c r="O79" s="37">
        <v>374746</v>
      </c>
      <c r="P79" s="37">
        <v>8.05</v>
      </c>
      <c r="Q79" s="37" t="str">
        <f t="shared" si="7"/>
        <v>Low</v>
      </c>
      <c r="R79" s="37" t="s">
        <v>1236</v>
      </c>
      <c r="S79" s="37" t="s">
        <v>15</v>
      </c>
      <c r="T79" s="41" t="str">
        <f t="shared" si="5"/>
        <v>Southampton</v>
      </c>
    </row>
    <row r="80" spans="1:20">
      <c r="A80" s="37">
        <v>79</v>
      </c>
      <c r="B80" s="37">
        <v>1</v>
      </c>
      <c r="C80" s="37">
        <v>2</v>
      </c>
      <c r="D80" s="37" t="s">
        <v>1390</v>
      </c>
      <c r="E80" s="37" t="s">
        <v>1391</v>
      </c>
      <c r="F80" s="37" t="s">
        <v>1253</v>
      </c>
      <c r="G80" s="37" t="str">
        <f>_xlfn.XLOOKUP(F80,notes!$B$12:$B$18,notes!$C$12:$C$18,"Unknown")</f>
        <v>Male</v>
      </c>
      <c r="H80" s="38">
        <v>0.83</v>
      </c>
      <c r="I80" s="39" t="str">
        <f>_xlfn.XLOOKUP(H80,notes!$B$4:$B$8,notes!$C$4:$C$8,"Invalid",-1)</f>
        <v>Kid</v>
      </c>
      <c r="J80" s="37">
        <v>0</v>
      </c>
      <c r="K80" s="37">
        <v>2</v>
      </c>
      <c r="L80" s="37">
        <f t="shared" si="6"/>
        <v>3</v>
      </c>
      <c r="M80" s="40" t="str">
        <f t="shared" si="4"/>
        <v>Survived</v>
      </c>
      <c r="N80" s="37" t="str">
        <f>_xlfn.XLOOKUP(L80,notes!$B$28:$B$30,notes!$C$28:$C$30,"Unknown",-1)</f>
        <v>Small Family</v>
      </c>
      <c r="O80" s="37">
        <v>248738</v>
      </c>
      <c r="P80" s="37">
        <v>29</v>
      </c>
      <c r="Q80" s="37" t="str">
        <f t="shared" si="7"/>
        <v>Mid</v>
      </c>
      <c r="R80" s="37" t="s">
        <v>1236</v>
      </c>
      <c r="S80" s="37" t="s">
        <v>15</v>
      </c>
      <c r="T80" s="41" t="str">
        <f t="shared" si="5"/>
        <v>Southampton</v>
      </c>
    </row>
    <row r="81" spans="1:20">
      <c r="A81" s="37">
        <v>80</v>
      </c>
      <c r="B81" s="37">
        <v>1</v>
      </c>
      <c r="C81" s="37">
        <v>3</v>
      </c>
      <c r="D81" s="37" t="s">
        <v>1392</v>
      </c>
      <c r="E81" s="37" t="s">
        <v>1261</v>
      </c>
      <c r="F81" s="37" t="s">
        <v>1242</v>
      </c>
      <c r="G81" s="37" t="str">
        <f>_xlfn.XLOOKUP(F81,notes!$B$12:$B$18,notes!$C$12:$C$18,"Unknown")</f>
        <v>Female</v>
      </c>
      <c r="H81" s="38">
        <v>30</v>
      </c>
      <c r="I81" s="39" t="str">
        <f>_xlfn.XLOOKUP(H81,notes!$B$4:$B$8,notes!$C$4:$C$8,"Invalid",-1)</f>
        <v>Adult</v>
      </c>
      <c r="J81" s="37">
        <v>0</v>
      </c>
      <c r="K81" s="37">
        <v>0</v>
      </c>
      <c r="L81" s="37">
        <f t="shared" si="6"/>
        <v>1</v>
      </c>
      <c r="M81" s="40" t="str">
        <f t="shared" si="4"/>
        <v>Survived</v>
      </c>
      <c r="N81" s="37" t="str">
        <f>_xlfn.XLOOKUP(L81,notes!$B$28:$B$30,notes!$C$28:$C$30,"Unknown",-1)</f>
        <v>Alone</v>
      </c>
      <c r="O81" s="37">
        <v>364516</v>
      </c>
      <c r="P81" s="37">
        <v>12.475</v>
      </c>
      <c r="Q81" s="37" t="str">
        <f t="shared" si="7"/>
        <v>Mid</v>
      </c>
      <c r="R81" s="37" t="s">
        <v>1236</v>
      </c>
      <c r="S81" s="37" t="s">
        <v>15</v>
      </c>
      <c r="T81" s="41" t="str">
        <f t="shared" si="5"/>
        <v>Southampton</v>
      </c>
    </row>
    <row r="82" spans="1:20">
      <c r="A82" s="37">
        <v>81</v>
      </c>
      <c r="B82" s="37">
        <v>0</v>
      </c>
      <c r="C82" s="37">
        <v>3</v>
      </c>
      <c r="D82" s="37" t="s">
        <v>1393</v>
      </c>
      <c r="E82" s="37" t="s">
        <v>1394</v>
      </c>
      <c r="F82" s="37" t="s">
        <v>1235</v>
      </c>
      <c r="G82" s="37" t="str">
        <f>_xlfn.XLOOKUP(F82,notes!$B$12:$B$18,notes!$C$12:$C$18,"Unknown")</f>
        <v>Male</v>
      </c>
      <c r="H82" s="38">
        <v>22</v>
      </c>
      <c r="I82" s="39" t="str">
        <f>_xlfn.XLOOKUP(H82,notes!$B$4:$B$8,notes!$C$4:$C$8,"Invalid",-1)</f>
        <v>Adult</v>
      </c>
      <c r="J82" s="37">
        <v>0</v>
      </c>
      <c r="K82" s="37">
        <v>0</v>
      </c>
      <c r="L82" s="37">
        <f t="shared" si="6"/>
        <v>1</v>
      </c>
      <c r="M82" s="40" t="str">
        <f t="shared" si="4"/>
        <v>Not Survived</v>
      </c>
      <c r="N82" s="37" t="str">
        <f>_xlfn.XLOOKUP(L82,notes!$B$28:$B$30,notes!$C$28:$C$30,"Unknown",-1)</f>
        <v>Alone</v>
      </c>
      <c r="O82" s="37">
        <v>345767</v>
      </c>
      <c r="P82" s="37">
        <v>9</v>
      </c>
      <c r="Q82" s="37" t="str">
        <f t="shared" si="7"/>
        <v>Low</v>
      </c>
      <c r="R82" s="37" t="s">
        <v>1236</v>
      </c>
      <c r="S82" s="37" t="s">
        <v>15</v>
      </c>
      <c r="T82" s="41" t="str">
        <f t="shared" si="5"/>
        <v>Southampton</v>
      </c>
    </row>
    <row r="83" spans="1:20">
      <c r="A83" s="37">
        <v>82</v>
      </c>
      <c r="B83" s="37">
        <v>1</v>
      </c>
      <c r="C83" s="37">
        <v>3</v>
      </c>
      <c r="D83" s="37" t="s">
        <v>1395</v>
      </c>
      <c r="E83" s="37" t="s">
        <v>1396</v>
      </c>
      <c r="F83" s="37" t="s">
        <v>1235</v>
      </c>
      <c r="G83" s="37" t="str">
        <f>_xlfn.XLOOKUP(F83,notes!$B$12:$B$18,notes!$C$12:$C$18,"Unknown")</f>
        <v>Male</v>
      </c>
      <c r="H83" s="38">
        <v>29</v>
      </c>
      <c r="I83" s="39" t="str">
        <f>_xlfn.XLOOKUP(H83,notes!$B$4:$B$8,notes!$C$4:$C$8,"Invalid",-1)</f>
        <v>Adult</v>
      </c>
      <c r="J83" s="37">
        <v>0</v>
      </c>
      <c r="K83" s="37">
        <v>0</v>
      </c>
      <c r="L83" s="37">
        <f t="shared" si="6"/>
        <v>1</v>
      </c>
      <c r="M83" s="40" t="str">
        <f t="shared" si="4"/>
        <v>Survived</v>
      </c>
      <c r="N83" s="37" t="str">
        <f>_xlfn.XLOOKUP(L83,notes!$B$28:$B$30,notes!$C$28:$C$30,"Unknown",-1)</f>
        <v>Alone</v>
      </c>
      <c r="O83" s="37">
        <v>345779</v>
      </c>
      <c r="P83" s="37">
        <v>9.5</v>
      </c>
      <c r="Q83" s="37" t="str">
        <f t="shared" si="7"/>
        <v>Low</v>
      </c>
      <c r="R83" s="37" t="s">
        <v>1236</v>
      </c>
      <c r="S83" s="37" t="s">
        <v>15</v>
      </c>
      <c r="T83" s="41" t="str">
        <f t="shared" si="5"/>
        <v>Southampton</v>
      </c>
    </row>
    <row r="84" spans="1:20">
      <c r="A84" s="37">
        <v>83</v>
      </c>
      <c r="B84" s="37">
        <v>1</v>
      </c>
      <c r="C84" s="37">
        <v>3</v>
      </c>
      <c r="D84" s="37" t="s">
        <v>1397</v>
      </c>
      <c r="E84" s="37" t="s">
        <v>1398</v>
      </c>
      <c r="F84" s="37" t="s">
        <v>1242</v>
      </c>
      <c r="G84" s="37" t="str">
        <f>_xlfn.XLOOKUP(F84,notes!$B$12:$B$18,notes!$C$12:$C$18,"Unknown")</f>
        <v>Female</v>
      </c>
      <c r="H84" s="38" t="s">
        <v>1236</v>
      </c>
      <c r="I84" s="39" t="str">
        <f>_xlfn.XLOOKUP(H84,notes!$B$4:$B$8,notes!$C$4:$C$8,"Invalid",-1)</f>
        <v>Unknown</v>
      </c>
      <c r="J84" s="37">
        <v>0</v>
      </c>
      <c r="K84" s="37">
        <v>0</v>
      </c>
      <c r="L84" s="37">
        <f t="shared" si="6"/>
        <v>1</v>
      </c>
      <c r="M84" s="40" t="str">
        <f t="shared" si="4"/>
        <v>Survived</v>
      </c>
      <c r="N84" s="37" t="str">
        <f>_xlfn.XLOOKUP(L84,notes!$B$28:$B$30,notes!$C$28:$C$30,"Unknown",-1)</f>
        <v>Alone</v>
      </c>
      <c r="O84" s="37">
        <v>330932</v>
      </c>
      <c r="P84" s="37">
        <v>7.7875</v>
      </c>
      <c r="Q84" s="37" t="str">
        <f t="shared" si="7"/>
        <v>Low</v>
      </c>
      <c r="R84" s="37" t="s">
        <v>1236</v>
      </c>
      <c r="S84" s="37" t="s">
        <v>28</v>
      </c>
      <c r="T84" s="41" t="str">
        <f t="shared" si="5"/>
        <v>Queenstown</v>
      </c>
    </row>
    <row r="85" spans="1:20">
      <c r="A85" s="37">
        <v>84</v>
      </c>
      <c r="B85" s="37">
        <v>0</v>
      </c>
      <c r="C85" s="37">
        <v>1</v>
      </c>
      <c r="D85" s="37" t="s">
        <v>1399</v>
      </c>
      <c r="E85" s="37" t="s">
        <v>1400</v>
      </c>
      <c r="F85" s="37" t="s">
        <v>1235</v>
      </c>
      <c r="G85" s="37" t="str">
        <f>_xlfn.XLOOKUP(F85,notes!$B$12:$B$18,notes!$C$12:$C$18,"Unknown")</f>
        <v>Male</v>
      </c>
      <c r="H85" s="38">
        <v>28</v>
      </c>
      <c r="I85" s="39" t="str">
        <f>_xlfn.XLOOKUP(H85,notes!$B$4:$B$8,notes!$C$4:$C$8,"Invalid",-1)</f>
        <v>Adult</v>
      </c>
      <c r="J85" s="37">
        <v>0</v>
      </c>
      <c r="K85" s="37">
        <v>0</v>
      </c>
      <c r="L85" s="37">
        <f t="shared" si="6"/>
        <v>1</v>
      </c>
      <c r="M85" s="40" t="str">
        <f t="shared" si="4"/>
        <v>Not Survived</v>
      </c>
      <c r="N85" s="37" t="str">
        <f>_xlfn.XLOOKUP(L85,notes!$B$28:$B$30,notes!$C$28:$C$30,"Unknown",-1)</f>
        <v>Alone</v>
      </c>
      <c r="O85" s="37">
        <v>113059</v>
      </c>
      <c r="P85" s="37">
        <v>47.1</v>
      </c>
      <c r="Q85" s="37" t="str">
        <f t="shared" si="7"/>
        <v>Mid</v>
      </c>
      <c r="R85" s="37" t="s">
        <v>1236</v>
      </c>
      <c r="S85" s="37" t="s">
        <v>15</v>
      </c>
      <c r="T85" s="41" t="str">
        <f t="shared" si="5"/>
        <v>Southampton</v>
      </c>
    </row>
    <row r="86" spans="1:20">
      <c r="A86" s="37">
        <v>85</v>
      </c>
      <c r="B86" s="37">
        <v>1</v>
      </c>
      <c r="C86" s="37">
        <v>2</v>
      </c>
      <c r="D86" s="37" t="s">
        <v>1401</v>
      </c>
      <c r="E86" s="37" t="s">
        <v>1402</v>
      </c>
      <c r="F86" s="37" t="s">
        <v>1242</v>
      </c>
      <c r="G86" s="37" t="str">
        <f>_xlfn.XLOOKUP(F86,notes!$B$12:$B$18,notes!$C$12:$C$18,"Unknown")</f>
        <v>Female</v>
      </c>
      <c r="H86" s="38">
        <v>17</v>
      </c>
      <c r="I86" s="39" t="str">
        <f>_xlfn.XLOOKUP(H86,notes!$B$4:$B$8,notes!$C$4:$C$8,"Invalid",-1)</f>
        <v>Teenager</v>
      </c>
      <c r="J86" s="37">
        <v>0</v>
      </c>
      <c r="K86" s="37">
        <v>0</v>
      </c>
      <c r="L86" s="37">
        <f t="shared" si="6"/>
        <v>1</v>
      </c>
      <c r="M86" s="40" t="str">
        <f t="shared" si="4"/>
        <v>Survived</v>
      </c>
      <c r="N86" s="37" t="str">
        <f>_xlfn.XLOOKUP(L86,notes!$B$28:$B$30,notes!$C$28:$C$30,"Unknown",-1)</f>
        <v>Alone</v>
      </c>
      <c r="O86" s="37" t="s">
        <v>141</v>
      </c>
      <c r="P86" s="37">
        <v>10.5</v>
      </c>
      <c r="Q86" s="37" t="str">
        <f t="shared" si="7"/>
        <v>Mid</v>
      </c>
      <c r="R86" s="37" t="s">
        <v>1236</v>
      </c>
      <c r="S86" s="37" t="s">
        <v>15</v>
      </c>
      <c r="T86" s="41" t="str">
        <f t="shared" si="5"/>
        <v>Southampton</v>
      </c>
    </row>
    <row r="87" spans="1:20">
      <c r="A87" s="37">
        <v>86</v>
      </c>
      <c r="B87" s="37">
        <v>1</v>
      </c>
      <c r="C87" s="37">
        <v>3</v>
      </c>
      <c r="D87" s="37" t="s">
        <v>1403</v>
      </c>
      <c r="E87" s="37" t="s">
        <v>1404</v>
      </c>
      <c r="F87" s="37" t="s">
        <v>1239</v>
      </c>
      <c r="G87" s="37" t="str">
        <f>_xlfn.XLOOKUP(F87,notes!$B$12:$B$18,notes!$C$12:$C$18,"Unknown")</f>
        <v>Female</v>
      </c>
      <c r="H87" s="38">
        <v>33</v>
      </c>
      <c r="I87" s="39" t="str">
        <f>_xlfn.XLOOKUP(H87,notes!$B$4:$B$8,notes!$C$4:$C$8,"Invalid",-1)</f>
        <v>Adult</v>
      </c>
      <c r="J87" s="37">
        <v>3</v>
      </c>
      <c r="K87" s="37">
        <v>0</v>
      </c>
      <c r="L87" s="37">
        <f t="shared" si="6"/>
        <v>4</v>
      </c>
      <c r="M87" s="40" t="str">
        <f t="shared" si="4"/>
        <v>Survived</v>
      </c>
      <c r="N87" s="37" t="str">
        <f>_xlfn.XLOOKUP(L87,notes!$B$28:$B$30,notes!$C$28:$C$30,"Unknown",-1)</f>
        <v>Large Family</v>
      </c>
      <c r="O87" s="37">
        <v>3101278</v>
      </c>
      <c r="P87" s="37">
        <v>15.85</v>
      </c>
      <c r="Q87" s="37" t="str">
        <f t="shared" si="7"/>
        <v>Mid</v>
      </c>
      <c r="R87" s="37" t="s">
        <v>1236</v>
      </c>
      <c r="S87" s="37" t="s">
        <v>15</v>
      </c>
      <c r="T87" s="41" t="str">
        <f t="shared" si="5"/>
        <v>Southampton</v>
      </c>
    </row>
    <row r="88" spans="1:20">
      <c r="A88" s="37">
        <v>87</v>
      </c>
      <c r="B88" s="37">
        <v>0</v>
      </c>
      <c r="C88" s="37">
        <v>3</v>
      </c>
      <c r="D88" s="37" t="s">
        <v>1405</v>
      </c>
      <c r="E88" s="37" t="s">
        <v>1406</v>
      </c>
      <c r="F88" s="37" t="s">
        <v>1235</v>
      </c>
      <c r="G88" s="37" t="str">
        <f>_xlfn.XLOOKUP(F88,notes!$B$12:$B$18,notes!$C$12:$C$18,"Unknown")</f>
        <v>Male</v>
      </c>
      <c r="H88" s="38">
        <v>16</v>
      </c>
      <c r="I88" s="39" t="str">
        <f>_xlfn.XLOOKUP(H88,notes!$B$4:$B$8,notes!$C$4:$C$8,"Invalid",-1)</f>
        <v>Teenager</v>
      </c>
      <c r="J88" s="37">
        <v>1</v>
      </c>
      <c r="K88" s="37">
        <v>3</v>
      </c>
      <c r="L88" s="37">
        <f t="shared" si="6"/>
        <v>5</v>
      </c>
      <c r="M88" s="40" t="str">
        <f t="shared" si="4"/>
        <v>Not Survived</v>
      </c>
      <c r="N88" s="37" t="str">
        <f>_xlfn.XLOOKUP(L88,notes!$B$28:$B$30,notes!$C$28:$C$30,"Unknown",-1)</f>
        <v>Large Family</v>
      </c>
      <c r="O88" s="37" t="s">
        <v>144</v>
      </c>
      <c r="P88" s="37">
        <v>34.375</v>
      </c>
      <c r="Q88" s="37" t="str">
        <f t="shared" si="7"/>
        <v>Mid</v>
      </c>
      <c r="R88" s="37" t="s">
        <v>1236</v>
      </c>
      <c r="S88" s="37" t="s">
        <v>15</v>
      </c>
      <c r="T88" s="41" t="str">
        <f t="shared" si="5"/>
        <v>Southampton</v>
      </c>
    </row>
    <row r="89" spans="1:20">
      <c r="A89" s="37">
        <v>88</v>
      </c>
      <c r="B89" s="37">
        <v>0</v>
      </c>
      <c r="C89" s="37">
        <v>3</v>
      </c>
      <c r="D89" s="37" t="s">
        <v>1407</v>
      </c>
      <c r="E89" s="37" t="s">
        <v>1408</v>
      </c>
      <c r="F89" s="37" t="s">
        <v>1235</v>
      </c>
      <c r="G89" s="37" t="str">
        <f>_xlfn.XLOOKUP(F89,notes!$B$12:$B$18,notes!$C$12:$C$18,"Unknown")</f>
        <v>Male</v>
      </c>
      <c r="H89" s="38" t="s">
        <v>1236</v>
      </c>
      <c r="I89" s="39" t="str">
        <f>_xlfn.XLOOKUP(H89,notes!$B$4:$B$8,notes!$C$4:$C$8,"Invalid",-1)</f>
        <v>Unknown</v>
      </c>
      <c r="J89" s="37">
        <v>0</v>
      </c>
      <c r="K89" s="37">
        <v>0</v>
      </c>
      <c r="L89" s="37">
        <f t="shared" si="6"/>
        <v>1</v>
      </c>
      <c r="M89" s="40" t="str">
        <f t="shared" si="4"/>
        <v>Not Survived</v>
      </c>
      <c r="N89" s="37" t="str">
        <f>_xlfn.XLOOKUP(L89,notes!$B$28:$B$30,notes!$C$28:$C$30,"Unknown",-1)</f>
        <v>Alone</v>
      </c>
      <c r="O89" s="37" t="s">
        <v>146</v>
      </c>
      <c r="P89" s="37">
        <v>8.05</v>
      </c>
      <c r="Q89" s="37" t="str">
        <f t="shared" si="7"/>
        <v>Low</v>
      </c>
      <c r="R89" s="37" t="s">
        <v>1236</v>
      </c>
      <c r="S89" s="37" t="s">
        <v>15</v>
      </c>
      <c r="T89" s="41" t="str">
        <f t="shared" si="5"/>
        <v>Southampton</v>
      </c>
    </row>
    <row r="90" spans="1:20">
      <c r="A90" s="37">
        <v>89</v>
      </c>
      <c r="B90" s="37">
        <v>1</v>
      </c>
      <c r="C90" s="37">
        <v>1</v>
      </c>
      <c r="D90" s="37" t="s">
        <v>1290</v>
      </c>
      <c r="E90" s="37" t="s">
        <v>1409</v>
      </c>
      <c r="F90" s="37" t="s">
        <v>1242</v>
      </c>
      <c r="G90" s="37" t="str">
        <f>_xlfn.XLOOKUP(F90,notes!$B$12:$B$18,notes!$C$12:$C$18,"Unknown")</f>
        <v>Female</v>
      </c>
      <c r="H90" s="38">
        <v>23</v>
      </c>
      <c r="I90" s="39" t="str">
        <f>_xlfn.XLOOKUP(H90,notes!$B$4:$B$8,notes!$C$4:$C$8,"Invalid",-1)</f>
        <v>Adult</v>
      </c>
      <c r="J90" s="37">
        <v>3</v>
      </c>
      <c r="K90" s="37">
        <v>2</v>
      </c>
      <c r="L90" s="37">
        <f t="shared" si="6"/>
        <v>6</v>
      </c>
      <c r="M90" s="40" t="str">
        <f t="shared" si="4"/>
        <v>Survived</v>
      </c>
      <c r="N90" s="37" t="str">
        <f>_xlfn.XLOOKUP(L90,notes!$B$28:$B$30,notes!$C$28:$C$30,"Unknown",-1)</f>
        <v>Large Family</v>
      </c>
      <c r="O90" s="37">
        <v>19950</v>
      </c>
      <c r="P90" s="37">
        <v>263</v>
      </c>
      <c r="Q90" s="37" t="str">
        <f t="shared" si="7"/>
        <v>High</v>
      </c>
      <c r="R90" s="37" t="s">
        <v>58</v>
      </c>
      <c r="S90" s="37" t="s">
        <v>15</v>
      </c>
      <c r="T90" s="41" t="str">
        <f t="shared" si="5"/>
        <v>Southampton</v>
      </c>
    </row>
    <row r="91" spans="1:20">
      <c r="A91" s="37">
        <v>90</v>
      </c>
      <c r="B91" s="37">
        <v>0</v>
      </c>
      <c r="C91" s="37">
        <v>3</v>
      </c>
      <c r="D91" s="37" t="s">
        <v>1410</v>
      </c>
      <c r="E91" s="37" t="s">
        <v>1411</v>
      </c>
      <c r="F91" s="37" t="s">
        <v>1235</v>
      </c>
      <c r="G91" s="37" t="str">
        <f>_xlfn.XLOOKUP(F91,notes!$B$12:$B$18,notes!$C$12:$C$18,"Unknown")</f>
        <v>Male</v>
      </c>
      <c r="H91" s="38">
        <v>24</v>
      </c>
      <c r="I91" s="39" t="str">
        <f>_xlfn.XLOOKUP(H91,notes!$B$4:$B$8,notes!$C$4:$C$8,"Invalid",-1)</f>
        <v>Adult</v>
      </c>
      <c r="J91" s="37">
        <v>0</v>
      </c>
      <c r="K91" s="37">
        <v>0</v>
      </c>
      <c r="L91" s="37">
        <f t="shared" si="6"/>
        <v>1</v>
      </c>
      <c r="M91" s="40" t="str">
        <f t="shared" si="4"/>
        <v>Not Survived</v>
      </c>
      <c r="N91" s="37" t="str">
        <f>_xlfn.XLOOKUP(L91,notes!$B$28:$B$30,notes!$C$28:$C$30,"Unknown",-1)</f>
        <v>Alone</v>
      </c>
      <c r="O91" s="37">
        <v>343275</v>
      </c>
      <c r="P91" s="37">
        <v>8.05</v>
      </c>
      <c r="Q91" s="37" t="str">
        <f t="shared" si="7"/>
        <v>Low</v>
      </c>
      <c r="R91" s="37" t="s">
        <v>1236</v>
      </c>
      <c r="S91" s="37" t="s">
        <v>15</v>
      </c>
      <c r="T91" s="41" t="str">
        <f t="shared" si="5"/>
        <v>Southampton</v>
      </c>
    </row>
    <row r="92" spans="1:20">
      <c r="A92" s="37">
        <v>91</v>
      </c>
      <c r="B92" s="37">
        <v>0</v>
      </c>
      <c r="C92" s="37">
        <v>3</v>
      </c>
      <c r="D92" s="37" t="s">
        <v>1412</v>
      </c>
      <c r="E92" s="37" t="s">
        <v>1413</v>
      </c>
      <c r="F92" s="37" t="s">
        <v>1235</v>
      </c>
      <c r="G92" s="37" t="str">
        <f>_xlfn.XLOOKUP(F92,notes!$B$12:$B$18,notes!$C$12:$C$18,"Unknown")</f>
        <v>Male</v>
      </c>
      <c r="H92" s="38">
        <v>29</v>
      </c>
      <c r="I92" s="39" t="str">
        <f>_xlfn.XLOOKUP(H92,notes!$B$4:$B$8,notes!$C$4:$C$8,"Invalid",-1)</f>
        <v>Adult</v>
      </c>
      <c r="J92" s="37">
        <v>0</v>
      </c>
      <c r="K92" s="37">
        <v>0</v>
      </c>
      <c r="L92" s="37">
        <f t="shared" si="6"/>
        <v>1</v>
      </c>
      <c r="M92" s="40" t="str">
        <f t="shared" si="4"/>
        <v>Not Survived</v>
      </c>
      <c r="N92" s="37" t="str">
        <f>_xlfn.XLOOKUP(L92,notes!$B$28:$B$30,notes!$C$28:$C$30,"Unknown",-1)</f>
        <v>Alone</v>
      </c>
      <c r="O92" s="37">
        <v>343276</v>
      </c>
      <c r="P92" s="37">
        <v>8.05</v>
      </c>
      <c r="Q92" s="37" t="str">
        <f t="shared" si="7"/>
        <v>Low</v>
      </c>
      <c r="R92" s="37" t="s">
        <v>1236</v>
      </c>
      <c r="S92" s="37" t="s">
        <v>15</v>
      </c>
      <c r="T92" s="41" t="str">
        <f t="shared" si="5"/>
        <v>Southampton</v>
      </c>
    </row>
    <row r="93" spans="1:20">
      <c r="A93" s="37">
        <v>92</v>
      </c>
      <c r="B93" s="37">
        <v>0</v>
      </c>
      <c r="C93" s="37">
        <v>3</v>
      </c>
      <c r="D93" s="37" t="s">
        <v>1414</v>
      </c>
      <c r="E93" s="37" t="s">
        <v>1415</v>
      </c>
      <c r="F93" s="37" t="s">
        <v>1235</v>
      </c>
      <c r="G93" s="37" t="str">
        <f>_xlfn.XLOOKUP(F93,notes!$B$12:$B$18,notes!$C$12:$C$18,"Unknown")</f>
        <v>Male</v>
      </c>
      <c r="H93" s="38">
        <v>20</v>
      </c>
      <c r="I93" s="39" t="str">
        <f>_xlfn.XLOOKUP(H93,notes!$B$4:$B$8,notes!$C$4:$C$8,"Invalid",-1)</f>
        <v>Adult</v>
      </c>
      <c r="J93" s="37">
        <v>0</v>
      </c>
      <c r="K93" s="37">
        <v>0</v>
      </c>
      <c r="L93" s="37">
        <f t="shared" si="6"/>
        <v>1</v>
      </c>
      <c r="M93" s="40" t="str">
        <f t="shared" si="4"/>
        <v>Not Survived</v>
      </c>
      <c r="N93" s="37" t="str">
        <f>_xlfn.XLOOKUP(L93,notes!$B$28:$B$30,notes!$C$28:$C$30,"Unknown",-1)</f>
        <v>Alone</v>
      </c>
      <c r="O93" s="37">
        <v>347466</v>
      </c>
      <c r="P93" s="37">
        <v>7.8542</v>
      </c>
      <c r="Q93" s="37" t="str">
        <f t="shared" si="7"/>
        <v>Low</v>
      </c>
      <c r="R93" s="37" t="s">
        <v>1236</v>
      </c>
      <c r="S93" s="37" t="s">
        <v>15</v>
      </c>
      <c r="T93" s="41" t="str">
        <f t="shared" si="5"/>
        <v>Southampton</v>
      </c>
    </row>
    <row r="94" spans="1:20">
      <c r="A94" s="37">
        <v>93</v>
      </c>
      <c r="B94" s="37">
        <v>0</v>
      </c>
      <c r="C94" s="37">
        <v>1</v>
      </c>
      <c r="D94" s="37" t="s">
        <v>1416</v>
      </c>
      <c r="E94" s="37" t="s">
        <v>1417</v>
      </c>
      <c r="F94" s="37" t="s">
        <v>1235</v>
      </c>
      <c r="G94" s="37" t="str">
        <f>_xlfn.XLOOKUP(F94,notes!$B$12:$B$18,notes!$C$12:$C$18,"Unknown")</f>
        <v>Male</v>
      </c>
      <c r="H94" s="38">
        <v>46</v>
      </c>
      <c r="I94" s="39" t="str">
        <f>_xlfn.XLOOKUP(H94,notes!$B$4:$B$8,notes!$C$4:$C$8,"Invalid",-1)</f>
        <v>Adult</v>
      </c>
      <c r="J94" s="37">
        <v>1</v>
      </c>
      <c r="K94" s="37">
        <v>0</v>
      </c>
      <c r="L94" s="37">
        <f t="shared" si="6"/>
        <v>2</v>
      </c>
      <c r="M94" s="40" t="str">
        <f t="shared" si="4"/>
        <v>Not Survived</v>
      </c>
      <c r="N94" s="37" t="str">
        <f>_xlfn.XLOOKUP(L94,notes!$B$28:$B$30,notes!$C$28:$C$30,"Unknown",-1)</f>
        <v>Small Family</v>
      </c>
      <c r="O94" s="37" t="s">
        <v>152</v>
      </c>
      <c r="P94" s="37">
        <v>61.175</v>
      </c>
      <c r="Q94" s="37" t="str">
        <f t="shared" si="7"/>
        <v>High</v>
      </c>
      <c r="R94" s="37" t="s">
        <v>153</v>
      </c>
      <c r="S94" s="37" t="s">
        <v>15</v>
      </c>
      <c r="T94" s="41" t="str">
        <f t="shared" si="5"/>
        <v>Southampton</v>
      </c>
    </row>
    <row r="95" spans="1:20">
      <c r="A95" s="37">
        <v>94</v>
      </c>
      <c r="B95" s="37">
        <v>0</v>
      </c>
      <c r="C95" s="37">
        <v>3</v>
      </c>
      <c r="D95" s="37" t="s">
        <v>1418</v>
      </c>
      <c r="E95" s="37" t="s">
        <v>1419</v>
      </c>
      <c r="F95" s="37" t="s">
        <v>1235</v>
      </c>
      <c r="G95" s="37" t="str">
        <f>_xlfn.XLOOKUP(F95,notes!$B$12:$B$18,notes!$C$12:$C$18,"Unknown")</f>
        <v>Male</v>
      </c>
      <c r="H95" s="38">
        <v>26</v>
      </c>
      <c r="I95" s="39" t="str">
        <f>_xlfn.XLOOKUP(H95,notes!$B$4:$B$8,notes!$C$4:$C$8,"Invalid",-1)</f>
        <v>Adult</v>
      </c>
      <c r="J95" s="37">
        <v>1</v>
      </c>
      <c r="K95" s="37">
        <v>2</v>
      </c>
      <c r="L95" s="37">
        <f t="shared" si="6"/>
        <v>4</v>
      </c>
      <c r="M95" s="40" t="str">
        <f t="shared" si="4"/>
        <v>Not Survived</v>
      </c>
      <c r="N95" s="37" t="str">
        <f>_xlfn.XLOOKUP(L95,notes!$B$28:$B$30,notes!$C$28:$C$30,"Unknown",-1)</f>
        <v>Large Family</v>
      </c>
      <c r="O95" s="37" t="s">
        <v>155</v>
      </c>
      <c r="P95" s="37">
        <v>20.575</v>
      </c>
      <c r="Q95" s="37" t="str">
        <f t="shared" si="7"/>
        <v>Mid</v>
      </c>
      <c r="R95" s="37" t="s">
        <v>1236</v>
      </c>
      <c r="S95" s="37" t="s">
        <v>15</v>
      </c>
      <c r="T95" s="41" t="str">
        <f t="shared" si="5"/>
        <v>Southampton</v>
      </c>
    </row>
    <row r="96" spans="1:20">
      <c r="A96" s="37">
        <v>95</v>
      </c>
      <c r="B96" s="37">
        <v>0</v>
      </c>
      <c r="C96" s="37">
        <v>3</v>
      </c>
      <c r="D96" s="37" t="s">
        <v>1420</v>
      </c>
      <c r="E96" s="37" t="s">
        <v>1421</v>
      </c>
      <c r="F96" s="37" t="s">
        <v>1235</v>
      </c>
      <c r="G96" s="37" t="str">
        <f>_xlfn.XLOOKUP(F96,notes!$B$12:$B$18,notes!$C$12:$C$18,"Unknown")</f>
        <v>Male</v>
      </c>
      <c r="H96" s="38">
        <v>59</v>
      </c>
      <c r="I96" s="39" t="str">
        <f>_xlfn.XLOOKUP(H96,notes!$B$4:$B$8,notes!$C$4:$C$8,"Invalid",-1)</f>
        <v>Adult</v>
      </c>
      <c r="J96" s="37">
        <v>0</v>
      </c>
      <c r="K96" s="37">
        <v>0</v>
      </c>
      <c r="L96" s="37">
        <f t="shared" si="6"/>
        <v>1</v>
      </c>
      <c r="M96" s="40" t="str">
        <f t="shared" si="4"/>
        <v>Not Survived</v>
      </c>
      <c r="N96" s="37" t="str">
        <f>_xlfn.XLOOKUP(L96,notes!$B$28:$B$30,notes!$C$28:$C$30,"Unknown",-1)</f>
        <v>Alone</v>
      </c>
      <c r="O96" s="37">
        <v>364500</v>
      </c>
      <c r="P96" s="37">
        <v>7.25</v>
      </c>
      <c r="Q96" s="37" t="str">
        <f t="shared" si="7"/>
        <v>Low</v>
      </c>
      <c r="R96" s="37" t="s">
        <v>1236</v>
      </c>
      <c r="S96" s="37" t="s">
        <v>15</v>
      </c>
      <c r="T96" s="41" t="str">
        <f t="shared" si="5"/>
        <v>Southampton</v>
      </c>
    </row>
    <row r="97" spans="1:20">
      <c r="A97" s="37">
        <v>96</v>
      </c>
      <c r="B97" s="37">
        <v>0</v>
      </c>
      <c r="C97" s="37">
        <v>3</v>
      </c>
      <c r="D97" s="37" t="s">
        <v>1422</v>
      </c>
      <c r="E97" s="37" t="s">
        <v>1423</v>
      </c>
      <c r="F97" s="37" t="s">
        <v>1235</v>
      </c>
      <c r="G97" s="37" t="str">
        <f>_xlfn.XLOOKUP(F97,notes!$B$12:$B$18,notes!$C$12:$C$18,"Unknown")</f>
        <v>Male</v>
      </c>
      <c r="H97" s="38" t="s">
        <v>1236</v>
      </c>
      <c r="I97" s="39" t="str">
        <f>_xlfn.XLOOKUP(H97,notes!$B$4:$B$8,notes!$C$4:$C$8,"Invalid",-1)</f>
        <v>Unknown</v>
      </c>
      <c r="J97" s="37">
        <v>0</v>
      </c>
      <c r="K97" s="37">
        <v>0</v>
      </c>
      <c r="L97" s="37">
        <f t="shared" si="6"/>
        <v>1</v>
      </c>
      <c r="M97" s="40" t="str">
        <f t="shared" si="4"/>
        <v>Not Survived</v>
      </c>
      <c r="N97" s="37" t="str">
        <f>_xlfn.XLOOKUP(L97,notes!$B$28:$B$30,notes!$C$28:$C$30,"Unknown",-1)</f>
        <v>Alone</v>
      </c>
      <c r="O97" s="37">
        <v>374910</v>
      </c>
      <c r="P97" s="37">
        <v>8.05</v>
      </c>
      <c r="Q97" s="37" t="str">
        <f t="shared" si="7"/>
        <v>Low</v>
      </c>
      <c r="R97" s="37" t="s">
        <v>1236</v>
      </c>
      <c r="S97" s="37" t="s">
        <v>15</v>
      </c>
      <c r="T97" s="41" t="str">
        <f t="shared" si="5"/>
        <v>Southampton</v>
      </c>
    </row>
    <row r="98" spans="1:20">
      <c r="A98" s="37">
        <v>97</v>
      </c>
      <c r="B98" s="37">
        <v>0</v>
      </c>
      <c r="C98" s="37">
        <v>1</v>
      </c>
      <c r="D98" s="37" t="s">
        <v>1424</v>
      </c>
      <c r="E98" s="37" t="s">
        <v>1425</v>
      </c>
      <c r="F98" s="37" t="s">
        <v>1235</v>
      </c>
      <c r="G98" s="37" t="str">
        <f>_xlfn.XLOOKUP(F98,notes!$B$12:$B$18,notes!$C$12:$C$18,"Unknown")</f>
        <v>Male</v>
      </c>
      <c r="H98" s="38">
        <v>71</v>
      </c>
      <c r="I98" s="39" t="str">
        <f>_xlfn.XLOOKUP(H98,notes!$B$4:$B$8,notes!$C$4:$C$8,"Invalid",-1)</f>
        <v>Elderly</v>
      </c>
      <c r="J98" s="37">
        <v>0</v>
      </c>
      <c r="K98" s="37">
        <v>0</v>
      </c>
      <c r="L98" s="37">
        <f t="shared" si="6"/>
        <v>1</v>
      </c>
      <c r="M98" s="40" t="str">
        <f t="shared" si="4"/>
        <v>Not Survived</v>
      </c>
      <c r="N98" s="37" t="str">
        <f>_xlfn.XLOOKUP(L98,notes!$B$28:$B$30,notes!$C$28:$C$30,"Unknown",-1)</f>
        <v>Alone</v>
      </c>
      <c r="O98" s="37" t="s">
        <v>159</v>
      </c>
      <c r="P98" s="37">
        <v>34.6542</v>
      </c>
      <c r="Q98" s="37" t="str">
        <f t="shared" si="7"/>
        <v>Mid</v>
      </c>
      <c r="R98" s="37" t="s">
        <v>160</v>
      </c>
      <c r="S98" s="37" t="s">
        <v>20</v>
      </c>
      <c r="T98" s="41" t="str">
        <f t="shared" si="5"/>
        <v>Cherbourg</v>
      </c>
    </row>
    <row r="99" spans="1:20">
      <c r="A99" s="37">
        <v>98</v>
      </c>
      <c r="B99" s="37">
        <v>1</v>
      </c>
      <c r="C99" s="37">
        <v>1</v>
      </c>
      <c r="D99" s="37" t="s">
        <v>1426</v>
      </c>
      <c r="E99" s="37" t="s">
        <v>1427</v>
      </c>
      <c r="F99" s="37" t="s">
        <v>1235</v>
      </c>
      <c r="G99" s="37" t="str">
        <f>_xlfn.XLOOKUP(F99,notes!$B$12:$B$18,notes!$C$12:$C$18,"Unknown")</f>
        <v>Male</v>
      </c>
      <c r="H99" s="38">
        <v>23</v>
      </c>
      <c r="I99" s="39" t="str">
        <f>_xlfn.XLOOKUP(H99,notes!$B$4:$B$8,notes!$C$4:$C$8,"Invalid",-1)</f>
        <v>Adult</v>
      </c>
      <c r="J99" s="37">
        <v>0</v>
      </c>
      <c r="K99" s="37">
        <v>1</v>
      </c>
      <c r="L99" s="37">
        <f t="shared" si="6"/>
        <v>2</v>
      </c>
      <c r="M99" s="40" t="str">
        <f t="shared" si="4"/>
        <v>Survived</v>
      </c>
      <c r="N99" s="37" t="str">
        <f>_xlfn.XLOOKUP(L99,notes!$B$28:$B$30,notes!$C$28:$C$30,"Unknown",-1)</f>
        <v>Small Family</v>
      </c>
      <c r="O99" s="37" t="s">
        <v>162</v>
      </c>
      <c r="P99" s="37">
        <v>63.3583</v>
      </c>
      <c r="Q99" s="37" t="str">
        <f t="shared" si="7"/>
        <v>High</v>
      </c>
      <c r="R99" s="37" t="s">
        <v>163</v>
      </c>
      <c r="S99" s="37" t="s">
        <v>20</v>
      </c>
      <c r="T99" s="41" t="str">
        <f t="shared" si="5"/>
        <v>Cherbourg</v>
      </c>
    </row>
    <row r="100" spans="1:20">
      <c r="A100" s="37">
        <v>99</v>
      </c>
      <c r="B100" s="37">
        <v>1</v>
      </c>
      <c r="C100" s="37">
        <v>2</v>
      </c>
      <c r="D100" s="37" t="s">
        <v>1428</v>
      </c>
      <c r="E100" s="37" t="s">
        <v>1429</v>
      </c>
      <c r="F100" s="37" t="s">
        <v>1239</v>
      </c>
      <c r="G100" s="37" t="str">
        <f>_xlfn.XLOOKUP(F100,notes!$B$12:$B$18,notes!$C$12:$C$18,"Unknown")</f>
        <v>Female</v>
      </c>
      <c r="H100" s="38">
        <v>34</v>
      </c>
      <c r="I100" s="39" t="str">
        <f>_xlfn.XLOOKUP(H100,notes!$B$4:$B$8,notes!$C$4:$C$8,"Invalid",-1)</f>
        <v>Adult</v>
      </c>
      <c r="J100" s="37">
        <v>0</v>
      </c>
      <c r="K100" s="37">
        <v>1</v>
      </c>
      <c r="L100" s="37">
        <f t="shared" si="6"/>
        <v>2</v>
      </c>
      <c r="M100" s="40" t="str">
        <f t="shared" si="4"/>
        <v>Survived</v>
      </c>
      <c r="N100" s="37" t="str">
        <f>_xlfn.XLOOKUP(L100,notes!$B$28:$B$30,notes!$C$28:$C$30,"Unknown",-1)</f>
        <v>Small Family</v>
      </c>
      <c r="O100" s="37">
        <v>231919</v>
      </c>
      <c r="P100" s="37">
        <v>23</v>
      </c>
      <c r="Q100" s="37" t="str">
        <f t="shared" si="7"/>
        <v>Mid</v>
      </c>
      <c r="R100" s="37" t="s">
        <v>1236</v>
      </c>
      <c r="S100" s="37" t="s">
        <v>15</v>
      </c>
      <c r="T100" s="41" t="str">
        <f t="shared" si="5"/>
        <v>Southampton</v>
      </c>
    </row>
    <row r="101" spans="1:20">
      <c r="A101" s="37">
        <v>100</v>
      </c>
      <c r="B101" s="37">
        <v>0</v>
      </c>
      <c r="C101" s="37">
        <v>2</v>
      </c>
      <c r="D101" s="37" t="s">
        <v>1430</v>
      </c>
      <c r="E101" s="37" t="s">
        <v>1431</v>
      </c>
      <c r="F101" s="37" t="s">
        <v>1235</v>
      </c>
      <c r="G101" s="37" t="str">
        <f>_xlfn.XLOOKUP(F101,notes!$B$12:$B$18,notes!$C$12:$C$18,"Unknown")</f>
        <v>Male</v>
      </c>
      <c r="H101" s="38">
        <v>34</v>
      </c>
      <c r="I101" s="39" t="str">
        <f>_xlfn.XLOOKUP(H101,notes!$B$4:$B$8,notes!$C$4:$C$8,"Invalid",-1)</f>
        <v>Adult</v>
      </c>
      <c r="J101" s="37">
        <v>1</v>
      </c>
      <c r="K101" s="37">
        <v>0</v>
      </c>
      <c r="L101" s="37">
        <f t="shared" si="6"/>
        <v>2</v>
      </c>
      <c r="M101" s="40" t="str">
        <f t="shared" si="4"/>
        <v>Not Survived</v>
      </c>
      <c r="N101" s="37" t="str">
        <f>_xlfn.XLOOKUP(L101,notes!$B$28:$B$30,notes!$C$28:$C$30,"Unknown",-1)</f>
        <v>Small Family</v>
      </c>
      <c r="O101" s="37">
        <v>244367</v>
      </c>
      <c r="P101" s="37">
        <v>26</v>
      </c>
      <c r="Q101" s="37" t="str">
        <f t="shared" si="7"/>
        <v>Mid</v>
      </c>
      <c r="R101" s="37" t="s">
        <v>1236</v>
      </c>
      <c r="S101" s="37" t="s">
        <v>15</v>
      </c>
      <c r="T101" s="41" t="str">
        <f t="shared" si="5"/>
        <v>Southampton</v>
      </c>
    </row>
    <row r="102" spans="1:20">
      <c r="A102" s="37">
        <v>101</v>
      </c>
      <c r="B102" s="37">
        <v>0</v>
      </c>
      <c r="C102" s="37">
        <v>3</v>
      </c>
      <c r="D102" s="37" t="s">
        <v>1432</v>
      </c>
      <c r="E102" s="37" t="s">
        <v>1433</v>
      </c>
      <c r="F102" s="37" t="s">
        <v>1242</v>
      </c>
      <c r="G102" s="37" t="str">
        <f>_xlfn.XLOOKUP(F102,notes!$B$12:$B$18,notes!$C$12:$C$18,"Unknown")</f>
        <v>Female</v>
      </c>
      <c r="H102" s="38">
        <v>28</v>
      </c>
      <c r="I102" s="39" t="str">
        <f>_xlfn.XLOOKUP(H102,notes!$B$4:$B$8,notes!$C$4:$C$8,"Invalid",-1)</f>
        <v>Adult</v>
      </c>
      <c r="J102" s="37">
        <v>0</v>
      </c>
      <c r="K102" s="37">
        <v>0</v>
      </c>
      <c r="L102" s="37">
        <f t="shared" si="6"/>
        <v>1</v>
      </c>
      <c r="M102" s="40" t="str">
        <f t="shared" si="4"/>
        <v>Not Survived</v>
      </c>
      <c r="N102" s="37" t="str">
        <f>_xlfn.XLOOKUP(L102,notes!$B$28:$B$30,notes!$C$28:$C$30,"Unknown",-1)</f>
        <v>Alone</v>
      </c>
      <c r="O102" s="37">
        <v>349245</v>
      </c>
      <c r="P102" s="37">
        <v>7.8958</v>
      </c>
      <c r="Q102" s="37" t="str">
        <f t="shared" si="7"/>
        <v>Low</v>
      </c>
      <c r="R102" s="37" t="s">
        <v>1236</v>
      </c>
      <c r="S102" s="37" t="s">
        <v>15</v>
      </c>
      <c r="T102" s="41" t="str">
        <f t="shared" si="5"/>
        <v>Southampton</v>
      </c>
    </row>
    <row r="103" spans="1:20">
      <c r="A103" s="37">
        <v>102</v>
      </c>
      <c r="B103" s="37">
        <v>0</v>
      </c>
      <c r="C103" s="37">
        <v>3</v>
      </c>
      <c r="D103" s="37" t="s">
        <v>1434</v>
      </c>
      <c r="E103" s="37" t="s">
        <v>1435</v>
      </c>
      <c r="F103" s="37" t="s">
        <v>1235</v>
      </c>
      <c r="G103" s="37" t="str">
        <f>_xlfn.XLOOKUP(F103,notes!$B$12:$B$18,notes!$C$12:$C$18,"Unknown")</f>
        <v>Male</v>
      </c>
      <c r="H103" s="38" t="s">
        <v>1236</v>
      </c>
      <c r="I103" s="39" t="str">
        <f>_xlfn.XLOOKUP(H103,notes!$B$4:$B$8,notes!$C$4:$C$8,"Invalid",-1)</f>
        <v>Unknown</v>
      </c>
      <c r="J103" s="37">
        <v>0</v>
      </c>
      <c r="K103" s="37">
        <v>0</v>
      </c>
      <c r="L103" s="37">
        <f t="shared" si="6"/>
        <v>1</v>
      </c>
      <c r="M103" s="40" t="str">
        <f t="shared" si="4"/>
        <v>Not Survived</v>
      </c>
      <c r="N103" s="37" t="str">
        <f>_xlfn.XLOOKUP(L103,notes!$B$28:$B$30,notes!$C$28:$C$30,"Unknown",-1)</f>
        <v>Alone</v>
      </c>
      <c r="O103" s="37">
        <v>349215</v>
      </c>
      <c r="P103" s="37">
        <v>7.8958</v>
      </c>
      <c r="Q103" s="37" t="str">
        <f t="shared" si="7"/>
        <v>Low</v>
      </c>
      <c r="R103" s="37" t="s">
        <v>1236</v>
      </c>
      <c r="S103" s="37" t="s">
        <v>15</v>
      </c>
      <c r="T103" s="41" t="str">
        <f t="shared" si="5"/>
        <v>Southampton</v>
      </c>
    </row>
    <row r="104" spans="1:20">
      <c r="A104" s="37">
        <v>103</v>
      </c>
      <c r="B104" s="37">
        <v>0</v>
      </c>
      <c r="C104" s="37">
        <v>1</v>
      </c>
      <c r="D104" s="37" t="s">
        <v>1436</v>
      </c>
      <c r="E104" s="37" t="s">
        <v>1437</v>
      </c>
      <c r="F104" s="37" t="s">
        <v>1235</v>
      </c>
      <c r="G104" s="37" t="str">
        <f>_xlfn.XLOOKUP(F104,notes!$B$12:$B$18,notes!$C$12:$C$18,"Unknown")</f>
        <v>Male</v>
      </c>
      <c r="H104" s="38">
        <v>21</v>
      </c>
      <c r="I104" s="39" t="str">
        <f>_xlfn.XLOOKUP(H104,notes!$B$4:$B$8,notes!$C$4:$C$8,"Invalid",-1)</f>
        <v>Adult</v>
      </c>
      <c r="J104" s="37">
        <v>0</v>
      </c>
      <c r="K104" s="37">
        <v>1</v>
      </c>
      <c r="L104" s="37">
        <f t="shared" si="6"/>
        <v>2</v>
      </c>
      <c r="M104" s="40" t="str">
        <f t="shared" si="4"/>
        <v>Not Survived</v>
      </c>
      <c r="N104" s="37" t="str">
        <f>_xlfn.XLOOKUP(L104,notes!$B$28:$B$30,notes!$C$28:$C$30,"Unknown",-1)</f>
        <v>Small Family</v>
      </c>
      <c r="O104" s="37">
        <v>35281</v>
      </c>
      <c r="P104" s="37">
        <v>77.2875</v>
      </c>
      <c r="Q104" s="37" t="str">
        <f t="shared" si="7"/>
        <v>High</v>
      </c>
      <c r="R104" s="37" t="s">
        <v>169</v>
      </c>
      <c r="S104" s="37" t="s">
        <v>15</v>
      </c>
      <c r="T104" s="41" t="str">
        <f t="shared" si="5"/>
        <v>Southampton</v>
      </c>
    </row>
    <row r="105" spans="1:20">
      <c r="A105" s="37">
        <v>104</v>
      </c>
      <c r="B105" s="37">
        <v>0</v>
      </c>
      <c r="C105" s="37">
        <v>3</v>
      </c>
      <c r="D105" s="37" t="s">
        <v>1438</v>
      </c>
      <c r="E105" s="37" t="s">
        <v>1439</v>
      </c>
      <c r="F105" s="37" t="s">
        <v>1235</v>
      </c>
      <c r="G105" s="37" t="str">
        <f>_xlfn.XLOOKUP(F105,notes!$B$12:$B$18,notes!$C$12:$C$18,"Unknown")</f>
        <v>Male</v>
      </c>
      <c r="H105" s="38">
        <v>33</v>
      </c>
      <c r="I105" s="39" t="str">
        <f>_xlfn.XLOOKUP(H105,notes!$B$4:$B$8,notes!$C$4:$C$8,"Invalid",-1)</f>
        <v>Adult</v>
      </c>
      <c r="J105" s="37">
        <v>0</v>
      </c>
      <c r="K105" s="37">
        <v>0</v>
      </c>
      <c r="L105" s="37">
        <f t="shared" si="6"/>
        <v>1</v>
      </c>
      <c r="M105" s="40" t="str">
        <f t="shared" si="4"/>
        <v>Not Survived</v>
      </c>
      <c r="N105" s="37" t="str">
        <f>_xlfn.XLOOKUP(L105,notes!$B$28:$B$30,notes!$C$28:$C$30,"Unknown",-1)</f>
        <v>Alone</v>
      </c>
      <c r="O105" s="37">
        <v>7540</v>
      </c>
      <c r="P105" s="37">
        <v>8.6542</v>
      </c>
      <c r="Q105" s="37" t="str">
        <f t="shared" si="7"/>
        <v>Low</v>
      </c>
      <c r="R105" s="37" t="s">
        <v>1236</v>
      </c>
      <c r="S105" s="37" t="s">
        <v>15</v>
      </c>
      <c r="T105" s="41" t="str">
        <f t="shared" si="5"/>
        <v>Southampton</v>
      </c>
    </row>
    <row r="106" spans="1:20">
      <c r="A106" s="37">
        <v>105</v>
      </c>
      <c r="B106" s="37">
        <v>0</v>
      </c>
      <c r="C106" s="37">
        <v>3</v>
      </c>
      <c r="D106" s="37" t="s">
        <v>1440</v>
      </c>
      <c r="E106" s="37" t="s">
        <v>1441</v>
      </c>
      <c r="F106" s="37" t="s">
        <v>1235</v>
      </c>
      <c r="G106" s="37" t="str">
        <f>_xlfn.XLOOKUP(F106,notes!$B$12:$B$18,notes!$C$12:$C$18,"Unknown")</f>
        <v>Male</v>
      </c>
      <c r="H106" s="38">
        <v>37</v>
      </c>
      <c r="I106" s="39" t="str">
        <f>_xlfn.XLOOKUP(H106,notes!$B$4:$B$8,notes!$C$4:$C$8,"Invalid",-1)</f>
        <v>Adult</v>
      </c>
      <c r="J106" s="37">
        <v>2</v>
      </c>
      <c r="K106" s="37">
        <v>0</v>
      </c>
      <c r="L106" s="37">
        <f t="shared" si="6"/>
        <v>3</v>
      </c>
      <c r="M106" s="40" t="str">
        <f t="shared" si="4"/>
        <v>Not Survived</v>
      </c>
      <c r="N106" s="37" t="str">
        <f>_xlfn.XLOOKUP(L106,notes!$B$28:$B$30,notes!$C$28:$C$30,"Unknown",-1)</f>
        <v>Small Family</v>
      </c>
      <c r="O106" s="37">
        <v>3101276</v>
      </c>
      <c r="P106" s="37">
        <v>7.925</v>
      </c>
      <c r="Q106" s="37" t="str">
        <f t="shared" si="7"/>
        <v>Low</v>
      </c>
      <c r="R106" s="37" t="s">
        <v>1236</v>
      </c>
      <c r="S106" s="37" t="s">
        <v>15</v>
      </c>
      <c r="T106" s="41" t="str">
        <f t="shared" si="5"/>
        <v>Southampton</v>
      </c>
    </row>
    <row r="107" spans="1:20">
      <c r="A107" s="37">
        <v>106</v>
      </c>
      <c r="B107" s="37">
        <v>0</v>
      </c>
      <c r="C107" s="37">
        <v>3</v>
      </c>
      <c r="D107" s="37" t="s">
        <v>1442</v>
      </c>
      <c r="E107" s="37" t="s">
        <v>1443</v>
      </c>
      <c r="F107" s="37" t="s">
        <v>1235</v>
      </c>
      <c r="G107" s="37" t="str">
        <f>_xlfn.XLOOKUP(F107,notes!$B$12:$B$18,notes!$C$12:$C$18,"Unknown")</f>
        <v>Male</v>
      </c>
      <c r="H107" s="38">
        <v>28</v>
      </c>
      <c r="I107" s="39" t="str">
        <f>_xlfn.XLOOKUP(H107,notes!$B$4:$B$8,notes!$C$4:$C$8,"Invalid",-1)</f>
        <v>Adult</v>
      </c>
      <c r="J107" s="37">
        <v>0</v>
      </c>
      <c r="K107" s="37">
        <v>0</v>
      </c>
      <c r="L107" s="37">
        <f t="shared" si="6"/>
        <v>1</v>
      </c>
      <c r="M107" s="40" t="str">
        <f t="shared" si="4"/>
        <v>Not Survived</v>
      </c>
      <c r="N107" s="37" t="str">
        <f>_xlfn.XLOOKUP(L107,notes!$B$28:$B$30,notes!$C$28:$C$30,"Unknown",-1)</f>
        <v>Alone</v>
      </c>
      <c r="O107" s="37">
        <v>349207</v>
      </c>
      <c r="P107" s="37">
        <v>7.8958</v>
      </c>
      <c r="Q107" s="37" t="str">
        <f t="shared" si="7"/>
        <v>Low</v>
      </c>
      <c r="R107" s="37" t="s">
        <v>1236</v>
      </c>
      <c r="S107" s="37" t="s">
        <v>15</v>
      </c>
      <c r="T107" s="41" t="str">
        <f t="shared" si="5"/>
        <v>Southampton</v>
      </c>
    </row>
    <row r="108" spans="1:20">
      <c r="A108" s="37">
        <v>107</v>
      </c>
      <c r="B108" s="37">
        <v>1</v>
      </c>
      <c r="C108" s="37">
        <v>3</v>
      </c>
      <c r="D108" s="37" t="s">
        <v>1444</v>
      </c>
      <c r="E108" s="37" t="s">
        <v>1445</v>
      </c>
      <c r="F108" s="37" t="s">
        <v>1242</v>
      </c>
      <c r="G108" s="37" t="str">
        <f>_xlfn.XLOOKUP(F108,notes!$B$12:$B$18,notes!$C$12:$C$18,"Unknown")</f>
        <v>Female</v>
      </c>
      <c r="H108" s="38">
        <v>21</v>
      </c>
      <c r="I108" s="39" t="str">
        <f>_xlfn.XLOOKUP(H108,notes!$B$4:$B$8,notes!$C$4:$C$8,"Invalid",-1)</f>
        <v>Adult</v>
      </c>
      <c r="J108" s="37">
        <v>0</v>
      </c>
      <c r="K108" s="37">
        <v>0</v>
      </c>
      <c r="L108" s="37">
        <f t="shared" si="6"/>
        <v>1</v>
      </c>
      <c r="M108" s="40" t="str">
        <f t="shared" si="4"/>
        <v>Survived</v>
      </c>
      <c r="N108" s="37" t="str">
        <f>_xlfn.XLOOKUP(L108,notes!$B$28:$B$30,notes!$C$28:$C$30,"Unknown",-1)</f>
        <v>Alone</v>
      </c>
      <c r="O108" s="37">
        <v>343120</v>
      </c>
      <c r="P108" s="37">
        <v>7.65</v>
      </c>
      <c r="Q108" s="37" t="str">
        <f t="shared" si="7"/>
        <v>Low</v>
      </c>
      <c r="R108" s="37" t="s">
        <v>1236</v>
      </c>
      <c r="S108" s="37" t="s">
        <v>15</v>
      </c>
      <c r="T108" s="41" t="str">
        <f t="shared" si="5"/>
        <v>Southampton</v>
      </c>
    </row>
    <row r="109" spans="1:20">
      <c r="A109" s="37">
        <v>108</v>
      </c>
      <c r="B109" s="37">
        <v>1</v>
      </c>
      <c r="C109" s="37">
        <v>3</v>
      </c>
      <c r="D109" s="37" t="s">
        <v>1446</v>
      </c>
      <c r="E109" s="37" t="s">
        <v>1447</v>
      </c>
      <c r="F109" s="37" t="s">
        <v>1235</v>
      </c>
      <c r="G109" s="37" t="str">
        <f>_xlfn.XLOOKUP(F109,notes!$B$12:$B$18,notes!$C$12:$C$18,"Unknown")</f>
        <v>Male</v>
      </c>
      <c r="H109" s="38" t="s">
        <v>1236</v>
      </c>
      <c r="I109" s="39" t="str">
        <f>_xlfn.XLOOKUP(H109,notes!$B$4:$B$8,notes!$C$4:$C$8,"Invalid",-1)</f>
        <v>Unknown</v>
      </c>
      <c r="J109" s="37">
        <v>0</v>
      </c>
      <c r="K109" s="37">
        <v>0</v>
      </c>
      <c r="L109" s="37">
        <f t="shared" si="6"/>
        <v>1</v>
      </c>
      <c r="M109" s="40" t="str">
        <f t="shared" si="4"/>
        <v>Survived</v>
      </c>
      <c r="N109" s="37" t="str">
        <f>_xlfn.XLOOKUP(L109,notes!$B$28:$B$30,notes!$C$28:$C$30,"Unknown",-1)</f>
        <v>Alone</v>
      </c>
      <c r="O109" s="37">
        <v>312991</v>
      </c>
      <c r="P109" s="37">
        <v>7.775</v>
      </c>
      <c r="Q109" s="37" t="str">
        <f t="shared" si="7"/>
        <v>Low</v>
      </c>
      <c r="R109" s="37" t="s">
        <v>1236</v>
      </c>
      <c r="S109" s="37" t="s">
        <v>15</v>
      </c>
      <c r="T109" s="41" t="str">
        <f t="shared" si="5"/>
        <v>Southampton</v>
      </c>
    </row>
    <row r="110" spans="1:20">
      <c r="A110" s="37">
        <v>109</v>
      </c>
      <c r="B110" s="37">
        <v>0</v>
      </c>
      <c r="C110" s="37">
        <v>3</v>
      </c>
      <c r="D110" s="37" t="s">
        <v>1448</v>
      </c>
      <c r="E110" s="37" t="s">
        <v>1449</v>
      </c>
      <c r="F110" s="37" t="s">
        <v>1235</v>
      </c>
      <c r="G110" s="37" t="str">
        <f>_xlfn.XLOOKUP(F110,notes!$B$12:$B$18,notes!$C$12:$C$18,"Unknown")</f>
        <v>Male</v>
      </c>
      <c r="H110" s="38">
        <v>38</v>
      </c>
      <c r="I110" s="39" t="str">
        <f>_xlfn.XLOOKUP(H110,notes!$B$4:$B$8,notes!$C$4:$C$8,"Invalid",-1)</f>
        <v>Adult</v>
      </c>
      <c r="J110" s="37">
        <v>0</v>
      </c>
      <c r="K110" s="37">
        <v>0</v>
      </c>
      <c r="L110" s="37">
        <f t="shared" si="6"/>
        <v>1</v>
      </c>
      <c r="M110" s="40" t="str">
        <f t="shared" si="4"/>
        <v>Not Survived</v>
      </c>
      <c r="N110" s="37" t="str">
        <f>_xlfn.XLOOKUP(L110,notes!$B$28:$B$30,notes!$C$28:$C$30,"Unknown",-1)</f>
        <v>Alone</v>
      </c>
      <c r="O110" s="37">
        <v>349249</v>
      </c>
      <c r="P110" s="37">
        <v>7.8958</v>
      </c>
      <c r="Q110" s="37" t="str">
        <f t="shared" si="7"/>
        <v>Low</v>
      </c>
      <c r="R110" s="37" t="s">
        <v>1236</v>
      </c>
      <c r="S110" s="37" t="s">
        <v>15</v>
      </c>
      <c r="T110" s="41" t="str">
        <f t="shared" si="5"/>
        <v>Southampton</v>
      </c>
    </row>
    <row r="111" spans="1:20">
      <c r="A111" s="37">
        <v>110</v>
      </c>
      <c r="B111" s="37">
        <v>1</v>
      </c>
      <c r="C111" s="37">
        <v>3</v>
      </c>
      <c r="D111" s="37" t="s">
        <v>1247</v>
      </c>
      <c r="E111" s="37" t="s">
        <v>1402</v>
      </c>
      <c r="F111" s="37" t="s">
        <v>1242</v>
      </c>
      <c r="G111" s="37" t="str">
        <f>_xlfn.XLOOKUP(F111,notes!$B$12:$B$18,notes!$C$12:$C$18,"Unknown")</f>
        <v>Female</v>
      </c>
      <c r="H111" s="38" t="s">
        <v>1236</v>
      </c>
      <c r="I111" s="39" t="str">
        <f>_xlfn.XLOOKUP(H111,notes!$B$4:$B$8,notes!$C$4:$C$8,"Invalid",-1)</f>
        <v>Unknown</v>
      </c>
      <c r="J111" s="37">
        <v>1</v>
      </c>
      <c r="K111" s="37">
        <v>0</v>
      </c>
      <c r="L111" s="37">
        <f t="shared" si="6"/>
        <v>2</v>
      </c>
      <c r="M111" s="40" t="str">
        <f t="shared" si="4"/>
        <v>Survived</v>
      </c>
      <c r="N111" s="37" t="str">
        <f>_xlfn.XLOOKUP(L111,notes!$B$28:$B$30,notes!$C$28:$C$30,"Unknown",-1)</f>
        <v>Small Family</v>
      </c>
      <c r="O111" s="37">
        <v>371110</v>
      </c>
      <c r="P111" s="37">
        <v>24.15</v>
      </c>
      <c r="Q111" s="37" t="str">
        <f t="shared" si="7"/>
        <v>Mid</v>
      </c>
      <c r="R111" s="37" t="s">
        <v>1236</v>
      </c>
      <c r="S111" s="37" t="s">
        <v>28</v>
      </c>
      <c r="T111" s="41" t="str">
        <f t="shared" si="5"/>
        <v>Queenstown</v>
      </c>
    </row>
    <row r="112" spans="1:20">
      <c r="A112" s="37">
        <v>111</v>
      </c>
      <c r="B112" s="37">
        <v>0</v>
      </c>
      <c r="C112" s="37">
        <v>1</v>
      </c>
      <c r="D112" s="37" t="s">
        <v>1450</v>
      </c>
      <c r="E112" s="37" t="s">
        <v>1451</v>
      </c>
      <c r="F112" s="37" t="s">
        <v>1235</v>
      </c>
      <c r="G112" s="37" t="str">
        <f>_xlfn.XLOOKUP(F112,notes!$B$12:$B$18,notes!$C$12:$C$18,"Unknown")</f>
        <v>Male</v>
      </c>
      <c r="H112" s="38">
        <v>47</v>
      </c>
      <c r="I112" s="39" t="str">
        <f>_xlfn.XLOOKUP(H112,notes!$B$4:$B$8,notes!$C$4:$C$8,"Invalid",-1)</f>
        <v>Adult</v>
      </c>
      <c r="J112" s="37">
        <v>0</v>
      </c>
      <c r="K112" s="37">
        <v>0</v>
      </c>
      <c r="L112" s="37">
        <f t="shared" si="6"/>
        <v>1</v>
      </c>
      <c r="M112" s="40" t="str">
        <f t="shared" si="4"/>
        <v>Not Survived</v>
      </c>
      <c r="N112" s="37" t="str">
        <f>_xlfn.XLOOKUP(L112,notes!$B$28:$B$30,notes!$C$28:$C$30,"Unknown",-1)</f>
        <v>Alone</v>
      </c>
      <c r="O112" s="37">
        <v>110465</v>
      </c>
      <c r="P112" s="37">
        <v>52</v>
      </c>
      <c r="Q112" s="37" t="str">
        <f t="shared" si="7"/>
        <v>High</v>
      </c>
      <c r="R112" s="37" t="s">
        <v>178</v>
      </c>
      <c r="S112" s="37" t="s">
        <v>15</v>
      </c>
      <c r="T112" s="41" t="str">
        <f t="shared" si="5"/>
        <v>Southampton</v>
      </c>
    </row>
    <row r="113" spans="1:20">
      <c r="A113" s="37">
        <v>112</v>
      </c>
      <c r="B113" s="37">
        <v>0</v>
      </c>
      <c r="C113" s="37">
        <v>3</v>
      </c>
      <c r="D113" s="37" t="s">
        <v>1452</v>
      </c>
      <c r="E113" s="37" t="s">
        <v>1453</v>
      </c>
      <c r="F113" s="37" t="s">
        <v>1242</v>
      </c>
      <c r="G113" s="37" t="str">
        <f>_xlfn.XLOOKUP(F113,notes!$B$12:$B$18,notes!$C$12:$C$18,"Unknown")</f>
        <v>Female</v>
      </c>
      <c r="H113" s="38">
        <v>14.5</v>
      </c>
      <c r="I113" s="39" t="str">
        <f>_xlfn.XLOOKUP(H113,notes!$B$4:$B$8,notes!$C$4:$C$8,"Invalid",-1)</f>
        <v>Teenager</v>
      </c>
      <c r="J113" s="37">
        <v>1</v>
      </c>
      <c r="K113" s="37">
        <v>0</v>
      </c>
      <c r="L113" s="37">
        <f t="shared" si="6"/>
        <v>2</v>
      </c>
      <c r="M113" s="40" t="str">
        <f t="shared" si="4"/>
        <v>Not Survived</v>
      </c>
      <c r="N113" s="37" t="str">
        <f>_xlfn.XLOOKUP(L113,notes!$B$28:$B$30,notes!$C$28:$C$30,"Unknown",-1)</f>
        <v>Small Family</v>
      </c>
      <c r="O113" s="37">
        <v>2665</v>
      </c>
      <c r="P113" s="37">
        <v>14.4542</v>
      </c>
      <c r="Q113" s="37" t="str">
        <f t="shared" si="7"/>
        <v>Mid</v>
      </c>
      <c r="R113" s="37" t="s">
        <v>1236</v>
      </c>
      <c r="S113" s="37" t="s">
        <v>20</v>
      </c>
      <c r="T113" s="41" t="str">
        <f t="shared" si="5"/>
        <v>Cherbourg</v>
      </c>
    </row>
    <row r="114" spans="1:20">
      <c r="A114" s="37">
        <v>113</v>
      </c>
      <c r="B114" s="37">
        <v>0</v>
      </c>
      <c r="C114" s="37">
        <v>3</v>
      </c>
      <c r="D114" s="37" t="s">
        <v>1454</v>
      </c>
      <c r="E114" s="37" t="s">
        <v>1455</v>
      </c>
      <c r="F114" s="37" t="s">
        <v>1235</v>
      </c>
      <c r="G114" s="37" t="str">
        <f>_xlfn.XLOOKUP(F114,notes!$B$12:$B$18,notes!$C$12:$C$18,"Unknown")</f>
        <v>Male</v>
      </c>
      <c r="H114" s="38">
        <v>22</v>
      </c>
      <c r="I114" s="39" t="str">
        <f>_xlfn.XLOOKUP(H114,notes!$B$4:$B$8,notes!$C$4:$C$8,"Invalid",-1)</f>
        <v>Adult</v>
      </c>
      <c r="J114" s="37">
        <v>0</v>
      </c>
      <c r="K114" s="37">
        <v>0</v>
      </c>
      <c r="L114" s="37">
        <f t="shared" si="6"/>
        <v>1</v>
      </c>
      <c r="M114" s="40" t="str">
        <f t="shared" si="4"/>
        <v>Not Survived</v>
      </c>
      <c r="N114" s="37" t="str">
        <f>_xlfn.XLOOKUP(L114,notes!$B$28:$B$30,notes!$C$28:$C$30,"Unknown",-1)</f>
        <v>Alone</v>
      </c>
      <c r="O114" s="37">
        <v>324669</v>
      </c>
      <c r="P114" s="37">
        <v>8.05</v>
      </c>
      <c r="Q114" s="37" t="str">
        <f t="shared" si="7"/>
        <v>Low</v>
      </c>
      <c r="R114" s="37" t="s">
        <v>1236</v>
      </c>
      <c r="S114" s="37" t="s">
        <v>15</v>
      </c>
      <c r="T114" s="41" t="str">
        <f t="shared" si="5"/>
        <v>Southampton</v>
      </c>
    </row>
    <row r="115" spans="1:20">
      <c r="A115" s="37">
        <v>114</v>
      </c>
      <c r="B115" s="37">
        <v>0</v>
      </c>
      <c r="C115" s="37">
        <v>3</v>
      </c>
      <c r="D115" s="37" t="s">
        <v>1456</v>
      </c>
      <c r="E115" s="37" t="s">
        <v>1457</v>
      </c>
      <c r="F115" s="37" t="s">
        <v>1242</v>
      </c>
      <c r="G115" s="37" t="str">
        <f>_xlfn.XLOOKUP(F115,notes!$B$12:$B$18,notes!$C$12:$C$18,"Unknown")</f>
        <v>Female</v>
      </c>
      <c r="H115" s="38">
        <v>20</v>
      </c>
      <c r="I115" s="39" t="str">
        <f>_xlfn.XLOOKUP(H115,notes!$B$4:$B$8,notes!$C$4:$C$8,"Invalid",-1)</f>
        <v>Adult</v>
      </c>
      <c r="J115" s="37">
        <v>1</v>
      </c>
      <c r="K115" s="37">
        <v>0</v>
      </c>
      <c r="L115" s="37">
        <f t="shared" si="6"/>
        <v>2</v>
      </c>
      <c r="M115" s="40" t="str">
        <f t="shared" si="4"/>
        <v>Not Survived</v>
      </c>
      <c r="N115" s="37" t="str">
        <f>_xlfn.XLOOKUP(L115,notes!$B$28:$B$30,notes!$C$28:$C$30,"Unknown",-1)</f>
        <v>Small Family</v>
      </c>
      <c r="O115" s="37">
        <v>4136</v>
      </c>
      <c r="P115" s="37">
        <v>9.825</v>
      </c>
      <c r="Q115" s="37" t="str">
        <f t="shared" si="7"/>
        <v>Low</v>
      </c>
      <c r="R115" s="37" t="s">
        <v>1236</v>
      </c>
      <c r="S115" s="37" t="s">
        <v>15</v>
      </c>
      <c r="T115" s="41" t="str">
        <f t="shared" si="5"/>
        <v>Southampton</v>
      </c>
    </row>
    <row r="116" spans="1:20">
      <c r="A116" s="37">
        <v>115</v>
      </c>
      <c r="B116" s="37">
        <v>0</v>
      </c>
      <c r="C116" s="37">
        <v>3</v>
      </c>
      <c r="D116" s="37" t="s">
        <v>1458</v>
      </c>
      <c r="E116" s="37" t="s">
        <v>1459</v>
      </c>
      <c r="F116" s="37" t="s">
        <v>1242</v>
      </c>
      <c r="G116" s="37" t="str">
        <f>_xlfn.XLOOKUP(F116,notes!$B$12:$B$18,notes!$C$12:$C$18,"Unknown")</f>
        <v>Female</v>
      </c>
      <c r="H116" s="38">
        <v>17</v>
      </c>
      <c r="I116" s="39" t="str">
        <f>_xlfn.XLOOKUP(H116,notes!$B$4:$B$8,notes!$C$4:$C$8,"Invalid",-1)</f>
        <v>Teenager</v>
      </c>
      <c r="J116" s="37">
        <v>0</v>
      </c>
      <c r="K116" s="37">
        <v>0</v>
      </c>
      <c r="L116" s="37">
        <f t="shared" si="6"/>
        <v>1</v>
      </c>
      <c r="M116" s="40" t="str">
        <f t="shared" si="4"/>
        <v>Not Survived</v>
      </c>
      <c r="N116" s="37" t="str">
        <f>_xlfn.XLOOKUP(L116,notes!$B$28:$B$30,notes!$C$28:$C$30,"Unknown",-1)</f>
        <v>Alone</v>
      </c>
      <c r="O116" s="37">
        <v>2627</v>
      </c>
      <c r="P116" s="37">
        <v>14.4583</v>
      </c>
      <c r="Q116" s="37" t="str">
        <f t="shared" si="7"/>
        <v>Mid</v>
      </c>
      <c r="R116" s="37" t="s">
        <v>1236</v>
      </c>
      <c r="S116" s="37" t="s">
        <v>20</v>
      </c>
      <c r="T116" s="41" t="str">
        <f t="shared" si="5"/>
        <v>Cherbourg</v>
      </c>
    </row>
    <row r="117" spans="1:20">
      <c r="A117" s="37">
        <v>116</v>
      </c>
      <c r="B117" s="37">
        <v>0</v>
      </c>
      <c r="C117" s="37">
        <v>3</v>
      </c>
      <c r="D117" s="37" t="s">
        <v>1460</v>
      </c>
      <c r="E117" s="37" t="s">
        <v>1461</v>
      </c>
      <c r="F117" s="37" t="s">
        <v>1235</v>
      </c>
      <c r="G117" s="37" t="str">
        <f>_xlfn.XLOOKUP(F117,notes!$B$12:$B$18,notes!$C$12:$C$18,"Unknown")</f>
        <v>Male</v>
      </c>
      <c r="H117" s="38">
        <v>21</v>
      </c>
      <c r="I117" s="39" t="str">
        <f>_xlfn.XLOOKUP(H117,notes!$B$4:$B$8,notes!$C$4:$C$8,"Invalid",-1)</f>
        <v>Adult</v>
      </c>
      <c r="J117" s="37">
        <v>0</v>
      </c>
      <c r="K117" s="37">
        <v>0</v>
      </c>
      <c r="L117" s="37">
        <f t="shared" si="6"/>
        <v>1</v>
      </c>
      <c r="M117" s="40" t="str">
        <f t="shared" si="4"/>
        <v>Not Survived</v>
      </c>
      <c r="N117" s="37" t="str">
        <f>_xlfn.XLOOKUP(L117,notes!$B$28:$B$30,notes!$C$28:$C$30,"Unknown",-1)</f>
        <v>Alone</v>
      </c>
      <c r="O117" s="37" t="s">
        <v>184</v>
      </c>
      <c r="P117" s="37">
        <v>7.925</v>
      </c>
      <c r="Q117" s="37" t="str">
        <f t="shared" si="7"/>
        <v>Low</v>
      </c>
      <c r="R117" s="37" t="s">
        <v>1236</v>
      </c>
      <c r="S117" s="37" t="s">
        <v>15</v>
      </c>
      <c r="T117" s="41" t="str">
        <f t="shared" si="5"/>
        <v>Southampton</v>
      </c>
    </row>
    <row r="118" spans="1:20">
      <c r="A118" s="37">
        <v>117</v>
      </c>
      <c r="B118" s="37">
        <v>0</v>
      </c>
      <c r="C118" s="37">
        <v>3</v>
      </c>
      <c r="D118" s="37" t="s">
        <v>1462</v>
      </c>
      <c r="E118" s="37" t="s">
        <v>1463</v>
      </c>
      <c r="F118" s="37" t="s">
        <v>1235</v>
      </c>
      <c r="G118" s="37" t="str">
        <f>_xlfn.XLOOKUP(F118,notes!$B$12:$B$18,notes!$C$12:$C$18,"Unknown")</f>
        <v>Male</v>
      </c>
      <c r="H118" s="38">
        <v>70.5</v>
      </c>
      <c r="I118" s="39" t="str">
        <f>_xlfn.XLOOKUP(H118,notes!$B$4:$B$8,notes!$C$4:$C$8,"Invalid",-1)</f>
        <v>Elderly</v>
      </c>
      <c r="J118" s="37">
        <v>0</v>
      </c>
      <c r="K118" s="37">
        <v>0</v>
      </c>
      <c r="L118" s="37">
        <f t="shared" si="6"/>
        <v>1</v>
      </c>
      <c r="M118" s="40" t="str">
        <f t="shared" si="4"/>
        <v>Not Survived</v>
      </c>
      <c r="N118" s="37" t="str">
        <f>_xlfn.XLOOKUP(L118,notes!$B$28:$B$30,notes!$C$28:$C$30,"Unknown",-1)</f>
        <v>Alone</v>
      </c>
      <c r="O118" s="37">
        <v>370369</v>
      </c>
      <c r="P118" s="37">
        <v>7.75</v>
      </c>
      <c r="Q118" s="37" t="str">
        <f t="shared" si="7"/>
        <v>Low</v>
      </c>
      <c r="R118" s="37" t="s">
        <v>1236</v>
      </c>
      <c r="S118" s="37" t="s">
        <v>28</v>
      </c>
      <c r="T118" s="41" t="str">
        <f t="shared" si="5"/>
        <v>Queenstown</v>
      </c>
    </row>
    <row r="119" spans="1:20">
      <c r="A119" s="37">
        <v>118</v>
      </c>
      <c r="B119" s="37">
        <v>0</v>
      </c>
      <c r="C119" s="37">
        <v>2</v>
      </c>
      <c r="D119" s="37" t="s">
        <v>1318</v>
      </c>
      <c r="E119" s="37" t="s">
        <v>1464</v>
      </c>
      <c r="F119" s="37" t="s">
        <v>1235</v>
      </c>
      <c r="G119" s="37" t="str">
        <f>_xlfn.XLOOKUP(F119,notes!$B$12:$B$18,notes!$C$12:$C$18,"Unknown")</f>
        <v>Male</v>
      </c>
      <c r="H119" s="38">
        <v>29</v>
      </c>
      <c r="I119" s="39" t="str">
        <f>_xlfn.XLOOKUP(H119,notes!$B$4:$B$8,notes!$C$4:$C$8,"Invalid",-1)</f>
        <v>Adult</v>
      </c>
      <c r="J119" s="37">
        <v>1</v>
      </c>
      <c r="K119" s="37">
        <v>0</v>
      </c>
      <c r="L119" s="37">
        <f t="shared" si="6"/>
        <v>2</v>
      </c>
      <c r="M119" s="40" t="str">
        <f t="shared" si="4"/>
        <v>Not Survived</v>
      </c>
      <c r="N119" s="37" t="str">
        <f>_xlfn.XLOOKUP(L119,notes!$B$28:$B$30,notes!$C$28:$C$30,"Unknown",-1)</f>
        <v>Small Family</v>
      </c>
      <c r="O119" s="37">
        <v>11668</v>
      </c>
      <c r="P119" s="37">
        <v>21</v>
      </c>
      <c r="Q119" s="37" t="str">
        <f t="shared" si="7"/>
        <v>Mid</v>
      </c>
      <c r="R119" s="37" t="s">
        <v>1236</v>
      </c>
      <c r="S119" s="37" t="s">
        <v>15</v>
      </c>
      <c r="T119" s="41" t="str">
        <f t="shared" si="5"/>
        <v>Southampton</v>
      </c>
    </row>
    <row r="120" spans="1:20">
      <c r="A120" s="37">
        <v>119</v>
      </c>
      <c r="B120" s="37">
        <v>0</v>
      </c>
      <c r="C120" s="37">
        <v>1</v>
      </c>
      <c r="D120" s="37" t="s">
        <v>1465</v>
      </c>
      <c r="E120" s="37" t="s">
        <v>1466</v>
      </c>
      <c r="F120" s="37" t="s">
        <v>1235</v>
      </c>
      <c r="G120" s="37" t="str">
        <f>_xlfn.XLOOKUP(F120,notes!$B$12:$B$18,notes!$C$12:$C$18,"Unknown")</f>
        <v>Male</v>
      </c>
      <c r="H120" s="38">
        <v>24</v>
      </c>
      <c r="I120" s="39" t="str">
        <f>_xlfn.XLOOKUP(H120,notes!$B$4:$B$8,notes!$C$4:$C$8,"Invalid",-1)</f>
        <v>Adult</v>
      </c>
      <c r="J120" s="37">
        <v>0</v>
      </c>
      <c r="K120" s="37">
        <v>1</v>
      </c>
      <c r="L120" s="37">
        <f t="shared" si="6"/>
        <v>2</v>
      </c>
      <c r="M120" s="40" t="str">
        <f t="shared" si="4"/>
        <v>Not Survived</v>
      </c>
      <c r="N120" s="37" t="str">
        <f>_xlfn.XLOOKUP(L120,notes!$B$28:$B$30,notes!$C$28:$C$30,"Unknown",-1)</f>
        <v>Small Family</v>
      </c>
      <c r="O120" s="37" t="s">
        <v>188</v>
      </c>
      <c r="P120" s="37">
        <v>247.5208</v>
      </c>
      <c r="Q120" s="37" t="str">
        <f t="shared" si="7"/>
        <v>High</v>
      </c>
      <c r="R120" s="37" t="s">
        <v>189</v>
      </c>
      <c r="S120" s="37" t="s">
        <v>20</v>
      </c>
      <c r="T120" s="41" t="str">
        <f t="shared" si="5"/>
        <v>Cherbourg</v>
      </c>
    </row>
    <row r="121" spans="1:20">
      <c r="A121" s="37">
        <v>120</v>
      </c>
      <c r="B121" s="37">
        <v>0</v>
      </c>
      <c r="C121" s="37">
        <v>3</v>
      </c>
      <c r="D121" s="37" t="s">
        <v>1263</v>
      </c>
      <c r="E121" s="37" t="s">
        <v>1467</v>
      </c>
      <c r="F121" s="37" t="s">
        <v>1242</v>
      </c>
      <c r="G121" s="37" t="str">
        <f>_xlfn.XLOOKUP(F121,notes!$B$12:$B$18,notes!$C$12:$C$18,"Unknown")</f>
        <v>Female</v>
      </c>
      <c r="H121" s="38">
        <v>2</v>
      </c>
      <c r="I121" s="39" t="str">
        <f>_xlfn.XLOOKUP(H121,notes!$B$4:$B$8,notes!$C$4:$C$8,"Invalid",-1)</f>
        <v>Kid</v>
      </c>
      <c r="J121" s="37">
        <v>4</v>
      </c>
      <c r="K121" s="37">
        <v>2</v>
      </c>
      <c r="L121" s="37">
        <f t="shared" si="6"/>
        <v>7</v>
      </c>
      <c r="M121" s="40" t="str">
        <f t="shared" si="4"/>
        <v>Not Survived</v>
      </c>
      <c r="N121" s="37" t="str">
        <f>_xlfn.XLOOKUP(L121,notes!$B$28:$B$30,notes!$C$28:$C$30,"Unknown",-1)</f>
        <v>Large Family</v>
      </c>
      <c r="O121" s="37">
        <v>347082</v>
      </c>
      <c r="P121" s="37">
        <v>31.275</v>
      </c>
      <c r="Q121" s="37" t="str">
        <f t="shared" si="7"/>
        <v>Mid</v>
      </c>
      <c r="R121" s="37" t="s">
        <v>1236</v>
      </c>
      <c r="S121" s="37" t="s">
        <v>15</v>
      </c>
      <c r="T121" s="41" t="str">
        <f t="shared" si="5"/>
        <v>Southampton</v>
      </c>
    </row>
    <row r="122" spans="1:20">
      <c r="A122" s="37">
        <v>121</v>
      </c>
      <c r="B122" s="37">
        <v>0</v>
      </c>
      <c r="C122" s="37">
        <v>2</v>
      </c>
      <c r="D122" s="37" t="s">
        <v>1468</v>
      </c>
      <c r="E122" s="37" t="s">
        <v>1469</v>
      </c>
      <c r="F122" s="37" t="s">
        <v>1235</v>
      </c>
      <c r="G122" s="37" t="str">
        <f>_xlfn.XLOOKUP(F122,notes!$B$12:$B$18,notes!$C$12:$C$18,"Unknown")</f>
        <v>Male</v>
      </c>
      <c r="H122" s="38">
        <v>21</v>
      </c>
      <c r="I122" s="39" t="str">
        <f>_xlfn.XLOOKUP(H122,notes!$B$4:$B$8,notes!$C$4:$C$8,"Invalid",-1)</f>
        <v>Adult</v>
      </c>
      <c r="J122" s="37">
        <v>2</v>
      </c>
      <c r="K122" s="37">
        <v>0</v>
      </c>
      <c r="L122" s="37">
        <f t="shared" si="6"/>
        <v>3</v>
      </c>
      <c r="M122" s="40" t="str">
        <f t="shared" si="4"/>
        <v>Not Survived</v>
      </c>
      <c r="N122" s="37" t="str">
        <f>_xlfn.XLOOKUP(L122,notes!$B$28:$B$30,notes!$C$28:$C$30,"Unknown",-1)</f>
        <v>Small Family</v>
      </c>
      <c r="O122" s="37" t="s">
        <v>127</v>
      </c>
      <c r="P122" s="37">
        <v>73.5</v>
      </c>
      <c r="Q122" s="37" t="str">
        <f t="shared" si="7"/>
        <v>High</v>
      </c>
      <c r="R122" s="37" t="s">
        <v>1236</v>
      </c>
      <c r="S122" s="37" t="s">
        <v>15</v>
      </c>
      <c r="T122" s="41" t="str">
        <f t="shared" si="5"/>
        <v>Southampton</v>
      </c>
    </row>
    <row r="123" spans="1:20">
      <c r="A123" s="37">
        <v>122</v>
      </c>
      <c r="B123" s="37">
        <v>0</v>
      </c>
      <c r="C123" s="37">
        <v>3</v>
      </c>
      <c r="D123" s="37" t="s">
        <v>1470</v>
      </c>
      <c r="E123" s="37" t="s">
        <v>1471</v>
      </c>
      <c r="F123" s="37" t="s">
        <v>1235</v>
      </c>
      <c r="G123" s="37" t="str">
        <f>_xlfn.XLOOKUP(F123,notes!$B$12:$B$18,notes!$C$12:$C$18,"Unknown")</f>
        <v>Male</v>
      </c>
      <c r="H123" s="38" t="s">
        <v>1236</v>
      </c>
      <c r="I123" s="39" t="str">
        <f>_xlfn.XLOOKUP(H123,notes!$B$4:$B$8,notes!$C$4:$C$8,"Invalid",-1)</f>
        <v>Unknown</v>
      </c>
      <c r="J123" s="37">
        <v>0</v>
      </c>
      <c r="K123" s="37">
        <v>0</v>
      </c>
      <c r="L123" s="37">
        <f t="shared" si="6"/>
        <v>1</v>
      </c>
      <c r="M123" s="40" t="str">
        <f t="shared" si="4"/>
        <v>Not Survived</v>
      </c>
      <c r="N123" s="37" t="str">
        <f>_xlfn.XLOOKUP(L123,notes!$B$28:$B$30,notes!$C$28:$C$30,"Unknown",-1)</f>
        <v>Alone</v>
      </c>
      <c r="O123" s="37" t="s">
        <v>193</v>
      </c>
      <c r="P123" s="37">
        <v>8.05</v>
      </c>
      <c r="Q123" s="37" t="str">
        <f t="shared" si="7"/>
        <v>Low</v>
      </c>
      <c r="R123" s="37" t="s">
        <v>1236</v>
      </c>
      <c r="S123" s="37" t="s">
        <v>15</v>
      </c>
      <c r="T123" s="41" t="str">
        <f t="shared" si="5"/>
        <v>Southampton</v>
      </c>
    </row>
    <row r="124" spans="1:20">
      <c r="A124" s="37">
        <v>123</v>
      </c>
      <c r="B124" s="37">
        <v>0</v>
      </c>
      <c r="C124" s="37">
        <v>2</v>
      </c>
      <c r="D124" s="37" t="s">
        <v>1256</v>
      </c>
      <c r="E124" s="37" t="s">
        <v>1472</v>
      </c>
      <c r="F124" s="37" t="s">
        <v>1235</v>
      </c>
      <c r="G124" s="37" t="str">
        <f>_xlfn.XLOOKUP(F124,notes!$B$12:$B$18,notes!$C$12:$C$18,"Unknown")</f>
        <v>Male</v>
      </c>
      <c r="H124" s="38">
        <v>32.5</v>
      </c>
      <c r="I124" s="39" t="str">
        <f>_xlfn.XLOOKUP(H124,notes!$B$4:$B$8,notes!$C$4:$C$8,"Invalid",-1)</f>
        <v>Adult</v>
      </c>
      <c r="J124" s="37">
        <v>1</v>
      </c>
      <c r="K124" s="37">
        <v>0</v>
      </c>
      <c r="L124" s="37">
        <f t="shared" si="6"/>
        <v>2</v>
      </c>
      <c r="M124" s="40" t="str">
        <f t="shared" si="4"/>
        <v>Not Survived</v>
      </c>
      <c r="N124" s="37" t="str">
        <f>_xlfn.XLOOKUP(L124,notes!$B$28:$B$30,notes!$C$28:$C$30,"Unknown",-1)</f>
        <v>Small Family</v>
      </c>
      <c r="O124" s="37">
        <v>237736</v>
      </c>
      <c r="P124" s="37">
        <v>30.0708</v>
      </c>
      <c r="Q124" s="37" t="str">
        <f t="shared" si="7"/>
        <v>Mid</v>
      </c>
      <c r="R124" s="37" t="s">
        <v>1236</v>
      </c>
      <c r="S124" s="37" t="s">
        <v>20</v>
      </c>
      <c r="T124" s="41" t="str">
        <f t="shared" si="5"/>
        <v>Cherbourg</v>
      </c>
    </row>
    <row r="125" spans="1:20">
      <c r="A125" s="37">
        <v>124</v>
      </c>
      <c r="B125" s="37">
        <v>1</v>
      </c>
      <c r="C125" s="37">
        <v>2</v>
      </c>
      <c r="D125" s="37" t="s">
        <v>1473</v>
      </c>
      <c r="E125" s="37" t="s">
        <v>1474</v>
      </c>
      <c r="F125" s="37" t="s">
        <v>1242</v>
      </c>
      <c r="G125" s="37" t="str">
        <f>_xlfn.XLOOKUP(F125,notes!$B$12:$B$18,notes!$C$12:$C$18,"Unknown")</f>
        <v>Female</v>
      </c>
      <c r="H125" s="38">
        <v>32.5</v>
      </c>
      <c r="I125" s="39" t="str">
        <f>_xlfn.XLOOKUP(H125,notes!$B$4:$B$8,notes!$C$4:$C$8,"Invalid",-1)</f>
        <v>Adult</v>
      </c>
      <c r="J125" s="37">
        <v>0</v>
      </c>
      <c r="K125" s="37">
        <v>0</v>
      </c>
      <c r="L125" s="37">
        <f t="shared" si="6"/>
        <v>1</v>
      </c>
      <c r="M125" s="40" t="str">
        <f t="shared" si="4"/>
        <v>Survived</v>
      </c>
      <c r="N125" s="37" t="str">
        <f>_xlfn.XLOOKUP(L125,notes!$B$28:$B$30,notes!$C$28:$C$30,"Unknown",-1)</f>
        <v>Alone</v>
      </c>
      <c r="O125" s="37">
        <v>27267</v>
      </c>
      <c r="P125" s="37">
        <v>13</v>
      </c>
      <c r="Q125" s="37" t="str">
        <f t="shared" si="7"/>
        <v>Mid</v>
      </c>
      <c r="R125" s="37" t="s">
        <v>196</v>
      </c>
      <c r="S125" s="37" t="s">
        <v>15</v>
      </c>
      <c r="T125" s="41" t="str">
        <f t="shared" si="5"/>
        <v>Southampton</v>
      </c>
    </row>
    <row r="126" spans="1:20">
      <c r="A126" s="37">
        <v>125</v>
      </c>
      <c r="B126" s="37">
        <v>0</v>
      </c>
      <c r="C126" s="37">
        <v>1</v>
      </c>
      <c r="D126" s="37" t="s">
        <v>1436</v>
      </c>
      <c r="E126" s="37" t="s">
        <v>1475</v>
      </c>
      <c r="F126" s="37" t="s">
        <v>1235</v>
      </c>
      <c r="G126" s="37" t="str">
        <f>_xlfn.XLOOKUP(F126,notes!$B$12:$B$18,notes!$C$12:$C$18,"Unknown")</f>
        <v>Male</v>
      </c>
      <c r="H126" s="38">
        <v>54</v>
      </c>
      <c r="I126" s="39" t="str">
        <f>_xlfn.XLOOKUP(H126,notes!$B$4:$B$8,notes!$C$4:$C$8,"Invalid",-1)</f>
        <v>Adult</v>
      </c>
      <c r="J126" s="37">
        <v>0</v>
      </c>
      <c r="K126" s="37">
        <v>1</v>
      </c>
      <c r="L126" s="37">
        <f t="shared" si="6"/>
        <v>2</v>
      </c>
      <c r="M126" s="40" t="str">
        <f t="shared" si="4"/>
        <v>Not Survived</v>
      </c>
      <c r="N126" s="37" t="str">
        <f>_xlfn.XLOOKUP(L126,notes!$B$28:$B$30,notes!$C$28:$C$30,"Unknown",-1)</f>
        <v>Small Family</v>
      </c>
      <c r="O126" s="37">
        <v>35281</v>
      </c>
      <c r="P126" s="37">
        <v>77.2875</v>
      </c>
      <c r="Q126" s="37" t="str">
        <f t="shared" si="7"/>
        <v>High</v>
      </c>
      <c r="R126" s="37" t="s">
        <v>169</v>
      </c>
      <c r="S126" s="37" t="s">
        <v>15</v>
      </c>
      <c r="T126" s="41" t="str">
        <f t="shared" si="5"/>
        <v>Southampton</v>
      </c>
    </row>
    <row r="127" spans="1:20">
      <c r="A127" s="37">
        <v>126</v>
      </c>
      <c r="B127" s="37">
        <v>1</v>
      </c>
      <c r="C127" s="37">
        <v>3</v>
      </c>
      <c r="D127" s="37" t="s">
        <v>1314</v>
      </c>
      <c r="E127" s="37" t="s">
        <v>1476</v>
      </c>
      <c r="F127" s="37" t="s">
        <v>1253</v>
      </c>
      <c r="G127" s="37" t="str">
        <f>_xlfn.XLOOKUP(F127,notes!$B$12:$B$18,notes!$C$12:$C$18,"Unknown")</f>
        <v>Male</v>
      </c>
      <c r="H127" s="38">
        <v>12</v>
      </c>
      <c r="I127" s="39" t="str">
        <f>_xlfn.XLOOKUP(H127,notes!$B$4:$B$8,notes!$C$4:$C$8,"Invalid",-1)</f>
        <v>Kid</v>
      </c>
      <c r="J127" s="37">
        <v>1</v>
      </c>
      <c r="K127" s="37">
        <v>0</v>
      </c>
      <c r="L127" s="37">
        <f t="shared" si="6"/>
        <v>2</v>
      </c>
      <c r="M127" s="40" t="str">
        <f t="shared" si="4"/>
        <v>Survived</v>
      </c>
      <c r="N127" s="37" t="str">
        <f>_xlfn.XLOOKUP(L127,notes!$B$28:$B$30,notes!$C$28:$C$30,"Unknown",-1)</f>
        <v>Small Family</v>
      </c>
      <c r="O127" s="37">
        <v>2651</v>
      </c>
      <c r="P127" s="37">
        <v>11.2417</v>
      </c>
      <c r="Q127" s="37" t="str">
        <f t="shared" si="7"/>
        <v>Mid</v>
      </c>
      <c r="R127" s="37" t="s">
        <v>1236</v>
      </c>
      <c r="S127" s="37" t="s">
        <v>20</v>
      </c>
      <c r="T127" s="41" t="str">
        <f t="shared" si="5"/>
        <v>Cherbourg</v>
      </c>
    </row>
    <row r="128" spans="1:20">
      <c r="A128" s="37">
        <v>127</v>
      </c>
      <c r="B128" s="37">
        <v>0</v>
      </c>
      <c r="C128" s="37">
        <v>3</v>
      </c>
      <c r="D128" s="37" t="s">
        <v>1477</v>
      </c>
      <c r="E128" s="37" t="s">
        <v>1478</v>
      </c>
      <c r="F128" s="37" t="s">
        <v>1235</v>
      </c>
      <c r="G128" s="37" t="str">
        <f>_xlfn.XLOOKUP(F128,notes!$B$12:$B$18,notes!$C$12:$C$18,"Unknown")</f>
        <v>Male</v>
      </c>
      <c r="H128" s="38" t="s">
        <v>1236</v>
      </c>
      <c r="I128" s="39" t="str">
        <f>_xlfn.XLOOKUP(H128,notes!$B$4:$B$8,notes!$C$4:$C$8,"Invalid",-1)</f>
        <v>Unknown</v>
      </c>
      <c r="J128" s="37">
        <v>0</v>
      </c>
      <c r="K128" s="37">
        <v>0</v>
      </c>
      <c r="L128" s="37">
        <f t="shared" si="6"/>
        <v>1</v>
      </c>
      <c r="M128" s="40" t="str">
        <f t="shared" si="4"/>
        <v>Not Survived</v>
      </c>
      <c r="N128" s="37" t="str">
        <f>_xlfn.XLOOKUP(L128,notes!$B$28:$B$30,notes!$C$28:$C$30,"Unknown",-1)</f>
        <v>Alone</v>
      </c>
      <c r="O128" s="37">
        <v>370372</v>
      </c>
      <c r="P128" s="37">
        <v>7.75</v>
      </c>
      <c r="Q128" s="37" t="str">
        <f t="shared" si="7"/>
        <v>Low</v>
      </c>
      <c r="R128" s="37" t="s">
        <v>1236</v>
      </c>
      <c r="S128" s="37" t="s">
        <v>28</v>
      </c>
      <c r="T128" s="41" t="str">
        <f t="shared" si="5"/>
        <v>Queenstown</v>
      </c>
    </row>
    <row r="129" spans="1:20">
      <c r="A129" s="37">
        <v>128</v>
      </c>
      <c r="B129" s="37">
        <v>1</v>
      </c>
      <c r="C129" s="37">
        <v>3</v>
      </c>
      <c r="D129" s="37" t="s">
        <v>1479</v>
      </c>
      <c r="E129" s="37" t="s">
        <v>1480</v>
      </c>
      <c r="F129" s="37" t="s">
        <v>1235</v>
      </c>
      <c r="G129" s="37" t="str">
        <f>_xlfn.XLOOKUP(F129,notes!$B$12:$B$18,notes!$C$12:$C$18,"Unknown")</f>
        <v>Male</v>
      </c>
      <c r="H129" s="38">
        <v>24</v>
      </c>
      <c r="I129" s="39" t="str">
        <f>_xlfn.XLOOKUP(H129,notes!$B$4:$B$8,notes!$C$4:$C$8,"Invalid",-1)</f>
        <v>Adult</v>
      </c>
      <c r="J129" s="37">
        <v>0</v>
      </c>
      <c r="K129" s="37">
        <v>0</v>
      </c>
      <c r="L129" s="37">
        <f t="shared" si="6"/>
        <v>1</v>
      </c>
      <c r="M129" s="40" t="str">
        <f t="shared" si="4"/>
        <v>Survived</v>
      </c>
      <c r="N129" s="37" t="str">
        <f>_xlfn.XLOOKUP(L129,notes!$B$28:$B$30,notes!$C$28:$C$30,"Unknown",-1)</f>
        <v>Alone</v>
      </c>
      <c r="O129" s="37" t="s">
        <v>201</v>
      </c>
      <c r="P129" s="37">
        <v>7.1417</v>
      </c>
      <c r="Q129" s="37" t="str">
        <f t="shared" si="7"/>
        <v>Low</v>
      </c>
      <c r="R129" s="37" t="s">
        <v>1236</v>
      </c>
      <c r="S129" s="37" t="s">
        <v>15</v>
      </c>
      <c r="T129" s="41" t="str">
        <f t="shared" si="5"/>
        <v>Southampton</v>
      </c>
    </row>
    <row r="130" spans="1:20">
      <c r="A130" s="37">
        <v>129</v>
      </c>
      <c r="B130" s="37">
        <v>1</v>
      </c>
      <c r="C130" s="37">
        <v>3</v>
      </c>
      <c r="D130" s="37" t="s">
        <v>1481</v>
      </c>
      <c r="E130" s="37" t="s">
        <v>1482</v>
      </c>
      <c r="F130" s="37" t="s">
        <v>1242</v>
      </c>
      <c r="G130" s="37" t="str">
        <f>_xlfn.XLOOKUP(F130,notes!$B$12:$B$18,notes!$C$12:$C$18,"Unknown")</f>
        <v>Female</v>
      </c>
      <c r="H130" s="38" t="s">
        <v>1236</v>
      </c>
      <c r="I130" s="39" t="str">
        <f>_xlfn.XLOOKUP(H130,notes!$B$4:$B$8,notes!$C$4:$C$8,"Invalid",-1)</f>
        <v>Unknown</v>
      </c>
      <c r="J130" s="37">
        <v>1</v>
      </c>
      <c r="K130" s="37">
        <v>1</v>
      </c>
      <c r="L130" s="37">
        <f t="shared" si="6"/>
        <v>3</v>
      </c>
      <c r="M130" s="40" t="str">
        <f t="shared" ref="M130:M193" si="8">IF(B130=1,"Survived","Not Survived")</f>
        <v>Survived</v>
      </c>
      <c r="N130" s="37" t="str">
        <f>_xlfn.XLOOKUP(L130,notes!$B$28:$B$30,notes!$C$28:$C$30,"Unknown",-1)</f>
        <v>Small Family</v>
      </c>
      <c r="O130" s="37">
        <v>2668</v>
      </c>
      <c r="P130" s="37">
        <v>22.3583</v>
      </c>
      <c r="Q130" s="37" t="str">
        <f t="shared" si="7"/>
        <v>Mid</v>
      </c>
      <c r="R130" s="37" t="s">
        <v>203</v>
      </c>
      <c r="S130" s="37" t="s">
        <v>20</v>
      </c>
      <c r="T130" s="41" t="str">
        <f t="shared" ref="T130:T193" si="9">IF(S130="Q","Queenstown",IF(S130="C","Cherbourg",IF(S130="S","Southampton","Unknown")))</f>
        <v>Cherbourg</v>
      </c>
    </row>
    <row r="131" spans="1:20">
      <c r="A131" s="37">
        <v>130</v>
      </c>
      <c r="B131" s="37">
        <v>0</v>
      </c>
      <c r="C131" s="37">
        <v>3</v>
      </c>
      <c r="D131" s="37" t="s">
        <v>1483</v>
      </c>
      <c r="E131" s="37" t="s">
        <v>1484</v>
      </c>
      <c r="F131" s="37" t="s">
        <v>1235</v>
      </c>
      <c r="G131" s="37" t="str">
        <f>_xlfn.XLOOKUP(F131,notes!$B$12:$B$18,notes!$C$12:$C$18,"Unknown")</f>
        <v>Male</v>
      </c>
      <c r="H131" s="38">
        <v>45</v>
      </c>
      <c r="I131" s="39" t="str">
        <f>_xlfn.XLOOKUP(H131,notes!$B$4:$B$8,notes!$C$4:$C$8,"Invalid",-1)</f>
        <v>Adult</v>
      </c>
      <c r="J131" s="37">
        <v>0</v>
      </c>
      <c r="K131" s="37">
        <v>0</v>
      </c>
      <c r="L131" s="37">
        <f t="shared" ref="L131:L194" si="10">(J131+K131)+1</f>
        <v>1</v>
      </c>
      <c r="M131" s="40" t="str">
        <f t="shared" si="8"/>
        <v>Not Survived</v>
      </c>
      <c r="N131" s="37" t="str">
        <f>_xlfn.XLOOKUP(L131,notes!$B$28:$B$30,notes!$C$28:$C$30,"Unknown",-1)</f>
        <v>Alone</v>
      </c>
      <c r="O131" s="37">
        <v>347061</v>
      </c>
      <c r="P131" s="37">
        <v>6.975</v>
      </c>
      <c r="Q131" s="37" t="str">
        <f t="shared" ref="Q131:Q194" si="11">IF(P131&gt;=50,"High",IF(P131&gt;=10,"Mid",IF(P131&lt;10,"Low","invalid")))</f>
        <v>Low</v>
      </c>
      <c r="R131" s="37" t="s">
        <v>1236</v>
      </c>
      <c r="S131" s="37" t="s">
        <v>15</v>
      </c>
      <c r="T131" s="41" t="str">
        <f t="shared" si="9"/>
        <v>Southampton</v>
      </c>
    </row>
    <row r="132" spans="1:20">
      <c r="A132" s="37">
        <v>131</v>
      </c>
      <c r="B132" s="37">
        <v>0</v>
      </c>
      <c r="C132" s="37">
        <v>3</v>
      </c>
      <c r="D132" s="37" t="s">
        <v>1485</v>
      </c>
      <c r="E132" s="37" t="s">
        <v>1486</v>
      </c>
      <c r="F132" s="37" t="s">
        <v>1235</v>
      </c>
      <c r="G132" s="37" t="str">
        <f>_xlfn.XLOOKUP(F132,notes!$B$12:$B$18,notes!$C$12:$C$18,"Unknown")</f>
        <v>Male</v>
      </c>
      <c r="H132" s="38">
        <v>33</v>
      </c>
      <c r="I132" s="39" t="str">
        <f>_xlfn.XLOOKUP(H132,notes!$B$4:$B$8,notes!$C$4:$C$8,"Invalid",-1)</f>
        <v>Adult</v>
      </c>
      <c r="J132" s="37">
        <v>0</v>
      </c>
      <c r="K132" s="37">
        <v>0</v>
      </c>
      <c r="L132" s="37">
        <f t="shared" si="10"/>
        <v>1</v>
      </c>
      <c r="M132" s="40" t="str">
        <f t="shared" si="8"/>
        <v>Not Survived</v>
      </c>
      <c r="N132" s="37" t="str">
        <f>_xlfn.XLOOKUP(L132,notes!$B$28:$B$30,notes!$C$28:$C$30,"Unknown",-1)</f>
        <v>Alone</v>
      </c>
      <c r="O132" s="37">
        <v>349241</v>
      </c>
      <c r="P132" s="37">
        <v>7.8958</v>
      </c>
      <c r="Q132" s="37" t="str">
        <f t="shared" si="11"/>
        <v>Low</v>
      </c>
      <c r="R132" s="37" t="s">
        <v>1236</v>
      </c>
      <c r="S132" s="37" t="s">
        <v>20</v>
      </c>
      <c r="T132" s="41" t="str">
        <f t="shared" si="9"/>
        <v>Cherbourg</v>
      </c>
    </row>
    <row r="133" spans="1:20">
      <c r="A133" s="37">
        <v>132</v>
      </c>
      <c r="B133" s="37">
        <v>0</v>
      </c>
      <c r="C133" s="37">
        <v>3</v>
      </c>
      <c r="D133" s="37" t="s">
        <v>1487</v>
      </c>
      <c r="E133" s="37" t="s">
        <v>1488</v>
      </c>
      <c r="F133" s="37" t="s">
        <v>1235</v>
      </c>
      <c r="G133" s="37" t="str">
        <f>_xlfn.XLOOKUP(F133,notes!$B$12:$B$18,notes!$C$12:$C$18,"Unknown")</f>
        <v>Male</v>
      </c>
      <c r="H133" s="38">
        <v>20</v>
      </c>
      <c r="I133" s="39" t="str">
        <f>_xlfn.XLOOKUP(H133,notes!$B$4:$B$8,notes!$C$4:$C$8,"Invalid",-1)</f>
        <v>Adult</v>
      </c>
      <c r="J133" s="37">
        <v>0</v>
      </c>
      <c r="K133" s="37">
        <v>0</v>
      </c>
      <c r="L133" s="37">
        <f t="shared" si="10"/>
        <v>1</v>
      </c>
      <c r="M133" s="40" t="str">
        <f t="shared" si="8"/>
        <v>Not Survived</v>
      </c>
      <c r="N133" s="37" t="str">
        <f>_xlfn.XLOOKUP(L133,notes!$B$28:$B$30,notes!$C$28:$C$30,"Unknown",-1)</f>
        <v>Alone</v>
      </c>
      <c r="O133" s="37" t="s">
        <v>207</v>
      </c>
      <c r="P133" s="37">
        <v>7.05</v>
      </c>
      <c r="Q133" s="37" t="str">
        <f t="shared" si="11"/>
        <v>Low</v>
      </c>
      <c r="R133" s="37" t="s">
        <v>1236</v>
      </c>
      <c r="S133" s="37" t="s">
        <v>15</v>
      </c>
      <c r="T133" s="41" t="str">
        <f t="shared" si="9"/>
        <v>Southampton</v>
      </c>
    </row>
    <row r="134" spans="1:20">
      <c r="A134" s="37">
        <v>133</v>
      </c>
      <c r="B134" s="37">
        <v>0</v>
      </c>
      <c r="C134" s="37">
        <v>3</v>
      </c>
      <c r="D134" s="37" t="s">
        <v>1489</v>
      </c>
      <c r="E134" s="37" t="s">
        <v>1490</v>
      </c>
      <c r="F134" s="37" t="s">
        <v>1239</v>
      </c>
      <c r="G134" s="37" t="str">
        <f>_xlfn.XLOOKUP(F134,notes!$B$12:$B$18,notes!$C$12:$C$18,"Unknown")</f>
        <v>Female</v>
      </c>
      <c r="H134" s="38">
        <v>47</v>
      </c>
      <c r="I134" s="39" t="str">
        <f>_xlfn.XLOOKUP(H134,notes!$B$4:$B$8,notes!$C$4:$C$8,"Invalid",-1)</f>
        <v>Adult</v>
      </c>
      <c r="J134" s="37">
        <v>1</v>
      </c>
      <c r="K134" s="37">
        <v>0</v>
      </c>
      <c r="L134" s="37">
        <f t="shared" si="10"/>
        <v>2</v>
      </c>
      <c r="M134" s="40" t="str">
        <f t="shared" si="8"/>
        <v>Not Survived</v>
      </c>
      <c r="N134" s="37" t="str">
        <f>_xlfn.XLOOKUP(L134,notes!$B$28:$B$30,notes!$C$28:$C$30,"Unknown",-1)</f>
        <v>Small Family</v>
      </c>
      <c r="O134" s="37" t="s">
        <v>209</v>
      </c>
      <c r="P134" s="37">
        <v>14.5</v>
      </c>
      <c r="Q134" s="37" t="str">
        <f t="shared" si="11"/>
        <v>Mid</v>
      </c>
      <c r="R134" s="37" t="s">
        <v>1236</v>
      </c>
      <c r="S134" s="37" t="s">
        <v>15</v>
      </c>
      <c r="T134" s="41" t="str">
        <f t="shared" si="9"/>
        <v>Southampton</v>
      </c>
    </row>
    <row r="135" spans="1:20">
      <c r="A135" s="37">
        <v>134</v>
      </c>
      <c r="B135" s="37">
        <v>1</v>
      </c>
      <c r="C135" s="37">
        <v>2</v>
      </c>
      <c r="D135" s="37" t="s">
        <v>1491</v>
      </c>
      <c r="E135" s="37" t="s">
        <v>1492</v>
      </c>
      <c r="F135" s="37" t="s">
        <v>1239</v>
      </c>
      <c r="G135" s="37" t="str">
        <f>_xlfn.XLOOKUP(F135,notes!$B$12:$B$18,notes!$C$12:$C$18,"Unknown")</f>
        <v>Female</v>
      </c>
      <c r="H135" s="38">
        <v>29</v>
      </c>
      <c r="I135" s="39" t="str">
        <f>_xlfn.XLOOKUP(H135,notes!$B$4:$B$8,notes!$C$4:$C$8,"Invalid",-1)</f>
        <v>Adult</v>
      </c>
      <c r="J135" s="37">
        <v>1</v>
      </c>
      <c r="K135" s="37">
        <v>0</v>
      </c>
      <c r="L135" s="37">
        <f t="shared" si="10"/>
        <v>2</v>
      </c>
      <c r="M135" s="40" t="str">
        <f t="shared" si="8"/>
        <v>Survived</v>
      </c>
      <c r="N135" s="37" t="str">
        <f>_xlfn.XLOOKUP(L135,notes!$B$28:$B$30,notes!$C$28:$C$30,"Unknown",-1)</f>
        <v>Small Family</v>
      </c>
      <c r="O135" s="37">
        <v>228414</v>
      </c>
      <c r="P135" s="37">
        <v>26</v>
      </c>
      <c r="Q135" s="37" t="str">
        <f t="shared" si="11"/>
        <v>Mid</v>
      </c>
      <c r="R135" s="37" t="s">
        <v>1236</v>
      </c>
      <c r="S135" s="37" t="s">
        <v>15</v>
      </c>
      <c r="T135" s="41" t="str">
        <f t="shared" si="9"/>
        <v>Southampton</v>
      </c>
    </row>
    <row r="136" spans="1:20">
      <c r="A136" s="37">
        <v>135</v>
      </c>
      <c r="B136" s="37">
        <v>0</v>
      </c>
      <c r="C136" s="37">
        <v>2</v>
      </c>
      <c r="D136" s="37" t="s">
        <v>1493</v>
      </c>
      <c r="E136" s="37" t="s">
        <v>1494</v>
      </c>
      <c r="F136" s="37" t="s">
        <v>1235</v>
      </c>
      <c r="G136" s="37" t="str">
        <f>_xlfn.XLOOKUP(F136,notes!$B$12:$B$18,notes!$C$12:$C$18,"Unknown")</f>
        <v>Male</v>
      </c>
      <c r="H136" s="38">
        <v>25</v>
      </c>
      <c r="I136" s="39" t="str">
        <f>_xlfn.XLOOKUP(H136,notes!$B$4:$B$8,notes!$C$4:$C$8,"Invalid",-1)</f>
        <v>Adult</v>
      </c>
      <c r="J136" s="37">
        <v>0</v>
      </c>
      <c r="K136" s="37">
        <v>0</v>
      </c>
      <c r="L136" s="37">
        <f t="shared" si="10"/>
        <v>1</v>
      </c>
      <c r="M136" s="40" t="str">
        <f t="shared" si="8"/>
        <v>Not Survived</v>
      </c>
      <c r="N136" s="37" t="str">
        <f>_xlfn.XLOOKUP(L136,notes!$B$28:$B$30,notes!$C$28:$C$30,"Unknown",-1)</f>
        <v>Alone</v>
      </c>
      <c r="O136" s="37" t="s">
        <v>212</v>
      </c>
      <c r="P136" s="37">
        <v>13</v>
      </c>
      <c r="Q136" s="37" t="str">
        <f t="shared" si="11"/>
        <v>Mid</v>
      </c>
      <c r="R136" s="37" t="s">
        <v>1236</v>
      </c>
      <c r="S136" s="37" t="s">
        <v>15</v>
      </c>
      <c r="T136" s="41" t="str">
        <f t="shared" si="9"/>
        <v>Southampton</v>
      </c>
    </row>
    <row r="137" spans="1:20">
      <c r="A137" s="37">
        <v>136</v>
      </c>
      <c r="B137" s="37">
        <v>0</v>
      </c>
      <c r="C137" s="37">
        <v>2</v>
      </c>
      <c r="D137" s="37" t="s">
        <v>1495</v>
      </c>
      <c r="E137" s="37" t="s">
        <v>1496</v>
      </c>
      <c r="F137" s="37" t="s">
        <v>1235</v>
      </c>
      <c r="G137" s="37" t="str">
        <f>_xlfn.XLOOKUP(F137,notes!$B$12:$B$18,notes!$C$12:$C$18,"Unknown")</f>
        <v>Male</v>
      </c>
      <c r="H137" s="38">
        <v>23</v>
      </c>
      <c r="I137" s="39" t="str">
        <f>_xlfn.XLOOKUP(H137,notes!$B$4:$B$8,notes!$C$4:$C$8,"Invalid",-1)</f>
        <v>Adult</v>
      </c>
      <c r="J137" s="37">
        <v>0</v>
      </c>
      <c r="K137" s="37">
        <v>0</v>
      </c>
      <c r="L137" s="37">
        <f t="shared" si="10"/>
        <v>1</v>
      </c>
      <c r="M137" s="40" t="str">
        <f t="shared" si="8"/>
        <v>Not Survived</v>
      </c>
      <c r="N137" s="37" t="str">
        <f>_xlfn.XLOOKUP(L137,notes!$B$28:$B$30,notes!$C$28:$C$30,"Unknown",-1)</f>
        <v>Alone</v>
      </c>
      <c r="O137" s="37" t="s">
        <v>214</v>
      </c>
      <c r="P137" s="37">
        <v>15.0458</v>
      </c>
      <c r="Q137" s="37" t="str">
        <f t="shared" si="11"/>
        <v>Mid</v>
      </c>
      <c r="R137" s="37" t="s">
        <v>1236</v>
      </c>
      <c r="S137" s="37" t="s">
        <v>20</v>
      </c>
      <c r="T137" s="41" t="str">
        <f t="shared" si="9"/>
        <v>Cherbourg</v>
      </c>
    </row>
    <row r="138" spans="1:20">
      <c r="A138" s="37">
        <v>137</v>
      </c>
      <c r="B138" s="37">
        <v>1</v>
      </c>
      <c r="C138" s="37">
        <v>1</v>
      </c>
      <c r="D138" s="37" t="s">
        <v>1497</v>
      </c>
      <c r="E138" s="37" t="s">
        <v>1498</v>
      </c>
      <c r="F138" s="37" t="s">
        <v>1242</v>
      </c>
      <c r="G138" s="37" t="str">
        <f>_xlfn.XLOOKUP(F138,notes!$B$12:$B$18,notes!$C$12:$C$18,"Unknown")</f>
        <v>Female</v>
      </c>
      <c r="H138" s="38">
        <v>19</v>
      </c>
      <c r="I138" s="39" t="str">
        <f>_xlfn.XLOOKUP(H138,notes!$B$4:$B$8,notes!$C$4:$C$8,"Invalid",-1)</f>
        <v>Teenager</v>
      </c>
      <c r="J138" s="37">
        <v>0</v>
      </c>
      <c r="K138" s="37">
        <v>2</v>
      </c>
      <c r="L138" s="37">
        <f t="shared" si="10"/>
        <v>3</v>
      </c>
      <c r="M138" s="40" t="str">
        <f t="shared" si="8"/>
        <v>Survived</v>
      </c>
      <c r="N138" s="37" t="str">
        <f>_xlfn.XLOOKUP(L138,notes!$B$28:$B$30,notes!$C$28:$C$30,"Unknown",-1)</f>
        <v>Small Family</v>
      </c>
      <c r="O138" s="37">
        <v>11752</v>
      </c>
      <c r="P138" s="37">
        <v>26.2833</v>
      </c>
      <c r="Q138" s="37" t="str">
        <f t="shared" si="11"/>
        <v>Mid</v>
      </c>
      <c r="R138" s="37" t="s">
        <v>216</v>
      </c>
      <c r="S138" s="37" t="s">
        <v>15</v>
      </c>
      <c r="T138" s="41" t="str">
        <f t="shared" si="9"/>
        <v>Southampton</v>
      </c>
    </row>
    <row r="139" spans="1:20">
      <c r="A139" s="37">
        <v>138</v>
      </c>
      <c r="B139" s="37">
        <v>0</v>
      </c>
      <c r="C139" s="37">
        <v>1</v>
      </c>
      <c r="D139" s="37" t="s">
        <v>1243</v>
      </c>
      <c r="E139" s="37" t="s">
        <v>1499</v>
      </c>
      <c r="F139" s="37" t="s">
        <v>1235</v>
      </c>
      <c r="G139" s="37" t="str">
        <f>_xlfn.XLOOKUP(F139,notes!$B$12:$B$18,notes!$C$12:$C$18,"Unknown")</f>
        <v>Male</v>
      </c>
      <c r="H139" s="38">
        <v>37</v>
      </c>
      <c r="I139" s="39" t="str">
        <f>_xlfn.XLOOKUP(H139,notes!$B$4:$B$8,notes!$C$4:$C$8,"Invalid",-1)</f>
        <v>Adult</v>
      </c>
      <c r="J139" s="37">
        <v>1</v>
      </c>
      <c r="K139" s="37">
        <v>0</v>
      </c>
      <c r="L139" s="37">
        <f t="shared" si="10"/>
        <v>2</v>
      </c>
      <c r="M139" s="40" t="str">
        <f t="shared" si="8"/>
        <v>Not Survived</v>
      </c>
      <c r="N139" s="37" t="str">
        <f>_xlfn.XLOOKUP(L139,notes!$B$28:$B$30,notes!$C$28:$C$30,"Unknown",-1)</f>
        <v>Small Family</v>
      </c>
      <c r="O139" s="37">
        <v>113803</v>
      </c>
      <c r="P139" s="37">
        <v>53.1</v>
      </c>
      <c r="Q139" s="37" t="str">
        <f t="shared" si="11"/>
        <v>High</v>
      </c>
      <c r="R139" s="37" t="s">
        <v>24</v>
      </c>
      <c r="S139" s="37" t="s">
        <v>15</v>
      </c>
      <c r="T139" s="41" t="str">
        <f t="shared" si="9"/>
        <v>Southampton</v>
      </c>
    </row>
    <row r="140" spans="1:20">
      <c r="A140" s="37">
        <v>139</v>
      </c>
      <c r="B140" s="37">
        <v>0</v>
      </c>
      <c r="C140" s="37">
        <v>3</v>
      </c>
      <c r="D140" s="37" t="s">
        <v>1500</v>
      </c>
      <c r="E140" s="37" t="s">
        <v>1501</v>
      </c>
      <c r="F140" s="37" t="s">
        <v>1235</v>
      </c>
      <c r="G140" s="37" t="str">
        <f>_xlfn.XLOOKUP(F140,notes!$B$12:$B$18,notes!$C$12:$C$18,"Unknown")</f>
        <v>Male</v>
      </c>
      <c r="H140" s="38">
        <v>16</v>
      </c>
      <c r="I140" s="39" t="str">
        <f>_xlfn.XLOOKUP(H140,notes!$B$4:$B$8,notes!$C$4:$C$8,"Invalid",-1)</f>
        <v>Teenager</v>
      </c>
      <c r="J140" s="37">
        <v>0</v>
      </c>
      <c r="K140" s="37">
        <v>0</v>
      </c>
      <c r="L140" s="37">
        <f t="shared" si="10"/>
        <v>1</v>
      </c>
      <c r="M140" s="40" t="str">
        <f t="shared" si="8"/>
        <v>Not Survived</v>
      </c>
      <c r="N140" s="37" t="str">
        <f>_xlfn.XLOOKUP(L140,notes!$B$28:$B$30,notes!$C$28:$C$30,"Unknown",-1)</f>
        <v>Alone</v>
      </c>
      <c r="O140" s="37">
        <v>7534</v>
      </c>
      <c r="P140" s="37">
        <v>9.2167</v>
      </c>
      <c r="Q140" s="37" t="str">
        <f t="shared" si="11"/>
        <v>Low</v>
      </c>
      <c r="R140" s="37" t="s">
        <v>1236</v>
      </c>
      <c r="S140" s="37" t="s">
        <v>15</v>
      </c>
      <c r="T140" s="41" t="str">
        <f t="shared" si="9"/>
        <v>Southampton</v>
      </c>
    </row>
    <row r="141" spans="1:20">
      <c r="A141" s="37">
        <v>140</v>
      </c>
      <c r="B141" s="37">
        <v>0</v>
      </c>
      <c r="C141" s="37">
        <v>1</v>
      </c>
      <c r="D141" s="37" t="s">
        <v>1502</v>
      </c>
      <c r="E141" s="37" t="s">
        <v>1503</v>
      </c>
      <c r="F141" s="37" t="s">
        <v>1235</v>
      </c>
      <c r="G141" s="37" t="str">
        <f>_xlfn.XLOOKUP(F141,notes!$B$12:$B$18,notes!$C$12:$C$18,"Unknown")</f>
        <v>Male</v>
      </c>
      <c r="H141" s="38">
        <v>24</v>
      </c>
      <c r="I141" s="39" t="str">
        <f>_xlfn.XLOOKUP(H141,notes!$B$4:$B$8,notes!$C$4:$C$8,"Invalid",-1)</f>
        <v>Adult</v>
      </c>
      <c r="J141" s="37">
        <v>0</v>
      </c>
      <c r="K141" s="37">
        <v>0</v>
      </c>
      <c r="L141" s="37">
        <f t="shared" si="10"/>
        <v>1</v>
      </c>
      <c r="M141" s="40" t="str">
        <f t="shared" si="8"/>
        <v>Not Survived</v>
      </c>
      <c r="N141" s="37" t="str">
        <f>_xlfn.XLOOKUP(L141,notes!$B$28:$B$30,notes!$C$28:$C$30,"Unknown",-1)</f>
        <v>Alone</v>
      </c>
      <c r="O141" s="37" t="s">
        <v>220</v>
      </c>
      <c r="P141" s="37">
        <v>79.2</v>
      </c>
      <c r="Q141" s="37" t="str">
        <f t="shared" si="11"/>
        <v>High</v>
      </c>
      <c r="R141" s="37" t="s">
        <v>221</v>
      </c>
      <c r="S141" s="37" t="s">
        <v>20</v>
      </c>
      <c r="T141" s="41" t="str">
        <f t="shared" si="9"/>
        <v>Cherbourg</v>
      </c>
    </row>
    <row r="142" spans="1:20">
      <c r="A142" s="37">
        <v>141</v>
      </c>
      <c r="B142" s="37">
        <v>0</v>
      </c>
      <c r="C142" s="37">
        <v>3</v>
      </c>
      <c r="D142" s="37" t="s">
        <v>1504</v>
      </c>
      <c r="E142" s="37" t="s">
        <v>1505</v>
      </c>
      <c r="F142" s="37" t="s">
        <v>1239</v>
      </c>
      <c r="G142" s="37" t="str">
        <f>_xlfn.XLOOKUP(F142,notes!$B$12:$B$18,notes!$C$12:$C$18,"Unknown")</f>
        <v>Female</v>
      </c>
      <c r="H142" s="38" t="s">
        <v>1236</v>
      </c>
      <c r="I142" s="39" t="str">
        <f>_xlfn.XLOOKUP(H142,notes!$B$4:$B$8,notes!$C$4:$C$8,"Invalid",-1)</f>
        <v>Unknown</v>
      </c>
      <c r="J142" s="37">
        <v>0</v>
      </c>
      <c r="K142" s="37">
        <v>2</v>
      </c>
      <c r="L142" s="37">
        <f t="shared" si="10"/>
        <v>3</v>
      </c>
      <c r="M142" s="40" t="str">
        <f t="shared" si="8"/>
        <v>Not Survived</v>
      </c>
      <c r="N142" s="37" t="str">
        <f>_xlfn.XLOOKUP(L142,notes!$B$28:$B$30,notes!$C$28:$C$30,"Unknown",-1)</f>
        <v>Small Family</v>
      </c>
      <c r="O142" s="37">
        <v>2678</v>
      </c>
      <c r="P142" s="37">
        <v>15.2458</v>
      </c>
      <c r="Q142" s="37" t="str">
        <f t="shared" si="11"/>
        <v>Mid</v>
      </c>
      <c r="R142" s="37" t="s">
        <v>1236</v>
      </c>
      <c r="S142" s="37" t="s">
        <v>20</v>
      </c>
      <c r="T142" s="41" t="str">
        <f t="shared" si="9"/>
        <v>Cherbourg</v>
      </c>
    </row>
    <row r="143" spans="1:20">
      <c r="A143" s="37">
        <v>142</v>
      </c>
      <c r="B143" s="37">
        <v>1</v>
      </c>
      <c r="C143" s="37">
        <v>3</v>
      </c>
      <c r="D143" s="37" t="s">
        <v>1506</v>
      </c>
      <c r="E143" s="37" t="s">
        <v>1507</v>
      </c>
      <c r="F143" s="37" t="s">
        <v>1242</v>
      </c>
      <c r="G143" s="37" t="str">
        <f>_xlfn.XLOOKUP(F143,notes!$B$12:$B$18,notes!$C$12:$C$18,"Unknown")</f>
        <v>Female</v>
      </c>
      <c r="H143" s="38">
        <v>22</v>
      </c>
      <c r="I143" s="39" t="str">
        <f>_xlfn.XLOOKUP(H143,notes!$B$4:$B$8,notes!$C$4:$C$8,"Invalid",-1)</f>
        <v>Adult</v>
      </c>
      <c r="J143" s="37">
        <v>0</v>
      </c>
      <c r="K143" s="37">
        <v>0</v>
      </c>
      <c r="L143" s="37">
        <f t="shared" si="10"/>
        <v>1</v>
      </c>
      <c r="M143" s="40" t="str">
        <f t="shared" si="8"/>
        <v>Survived</v>
      </c>
      <c r="N143" s="37" t="str">
        <f>_xlfn.XLOOKUP(L143,notes!$B$28:$B$30,notes!$C$28:$C$30,"Unknown",-1)</f>
        <v>Alone</v>
      </c>
      <c r="O143" s="37">
        <v>347081</v>
      </c>
      <c r="P143" s="37">
        <v>7.75</v>
      </c>
      <c r="Q143" s="37" t="str">
        <f t="shared" si="11"/>
        <v>Low</v>
      </c>
      <c r="R143" s="37" t="s">
        <v>1236</v>
      </c>
      <c r="S143" s="37" t="s">
        <v>15</v>
      </c>
      <c r="T143" s="41" t="str">
        <f t="shared" si="9"/>
        <v>Southampton</v>
      </c>
    </row>
    <row r="144" spans="1:20">
      <c r="A144" s="37">
        <v>143</v>
      </c>
      <c r="B144" s="37">
        <v>1</v>
      </c>
      <c r="C144" s="37">
        <v>3</v>
      </c>
      <c r="D144" s="37" t="s">
        <v>1508</v>
      </c>
      <c r="E144" s="37" t="s">
        <v>1509</v>
      </c>
      <c r="F144" s="37" t="s">
        <v>1239</v>
      </c>
      <c r="G144" s="37" t="str">
        <f>_xlfn.XLOOKUP(F144,notes!$B$12:$B$18,notes!$C$12:$C$18,"Unknown")</f>
        <v>Female</v>
      </c>
      <c r="H144" s="38">
        <v>24</v>
      </c>
      <c r="I144" s="39" t="str">
        <f>_xlfn.XLOOKUP(H144,notes!$B$4:$B$8,notes!$C$4:$C$8,"Invalid",-1)</f>
        <v>Adult</v>
      </c>
      <c r="J144" s="37">
        <v>1</v>
      </c>
      <c r="K144" s="37">
        <v>0</v>
      </c>
      <c r="L144" s="37">
        <f t="shared" si="10"/>
        <v>2</v>
      </c>
      <c r="M144" s="40" t="str">
        <f t="shared" si="8"/>
        <v>Survived</v>
      </c>
      <c r="N144" s="37" t="str">
        <f>_xlfn.XLOOKUP(L144,notes!$B$28:$B$30,notes!$C$28:$C$30,"Unknown",-1)</f>
        <v>Small Family</v>
      </c>
      <c r="O144" s="37" t="s">
        <v>225</v>
      </c>
      <c r="P144" s="37">
        <v>15.85</v>
      </c>
      <c r="Q144" s="37" t="str">
        <f t="shared" si="11"/>
        <v>Mid</v>
      </c>
      <c r="R144" s="37" t="s">
        <v>1236</v>
      </c>
      <c r="S144" s="37" t="s">
        <v>15</v>
      </c>
      <c r="T144" s="41" t="str">
        <f t="shared" si="9"/>
        <v>Southampton</v>
      </c>
    </row>
    <row r="145" spans="1:20">
      <c r="A145" s="37">
        <v>144</v>
      </c>
      <c r="B145" s="37">
        <v>0</v>
      </c>
      <c r="C145" s="37">
        <v>3</v>
      </c>
      <c r="D145" s="37" t="s">
        <v>1510</v>
      </c>
      <c r="E145" s="37" t="s">
        <v>1511</v>
      </c>
      <c r="F145" s="37" t="s">
        <v>1235</v>
      </c>
      <c r="G145" s="37" t="str">
        <f>_xlfn.XLOOKUP(F145,notes!$B$12:$B$18,notes!$C$12:$C$18,"Unknown")</f>
        <v>Male</v>
      </c>
      <c r="H145" s="38">
        <v>19</v>
      </c>
      <c r="I145" s="39" t="str">
        <f>_xlfn.XLOOKUP(H145,notes!$B$4:$B$8,notes!$C$4:$C$8,"Invalid",-1)</f>
        <v>Teenager</v>
      </c>
      <c r="J145" s="37">
        <v>0</v>
      </c>
      <c r="K145" s="37">
        <v>0</v>
      </c>
      <c r="L145" s="37">
        <f t="shared" si="10"/>
        <v>1</v>
      </c>
      <c r="M145" s="40" t="str">
        <f t="shared" si="8"/>
        <v>Not Survived</v>
      </c>
      <c r="N145" s="37" t="str">
        <f>_xlfn.XLOOKUP(L145,notes!$B$28:$B$30,notes!$C$28:$C$30,"Unknown",-1)</f>
        <v>Alone</v>
      </c>
      <c r="O145" s="37">
        <v>365222</v>
      </c>
      <c r="P145" s="37">
        <v>6.75</v>
      </c>
      <c r="Q145" s="37" t="str">
        <f t="shared" si="11"/>
        <v>Low</v>
      </c>
      <c r="R145" s="37" t="s">
        <v>1236</v>
      </c>
      <c r="S145" s="37" t="s">
        <v>28</v>
      </c>
      <c r="T145" s="41" t="str">
        <f t="shared" si="9"/>
        <v>Queenstown</v>
      </c>
    </row>
    <row r="146" spans="1:20">
      <c r="A146" s="37">
        <v>145</v>
      </c>
      <c r="B146" s="37">
        <v>0</v>
      </c>
      <c r="C146" s="37">
        <v>2</v>
      </c>
      <c r="D146" s="37" t="s">
        <v>1512</v>
      </c>
      <c r="E146" s="37" t="s">
        <v>1513</v>
      </c>
      <c r="F146" s="37" t="s">
        <v>1235</v>
      </c>
      <c r="G146" s="37" t="str">
        <f>_xlfn.XLOOKUP(F146,notes!$B$12:$B$18,notes!$C$12:$C$18,"Unknown")</f>
        <v>Male</v>
      </c>
      <c r="H146" s="38">
        <v>18</v>
      </c>
      <c r="I146" s="39" t="str">
        <f>_xlfn.XLOOKUP(H146,notes!$B$4:$B$8,notes!$C$4:$C$8,"Invalid",-1)</f>
        <v>Teenager</v>
      </c>
      <c r="J146" s="37">
        <v>0</v>
      </c>
      <c r="K146" s="37">
        <v>0</v>
      </c>
      <c r="L146" s="37">
        <f t="shared" si="10"/>
        <v>1</v>
      </c>
      <c r="M146" s="40" t="str">
        <f t="shared" si="8"/>
        <v>Not Survived</v>
      </c>
      <c r="N146" s="37" t="str">
        <f>_xlfn.XLOOKUP(L146,notes!$B$28:$B$30,notes!$C$28:$C$30,"Unknown",-1)</f>
        <v>Alone</v>
      </c>
      <c r="O146" s="37">
        <v>231945</v>
      </c>
      <c r="P146" s="37">
        <v>11.5</v>
      </c>
      <c r="Q146" s="37" t="str">
        <f t="shared" si="11"/>
        <v>Mid</v>
      </c>
      <c r="R146" s="37" t="s">
        <v>1236</v>
      </c>
      <c r="S146" s="37" t="s">
        <v>15</v>
      </c>
      <c r="T146" s="41" t="str">
        <f t="shared" si="9"/>
        <v>Southampton</v>
      </c>
    </row>
    <row r="147" spans="1:20">
      <c r="A147" s="37">
        <v>146</v>
      </c>
      <c r="B147" s="37">
        <v>0</v>
      </c>
      <c r="C147" s="37">
        <v>2</v>
      </c>
      <c r="D147" s="37" t="s">
        <v>1514</v>
      </c>
      <c r="E147" s="37" t="s">
        <v>1515</v>
      </c>
      <c r="F147" s="37" t="s">
        <v>1235</v>
      </c>
      <c r="G147" s="37" t="str">
        <f>_xlfn.XLOOKUP(F147,notes!$B$12:$B$18,notes!$C$12:$C$18,"Unknown")</f>
        <v>Male</v>
      </c>
      <c r="H147" s="38">
        <v>19</v>
      </c>
      <c r="I147" s="39" t="str">
        <f>_xlfn.XLOOKUP(H147,notes!$B$4:$B$8,notes!$C$4:$C$8,"Invalid",-1)</f>
        <v>Teenager</v>
      </c>
      <c r="J147" s="37">
        <v>1</v>
      </c>
      <c r="K147" s="37">
        <v>1</v>
      </c>
      <c r="L147" s="37">
        <f t="shared" si="10"/>
        <v>3</v>
      </c>
      <c r="M147" s="40" t="str">
        <f t="shared" si="8"/>
        <v>Not Survived</v>
      </c>
      <c r="N147" s="37" t="str">
        <f>_xlfn.XLOOKUP(L147,notes!$B$28:$B$30,notes!$C$28:$C$30,"Unknown",-1)</f>
        <v>Small Family</v>
      </c>
      <c r="O147" s="37" t="s">
        <v>229</v>
      </c>
      <c r="P147" s="37">
        <v>36.75</v>
      </c>
      <c r="Q147" s="37" t="str">
        <f t="shared" si="11"/>
        <v>Mid</v>
      </c>
      <c r="R147" s="37" t="s">
        <v>1236</v>
      </c>
      <c r="S147" s="37" t="s">
        <v>15</v>
      </c>
      <c r="T147" s="41" t="str">
        <f t="shared" si="9"/>
        <v>Southampton</v>
      </c>
    </row>
    <row r="148" spans="1:20">
      <c r="A148" s="37">
        <v>147</v>
      </c>
      <c r="B148" s="37">
        <v>1</v>
      </c>
      <c r="C148" s="37">
        <v>3</v>
      </c>
      <c r="D148" s="37" t="s">
        <v>1263</v>
      </c>
      <c r="E148" s="37" t="s">
        <v>1516</v>
      </c>
      <c r="F148" s="37" t="s">
        <v>1235</v>
      </c>
      <c r="G148" s="37" t="str">
        <f>_xlfn.XLOOKUP(F148,notes!$B$12:$B$18,notes!$C$12:$C$18,"Unknown")</f>
        <v>Male</v>
      </c>
      <c r="H148" s="38">
        <v>27</v>
      </c>
      <c r="I148" s="39" t="str">
        <f>_xlfn.XLOOKUP(H148,notes!$B$4:$B$8,notes!$C$4:$C$8,"Invalid",-1)</f>
        <v>Adult</v>
      </c>
      <c r="J148" s="37">
        <v>0</v>
      </c>
      <c r="K148" s="37">
        <v>0</v>
      </c>
      <c r="L148" s="37">
        <f t="shared" si="10"/>
        <v>1</v>
      </c>
      <c r="M148" s="40" t="str">
        <f t="shared" si="8"/>
        <v>Survived</v>
      </c>
      <c r="N148" s="37" t="str">
        <f>_xlfn.XLOOKUP(L148,notes!$B$28:$B$30,notes!$C$28:$C$30,"Unknown",-1)</f>
        <v>Alone</v>
      </c>
      <c r="O148" s="37">
        <v>350043</v>
      </c>
      <c r="P148" s="37">
        <v>7.7958</v>
      </c>
      <c r="Q148" s="37" t="str">
        <f t="shared" si="11"/>
        <v>Low</v>
      </c>
      <c r="R148" s="37" t="s">
        <v>1236</v>
      </c>
      <c r="S148" s="37" t="s">
        <v>15</v>
      </c>
      <c r="T148" s="41" t="str">
        <f t="shared" si="9"/>
        <v>Southampton</v>
      </c>
    </row>
    <row r="149" spans="1:20">
      <c r="A149" s="37">
        <v>148</v>
      </c>
      <c r="B149" s="37">
        <v>0</v>
      </c>
      <c r="C149" s="37">
        <v>3</v>
      </c>
      <c r="D149" s="37" t="s">
        <v>1405</v>
      </c>
      <c r="E149" s="37" t="s">
        <v>1517</v>
      </c>
      <c r="F149" s="37" t="s">
        <v>1242</v>
      </c>
      <c r="G149" s="37" t="str">
        <f>_xlfn.XLOOKUP(F149,notes!$B$12:$B$18,notes!$C$12:$C$18,"Unknown")</f>
        <v>Female</v>
      </c>
      <c r="H149" s="38">
        <v>9</v>
      </c>
      <c r="I149" s="39" t="str">
        <f>_xlfn.XLOOKUP(H149,notes!$B$4:$B$8,notes!$C$4:$C$8,"Invalid",-1)</f>
        <v>Kid</v>
      </c>
      <c r="J149" s="37">
        <v>2</v>
      </c>
      <c r="K149" s="37">
        <v>2</v>
      </c>
      <c r="L149" s="37">
        <f t="shared" si="10"/>
        <v>5</v>
      </c>
      <c r="M149" s="40" t="str">
        <f t="shared" si="8"/>
        <v>Not Survived</v>
      </c>
      <c r="N149" s="37" t="str">
        <f>_xlfn.XLOOKUP(L149,notes!$B$28:$B$30,notes!$C$28:$C$30,"Unknown",-1)</f>
        <v>Large Family</v>
      </c>
      <c r="O149" s="37" t="s">
        <v>144</v>
      </c>
      <c r="P149" s="37">
        <v>34.375</v>
      </c>
      <c r="Q149" s="37" t="str">
        <f t="shared" si="11"/>
        <v>Mid</v>
      </c>
      <c r="R149" s="37" t="s">
        <v>1236</v>
      </c>
      <c r="S149" s="37" t="s">
        <v>15</v>
      </c>
      <c r="T149" s="41" t="str">
        <f t="shared" si="9"/>
        <v>Southampton</v>
      </c>
    </row>
    <row r="150" spans="1:20">
      <c r="A150" s="37">
        <v>149</v>
      </c>
      <c r="B150" s="37">
        <v>0</v>
      </c>
      <c r="C150" s="37">
        <v>2</v>
      </c>
      <c r="D150" s="37" t="s">
        <v>1518</v>
      </c>
      <c r="E150" s="37" t="s">
        <v>1519</v>
      </c>
      <c r="F150" s="37" t="s">
        <v>1235</v>
      </c>
      <c r="G150" s="37" t="str">
        <f>_xlfn.XLOOKUP(F150,notes!$B$12:$B$18,notes!$C$12:$C$18,"Unknown")</f>
        <v>Male</v>
      </c>
      <c r="H150" s="38">
        <v>36.5</v>
      </c>
      <c r="I150" s="39" t="str">
        <f>_xlfn.XLOOKUP(H150,notes!$B$4:$B$8,notes!$C$4:$C$8,"Invalid",-1)</f>
        <v>Adult</v>
      </c>
      <c r="J150" s="37">
        <v>0</v>
      </c>
      <c r="K150" s="37">
        <v>2</v>
      </c>
      <c r="L150" s="37">
        <f t="shared" si="10"/>
        <v>3</v>
      </c>
      <c r="M150" s="40" t="str">
        <f t="shared" si="8"/>
        <v>Not Survived</v>
      </c>
      <c r="N150" s="37" t="str">
        <f>_xlfn.XLOOKUP(L150,notes!$B$28:$B$30,notes!$C$28:$C$30,"Unknown",-1)</f>
        <v>Small Family</v>
      </c>
      <c r="O150" s="37">
        <v>230080</v>
      </c>
      <c r="P150" s="37">
        <v>26</v>
      </c>
      <c r="Q150" s="37" t="str">
        <f t="shared" si="11"/>
        <v>Mid</v>
      </c>
      <c r="R150" s="37" t="s">
        <v>233</v>
      </c>
      <c r="S150" s="37" t="s">
        <v>15</v>
      </c>
      <c r="T150" s="41" t="str">
        <f t="shared" si="9"/>
        <v>Southampton</v>
      </c>
    </row>
    <row r="151" spans="1:20">
      <c r="A151" s="37">
        <v>150</v>
      </c>
      <c r="B151" s="37">
        <v>0</v>
      </c>
      <c r="C151" s="37">
        <v>2</v>
      </c>
      <c r="D151" s="37" t="s">
        <v>1520</v>
      </c>
      <c r="E151" s="37" t="s">
        <v>1521</v>
      </c>
      <c r="F151" s="37" t="s">
        <v>1522</v>
      </c>
      <c r="G151" s="37" t="str">
        <f>_xlfn.XLOOKUP(F151,notes!$B$12:$B$18,notes!$C$12:$C$18,"Unknown")</f>
        <v>Male</v>
      </c>
      <c r="H151" s="38">
        <v>42</v>
      </c>
      <c r="I151" s="39" t="str">
        <f>_xlfn.XLOOKUP(H151,notes!$B$4:$B$8,notes!$C$4:$C$8,"Invalid",-1)</f>
        <v>Adult</v>
      </c>
      <c r="J151" s="37">
        <v>0</v>
      </c>
      <c r="K151" s="37">
        <v>0</v>
      </c>
      <c r="L151" s="37">
        <f t="shared" si="10"/>
        <v>1</v>
      </c>
      <c r="M151" s="40" t="str">
        <f t="shared" si="8"/>
        <v>Not Survived</v>
      </c>
      <c r="N151" s="37" t="str">
        <f>_xlfn.XLOOKUP(L151,notes!$B$28:$B$30,notes!$C$28:$C$30,"Unknown",-1)</f>
        <v>Alone</v>
      </c>
      <c r="O151" s="37">
        <v>244310</v>
      </c>
      <c r="P151" s="37">
        <v>13</v>
      </c>
      <c r="Q151" s="37" t="str">
        <f t="shared" si="11"/>
        <v>Mid</v>
      </c>
      <c r="R151" s="37" t="s">
        <v>1236</v>
      </c>
      <c r="S151" s="37" t="s">
        <v>15</v>
      </c>
      <c r="T151" s="41" t="str">
        <f t="shared" si="9"/>
        <v>Southampton</v>
      </c>
    </row>
    <row r="152" spans="1:20">
      <c r="A152" s="37">
        <v>151</v>
      </c>
      <c r="B152" s="37">
        <v>0</v>
      </c>
      <c r="C152" s="37">
        <v>2</v>
      </c>
      <c r="D152" s="37" t="s">
        <v>1523</v>
      </c>
      <c r="E152" s="37" t="s">
        <v>1524</v>
      </c>
      <c r="F152" s="37" t="s">
        <v>1522</v>
      </c>
      <c r="G152" s="37" t="str">
        <f>_xlfn.XLOOKUP(F152,notes!$B$12:$B$18,notes!$C$12:$C$18,"Unknown")</f>
        <v>Male</v>
      </c>
      <c r="H152" s="38">
        <v>51</v>
      </c>
      <c r="I152" s="39" t="str">
        <f>_xlfn.XLOOKUP(H152,notes!$B$4:$B$8,notes!$C$4:$C$8,"Invalid",-1)</f>
        <v>Adult</v>
      </c>
      <c r="J152" s="37">
        <v>0</v>
      </c>
      <c r="K152" s="37">
        <v>0</v>
      </c>
      <c r="L152" s="37">
        <f t="shared" si="10"/>
        <v>1</v>
      </c>
      <c r="M152" s="40" t="str">
        <f t="shared" si="8"/>
        <v>Not Survived</v>
      </c>
      <c r="N152" s="37" t="str">
        <f>_xlfn.XLOOKUP(L152,notes!$B$28:$B$30,notes!$C$28:$C$30,"Unknown",-1)</f>
        <v>Alone</v>
      </c>
      <c r="O152" s="37" t="s">
        <v>236</v>
      </c>
      <c r="P152" s="37">
        <v>12.525</v>
      </c>
      <c r="Q152" s="37" t="str">
        <f t="shared" si="11"/>
        <v>Mid</v>
      </c>
      <c r="R152" s="37" t="s">
        <v>1236</v>
      </c>
      <c r="S152" s="37" t="s">
        <v>15</v>
      </c>
      <c r="T152" s="41" t="str">
        <f t="shared" si="9"/>
        <v>Southampton</v>
      </c>
    </row>
    <row r="153" spans="1:20">
      <c r="A153" s="37">
        <v>152</v>
      </c>
      <c r="B153" s="37">
        <v>1</v>
      </c>
      <c r="C153" s="37">
        <v>1</v>
      </c>
      <c r="D153" s="37" t="s">
        <v>1525</v>
      </c>
      <c r="E153" s="37" t="s">
        <v>1526</v>
      </c>
      <c r="F153" s="37" t="s">
        <v>1239</v>
      </c>
      <c r="G153" s="37" t="str">
        <f>_xlfn.XLOOKUP(F153,notes!$B$12:$B$18,notes!$C$12:$C$18,"Unknown")</f>
        <v>Female</v>
      </c>
      <c r="H153" s="38">
        <v>22</v>
      </c>
      <c r="I153" s="39" t="str">
        <f>_xlfn.XLOOKUP(H153,notes!$B$4:$B$8,notes!$C$4:$C$8,"Invalid",-1)</f>
        <v>Adult</v>
      </c>
      <c r="J153" s="37">
        <v>1</v>
      </c>
      <c r="K153" s="37">
        <v>0</v>
      </c>
      <c r="L153" s="37">
        <f t="shared" si="10"/>
        <v>2</v>
      </c>
      <c r="M153" s="40" t="str">
        <f t="shared" si="8"/>
        <v>Survived</v>
      </c>
      <c r="N153" s="37" t="str">
        <f>_xlfn.XLOOKUP(L153,notes!$B$28:$B$30,notes!$C$28:$C$30,"Unknown",-1)</f>
        <v>Small Family</v>
      </c>
      <c r="O153" s="37">
        <v>113776</v>
      </c>
      <c r="P153" s="37">
        <v>66.6</v>
      </c>
      <c r="Q153" s="37" t="str">
        <f t="shared" si="11"/>
        <v>High</v>
      </c>
      <c r="R153" s="37" t="s">
        <v>238</v>
      </c>
      <c r="S153" s="37" t="s">
        <v>15</v>
      </c>
      <c r="T153" s="41" t="str">
        <f t="shared" si="9"/>
        <v>Southampton</v>
      </c>
    </row>
    <row r="154" spans="1:20">
      <c r="A154" s="37">
        <v>153</v>
      </c>
      <c r="B154" s="37">
        <v>0</v>
      </c>
      <c r="C154" s="37">
        <v>3</v>
      </c>
      <c r="D154" s="37" t="s">
        <v>1527</v>
      </c>
      <c r="E154" s="37" t="s">
        <v>1528</v>
      </c>
      <c r="F154" s="37" t="s">
        <v>1235</v>
      </c>
      <c r="G154" s="37" t="str">
        <f>_xlfn.XLOOKUP(F154,notes!$B$12:$B$18,notes!$C$12:$C$18,"Unknown")</f>
        <v>Male</v>
      </c>
      <c r="H154" s="38">
        <v>55.5</v>
      </c>
      <c r="I154" s="39" t="str">
        <f>_xlfn.XLOOKUP(H154,notes!$B$4:$B$8,notes!$C$4:$C$8,"Invalid",-1)</f>
        <v>Adult</v>
      </c>
      <c r="J154" s="37">
        <v>0</v>
      </c>
      <c r="K154" s="37">
        <v>0</v>
      </c>
      <c r="L154" s="37">
        <f t="shared" si="10"/>
        <v>1</v>
      </c>
      <c r="M154" s="40" t="str">
        <f t="shared" si="8"/>
        <v>Not Survived</v>
      </c>
      <c r="N154" s="37" t="str">
        <f>_xlfn.XLOOKUP(L154,notes!$B$28:$B$30,notes!$C$28:$C$30,"Unknown",-1)</f>
        <v>Alone</v>
      </c>
      <c r="O154" s="37" t="s">
        <v>240</v>
      </c>
      <c r="P154" s="37">
        <v>8.05</v>
      </c>
      <c r="Q154" s="37" t="str">
        <f t="shared" si="11"/>
        <v>Low</v>
      </c>
      <c r="R154" s="37" t="s">
        <v>1236</v>
      </c>
      <c r="S154" s="37" t="s">
        <v>15</v>
      </c>
      <c r="T154" s="41" t="str">
        <f t="shared" si="9"/>
        <v>Southampton</v>
      </c>
    </row>
    <row r="155" spans="1:20">
      <c r="A155" s="37">
        <v>154</v>
      </c>
      <c r="B155" s="37">
        <v>0</v>
      </c>
      <c r="C155" s="37">
        <v>3</v>
      </c>
      <c r="D155" s="37" t="s">
        <v>1529</v>
      </c>
      <c r="E155" s="37" t="s">
        <v>1530</v>
      </c>
      <c r="F155" s="37" t="s">
        <v>1235</v>
      </c>
      <c r="G155" s="37" t="str">
        <f>_xlfn.XLOOKUP(F155,notes!$B$12:$B$18,notes!$C$12:$C$18,"Unknown")</f>
        <v>Male</v>
      </c>
      <c r="H155" s="38">
        <v>40.5</v>
      </c>
      <c r="I155" s="39" t="str">
        <f>_xlfn.XLOOKUP(H155,notes!$B$4:$B$8,notes!$C$4:$C$8,"Invalid",-1)</f>
        <v>Adult</v>
      </c>
      <c r="J155" s="37">
        <v>0</v>
      </c>
      <c r="K155" s="37">
        <v>2</v>
      </c>
      <c r="L155" s="37">
        <f t="shared" si="10"/>
        <v>3</v>
      </c>
      <c r="M155" s="40" t="str">
        <f t="shared" si="8"/>
        <v>Not Survived</v>
      </c>
      <c r="N155" s="37" t="str">
        <f>_xlfn.XLOOKUP(L155,notes!$B$28:$B$30,notes!$C$28:$C$30,"Unknown",-1)</f>
        <v>Small Family</v>
      </c>
      <c r="O155" s="37" t="s">
        <v>242</v>
      </c>
      <c r="P155" s="37">
        <v>14.5</v>
      </c>
      <c r="Q155" s="37" t="str">
        <f t="shared" si="11"/>
        <v>Mid</v>
      </c>
      <c r="R155" s="37" t="s">
        <v>1236</v>
      </c>
      <c r="S155" s="37" t="s">
        <v>15</v>
      </c>
      <c r="T155" s="41" t="str">
        <f t="shared" si="9"/>
        <v>Southampton</v>
      </c>
    </row>
    <row r="156" spans="1:20">
      <c r="A156" s="37">
        <v>155</v>
      </c>
      <c r="B156" s="37">
        <v>0</v>
      </c>
      <c r="C156" s="37">
        <v>3</v>
      </c>
      <c r="D156" s="37" t="s">
        <v>1531</v>
      </c>
      <c r="E156" s="37" t="s">
        <v>1532</v>
      </c>
      <c r="F156" s="37" t="s">
        <v>1235</v>
      </c>
      <c r="G156" s="37" t="str">
        <f>_xlfn.XLOOKUP(F156,notes!$B$12:$B$18,notes!$C$12:$C$18,"Unknown")</f>
        <v>Male</v>
      </c>
      <c r="H156" s="38" t="s">
        <v>1236</v>
      </c>
      <c r="I156" s="39" t="str">
        <f>_xlfn.XLOOKUP(H156,notes!$B$4:$B$8,notes!$C$4:$C$8,"Invalid",-1)</f>
        <v>Unknown</v>
      </c>
      <c r="J156" s="37">
        <v>0</v>
      </c>
      <c r="K156" s="37">
        <v>0</v>
      </c>
      <c r="L156" s="37">
        <f t="shared" si="10"/>
        <v>1</v>
      </c>
      <c r="M156" s="40" t="str">
        <f t="shared" si="8"/>
        <v>Not Survived</v>
      </c>
      <c r="N156" s="37" t="str">
        <f>_xlfn.XLOOKUP(L156,notes!$B$28:$B$30,notes!$C$28:$C$30,"Unknown",-1)</f>
        <v>Alone</v>
      </c>
      <c r="O156" s="37" t="s">
        <v>244</v>
      </c>
      <c r="P156" s="37">
        <v>7.3125</v>
      </c>
      <c r="Q156" s="37" t="str">
        <f t="shared" si="11"/>
        <v>Low</v>
      </c>
      <c r="R156" s="37" t="s">
        <v>1236</v>
      </c>
      <c r="S156" s="37" t="s">
        <v>15</v>
      </c>
      <c r="T156" s="41" t="str">
        <f t="shared" si="9"/>
        <v>Southampton</v>
      </c>
    </row>
    <row r="157" spans="1:20">
      <c r="A157" s="37">
        <v>156</v>
      </c>
      <c r="B157" s="37">
        <v>0</v>
      </c>
      <c r="C157" s="37">
        <v>1</v>
      </c>
      <c r="D157" s="37" t="s">
        <v>1271</v>
      </c>
      <c r="E157" s="37" t="s">
        <v>1533</v>
      </c>
      <c r="F157" s="37" t="s">
        <v>1235</v>
      </c>
      <c r="G157" s="37" t="str">
        <f>_xlfn.XLOOKUP(F157,notes!$B$12:$B$18,notes!$C$12:$C$18,"Unknown")</f>
        <v>Male</v>
      </c>
      <c r="H157" s="38">
        <v>51</v>
      </c>
      <c r="I157" s="39" t="str">
        <f>_xlfn.XLOOKUP(H157,notes!$B$4:$B$8,notes!$C$4:$C$8,"Invalid",-1)</f>
        <v>Adult</v>
      </c>
      <c r="J157" s="37">
        <v>0</v>
      </c>
      <c r="K157" s="37">
        <v>1</v>
      </c>
      <c r="L157" s="37">
        <f t="shared" si="10"/>
        <v>2</v>
      </c>
      <c r="M157" s="40" t="str">
        <f t="shared" si="8"/>
        <v>Not Survived</v>
      </c>
      <c r="N157" s="37" t="str">
        <f>_xlfn.XLOOKUP(L157,notes!$B$28:$B$30,notes!$C$28:$C$30,"Unknown",-1)</f>
        <v>Small Family</v>
      </c>
      <c r="O157" s="37" t="s">
        <v>246</v>
      </c>
      <c r="P157" s="37">
        <v>61.3792</v>
      </c>
      <c r="Q157" s="37" t="str">
        <f t="shared" si="11"/>
        <v>High</v>
      </c>
      <c r="R157" s="37" t="s">
        <v>1236</v>
      </c>
      <c r="S157" s="37" t="s">
        <v>20</v>
      </c>
      <c r="T157" s="41" t="str">
        <f t="shared" si="9"/>
        <v>Cherbourg</v>
      </c>
    </row>
    <row r="158" spans="1:20">
      <c r="A158" s="37">
        <v>157</v>
      </c>
      <c r="B158" s="37">
        <v>1</v>
      </c>
      <c r="C158" s="37">
        <v>3</v>
      </c>
      <c r="D158" s="37" t="s">
        <v>1534</v>
      </c>
      <c r="E158" s="37" t="s">
        <v>1535</v>
      </c>
      <c r="F158" s="37" t="s">
        <v>1242</v>
      </c>
      <c r="G158" s="37" t="str">
        <f>_xlfn.XLOOKUP(F158,notes!$B$12:$B$18,notes!$C$12:$C$18,"Unknown")</f>
        <v>Female</v>
      </c>
      <c r="H158" s="38">
        <v>16</v>
      </c>
      <c r="I158" s="39" t="str">
        <f>_xlfn.XLOOKUP(H158,notes!$B$4:$B$8,notes!$C$4:$C$8,"Invalid",-1)</f>
        <v>Teenager</v>
      </c>
      <c r="J158" s="37">
        <v>0</v>
      </c>
      <c r="K158" s="37">
        <v>0</v>
      </c>
      <c r="L158" s="37">
        <f t="shared" si="10"/>
        <v>1</v>
      </c>
      <c r="M158" s="40" t="str">
        <f t="shared" si="8"/>
        <v>Survived</v>
      </c>
      <c r="N158" s="37" t="str">
        <f>_xlfn.XLOOKUP(L158,notes!$B$28:$B$30,notes!$C$28:$C$30,"Unknown",-1)</f>
        <v>Alone</v>
      </c>
      <c r="O158" s="37">
        <v>35851</v>
      </c>
      <c r="P158" s="37">
        <v>7.7333</v>
      </c>
      <c r="Q158" s="37" t="str">
        <f t="shared" si="11"/>
        <v>Low</v>
      </c>
      <c r="R158" s="37" t="s">
        <v>1236</v>
      </c>
      <c r="S158" s="37" t="s">
        <v>28</v>
      </c>
      <c r="T158" s="41" t="str">
        <f t="shared" si="9"/>
        <v>Queenstown</v>
      </c>
    </row>
    <row r="159" spans="1:20">
      <c r="A159" s="37">
        <v>158</v>
      </c>
      <c r="B159" s="37">
        <v>0</v>
      </c>
      <c r="C159" s="37">
        <v>3</v>
      </c>
      <c r="D159" s="37" t="s">
        <v>1536</v>
      </c>
      <c r="E159" s="37" t="s">
        <v>1537</v>
      </c>
      <c r="F159" s="37" t="s">
        <v>1235</v>
      </c>
      <c r="G159" s="37" t="str">
        <f>_xlfn.XLOOKUP(F159,notes!$B$12:$B$18,notes!$C$12:$C$18,"Unknown")</f>
        <v>Male</v>
      </c>
      <c r="H159" s="38">
        <v>30</v>
      </c>
      <c r="I159" s="39" t="str">
        <f>_xlfn.XLOOKUP(H159,notes!$B$4:$B$8,notes!$C$4:$C$8,"Invalid",-1)</f>
        <v>Adult</v>
      </c>
      <c r="J159" s="37">
        <v>0</v>
      </c>
      <c r="K159" s="37">
        <v>0</v>
      </c>
      <c r="L159" s="37">
        <f t="shared" si="10"/>
        <v>1</v>
      </c>
      <c r="M159" s="40" t="str">
        <f t="shared" si="8"/>
        <v>Not Survived</v>
      </c>
      <c r="N159" s="37" t="str">
        <f>_xlfn.XLOOKUP(L159,notes!$B$28:$B$30,notes!$C$28:$C$30,"Unknown",-1)</f>
        <v>Alone</v>
      </c>
      <c r="O159" s="37" t="s">
        <v>249</v>
      </c>
      <c r="P159" s="37">
        <v>8.05</v>
      </c>
      <c r="Q159" s="37" t="str">
        <f t="shared" si="11"/>
        <v>Low</v>
      </c>
      <c r="R159" s="37" t="s">
        <v>1236</v>
      </c>
      <c r="S159" s="37" t="s">
        <v>15</v>
      </c>
      <c r="T159" s="41" t="str">
        <f t="shared" si="9"/>
        <v>Southampton</v>
      </c>
    </row>
    <row r="160" spans="1:20">
      <c r="A160" s="37">
        <v>159</v>
      </c>
      <c r="B160" s="37">
        <v>0</v>
      </c>
      <c r="C160" s="37">
        <v>3</v>
      </c>
      <c r="D160" s="37" t="s">
        <v>1538</v>
      </c>
      <c r="E160" s="37" t="s">
        <v>1539</v>
      </c>
      <c r="F160" s="37" t="s">
        <v>1235</v>
      </c>
      <c r="G160" s="37" t="str">
        <f>_xlfn.XLOOKUP(F160,notes!$B$12:$B$18,notes!$C$12:$C$18,"Unknown")</f>
        <v>Male</v>
      </c>
      <c r="H160" s="38" t="s">
        <v>1236</v>
      </c>
      <c r="I160" s="39" t="str">
        <f>_xlfn.XLOOKUP(H160,notes!$B$4:$B$8,notes!$C$4:$C$8,"Invalid",-1)</f>
        <v>Unknown</v>
      </c>
      <c r="J160" s="37">
        <v>0</v>
      </c>
      <c r="K160" s="37">
        <v>0</v>
      </c>
      <c r="L160" s="37">
        <f t="shared" si="10"/>
        <v>1</v>
      </c>
      <c r="M160" s="40" t="str">
        <f t="shared" si="8"/>
        <v>Not Survived</v>
      </c>
      <c r="N160" s="37" t="str">
        <f>_xlfn.XLOOKUP(L160,notes!$B$28:$B$30,notes!$C$28:$C$30,"Unknown",-1)</f>
        <v>Alone</v>
      </c>
      <c r="O160" s="37">
        <v>315037</v>
      </c>
      <c r="P160" s="37">
        <v>8.6625</v>
      </c>
      <c r="Q160" s="37" t="str">
        <f t="shared" si="11"/>
        <v>Low</v>
      </c>
      <c r="R160" s="37" t="s">
        <v>1236</v>
      </c>
      <c r="S160" s="37" t="s">
        <v>15</v>
      </c>
      <c r="T160" s="41" t="str">
        <f t="shared" si="9"/>
        <v>Southampton</v>
      </c>
    </row>
    <row r="161" spans="1:20">
      <c r="A161" s="37">
        <v>160</v>
      </c>
      <c r="B161" s="37">
        <v>0</v>
      </c>
      <c r="C161" s="37">
        <v>3</v>
      </c>
      <c r="D161" s="37" t="s">
        <v>1540</v>
      </c>
      <c r="E161" s="37" t="s">
        <v>1541</v>
      </c>
      <c r="F161" s="37" t="s">
        <v>1253</v>
      </c>
      <c r="G161" s="37" t="str">
        <f>_xlfn.XLOOKUP(F161,notes!$B$12:$B$18,notes!$C$12:$C$18,"Unknown")</f>
        <v>Male</v>
      </c>
      <c r="H161" s="38" t="s">
        <v>1236</v>
      </c>
      <c r="I161" s="39" t="str">
        <f>_xlfn.XLOOKUP(H161,notes!$B$4:$B$8,notes!$C$4:$C$8,"Invalid",-1)</f>
        <v>Unknown</v>
      </c>
      <c r="J161" s="37">
        <v>8</v>
      </c>
      <c r="K161" s="37">
        <v>2</v>
      </c>
      <c r="L161" s="37">
        <f t="shared" si="10"/>
        <v>11</v>
      </c>
      <c r="M161" s="40" t="str">
        <f t="shared" si="8"/>
        <v>Not Survived</v>
      </c>
      <c r="N161" s="37" t="str">
        <f>_xlfn.XLOOKUP(L161,notes!$B$28:$B$30,notes!$C$28:$C$30,"Unknown",-1)</f>
        <v>Large Family</v>
      </c>
      <c r="O161" s="37" t="s">
        <v>252</v>
      </c>
      <c r="P161" s="37">
        <v>69.55</v>
      </c>
      <c r="Q161" s="37" t="str">
        <f t="shared" si="11"/>
        <v>High</v>
      </c>
      <c r="R161" s="37" t="s">
        <v>1236</v>
      </c>
      <c r="S161" s="37" t="s">
        <v>15</v>
      </c>
      <c r="T161" s="41" t="str">
        <f t="shared" si="9"/>
        <v>Southampton</v>
      </c>
    </row>
    <row r="162" spans="1:20">
      <c r="A162" s="37">
        <v>161</v>
      </c>
      <c r="B162" s="37">
        <v>0</v>
      </c>
      <c r="C162" s="37">
        <v>3</v>
      </c>
      <c r="D162" s="37" t="s">
        <v>1542</v>
      </c>
      <c r="E162" s="37" t="s">
        <v>1543</v>
      </c>
      <c r="F162" s="37" t="s">
        <v>1235</v>
      </c>
      <c r="G162" s="37" t="str">
        <f>_xlfn.XLOOKUP(F162,notes!$B$12:$B$18,notes!$C$12:$C$18,"Unknown")</f>
        <v>Male</v>
      </c>
      <c r="H162" s="38">
        <v>44</v>
      </c>
      <c r="I162" s="39" t="str">
        <f>_xlfn.XLOOKUP(H162,notes!$B$4:$B$8,notes!$C$4:$C$8,"Invalid",-1)</f>
        <v>Adult</v>
      </c>
      <c r="J162" s="37">
        <v>0</v>
      </c>
      <c r="K162" s="37">
        <v>1</v>
      </c>
      <c r="L162" s="37">
        <f t="shared" si="10"/>
        <v>2</v>
      </c>
      <c r="M162" s="40" t="str">
        <f t="shared" si="8"/>
        <v>Not Survived</v>
      </c>
      <c r="N162" s="37" t="str">
        <f>_xlfn.XLOOKUP(L162,notes!$B$28:$B$30,notes!$C$28:$C$30,"Unknown",-1)</f>
        <v>Small Family</v>
      </c>
      <c r="O162" s="37">
        <v>371362</v>
      </c>
      <c r="P162" s="37">
        <v>16.1</v>
      </c>
      <c r="Q162" s="37" t="str">
        <f t="shared" si="11"/>
        <v>Mid</v>
      </c>
      <c r="R162" s="37" t="s">
        <v>1236</v>
      </c>
      <c r="S162" s="37" t="s">
        <v>15</v>
      </c>
      <c r="T162" s="41" t="str">
        <f t="shared" si="9"/>
        <v>Southampton</v>
      </c>
    </row>
    <row r="163" spans="1:20">
      <c r="A163" s="37">
        <v>162</v>
      </c>
      <c r="B163" s="37">
        <v>1</v>
      </c>
      <c r="C163" s="37">
        <v>2</v>
      </c>
      <c r="D163" s="37" t="s">
        <v>1544</v>
      </c>
      <c r="E163" s="37" t="s">
        <v>1545</v>
      </c>
      <c r="F163" s="37" t="s">
        <v>1239</v>
      </c>
      <c r="G163" s="37" t="str">
        <f>_xlfn.XLOOKUP(F163,notes!$B$12:$B$18,notes!$C$12:$C$18,"Unknown")</f>
        <v>Female</v>
      </c>
      <c r="H163" s="38">
        <v>40</v>
      </c>
      <c r="I163" s="39" t="str">
        <f>_xlfn.XLOOKUP(H163,notes!$B$4:$B$8,notes!$C$4:$C$8,"Invalid",-1)</f>
        <v>Adult</v>
      </c>
      <c r="J163" s="37">
        <v>0</v>
      </c>
      <c r="K163" s="37">
        <v>0</v>
      </c>
      <c r="L163" s="37">
        <f t="shared" si="10"/>
        <v>1</v>
      </c>
      <c r="M163" s="40" t="str">
        <f t="shared" si="8"/>
        <v>Survived</v>
      </c>
      <c r="N163" s="37" t="str">
        <f>_xlfn.XLOOKUP(L163,notes!$B$28:$B$30,notes!$C$28:$C$30,"Unknown",-1)</f>
        <v>Alone</v>
      </c>
      <c r="O163" s="37" t="s">
        <v>255</v>
      </c>
      <c r="P163" s="37">
        <v>15.75</v>
      </c>
      <c r="Q163" s="37" t="str">
        <f t="shared" si="11"/>
        <v>Mid</v>
      </c>
      <c r="R163" s="37" t="s">
        <v>1236</v>
      </c>
      <c r="S163" s="37" t="s">
        <v>15</v>
      </c>
      <c r="T163" s="41" t="str">
        <f t="shared" si="9"/>
        <v>Southampton</v>
      </c>
    </row>
    <row r="164" spans="1:20">
      <c r="A164" s="37">
        <v>163</v>
      </c>
      <c r="B164" s="37">
        <v>0</v>
      </c>
      <c r="C164" s="37">
        <v>3</v>
      </c>
      <c r="D164" s="37" t="s">
        <v>1546</v>
      </c>
      <c r="E164" s="37" t="s">
        <v>1547</v>
      </c>
      <c r="F164" s="37" t="s">
        <v>1235</v>
      </c>
      <c r="G164" s="37" t="str">
        <f>_xlfn.XLOOKUP(F164,notes!$B$12:$B$18,notes!$C$12:$C$18,"Unknown")</f>
        <v>Male</v>
      </c>
      <c r="H164" s="38">
        <v>26</v>
      </c>
      <c r="I164" s="39" t="str">
        <f>_xlfn.XLOOKUP(H164,notes!$B$4:$B$8,notes!$C$4:$C$8,"Invalid",-1)</f>
        <v>Adult</v>
      </c>
      <c r="J164" s="37">
        <v>0</v>
      </c>
      <c r="K164" s="37">
        <v>0</v>
      </c>
      <c r="L164" s="37">
        <f t="shared" si="10"/>
        <v>1</v>
      </c>
      <c r="M164" s="40" t="str">
        <f t="shared" si="8"/>
        <v>Not Survived</v>
      </c>
      <c r="N164" s="37" t="str">
        <f>_xlfn.XLOOKUP(L164,notes!$B$28:$B$30,notes!$C$28:$C$30,"Unknown",-1)</f>
        <v>Alone</v>
      </c>
      <c r="O164" s="37">
        <v>347068</v>
      </c>
      <c r="P164" s="37">
        <v>7.775</v>
      </c>
      <c r="Q164" s="37" t="str">
        <f t="shared" si="11"/>
        <v>Low</v>
      </c>
      <c r="R164" s="37" t="s">
        <v>1236</v>
      </c>
      <c r="S164" s="37" t="s">
        <v>15</v>
      </c>
      <c r="T164" s="41" t="str">
        <f t="shared" si="9"/>
        <v>Southampton</v>
      </c>
    </row>
    <row r="165" spans="1:20">
      <c r="A165" s="37">
        <v>164</v>
      </c>
      <c r="B165" s="37">
        <v>0</v>
      </c>
      <c r="C165" s="37">
        <v>3</v>
      </c>
      <c r="D165" s="37" t="s">
        <v>1548</v>
      </c>
      <c r="E165" s="37" t="s">
        <v>1549</v>
      </c>
      <c r="F165" s="37" t="s">
        <v>1235</v>
      </c>
      <c r="G165" s="37" t="str">
        <f>_xlfn.XLOOKUP(F165,notes!$B$12:$B$18,notes!$C$12:$C$18,"Unknown")</f>
        <v>Male</v>
      </c>
      <c r="H165" s="38">
        <v>17</v>
      </c>
      <c r="I165" s="39" t="str">
        <f>_xlfn.XLOOKUP(H165,notes!$B$4:$B$8,notes!$C$4:$C$8,"Invalid",-1)</f>
        <v>Teenager</v>
      </c>
      <c r="J165" s="37">
        <v>0</v>
      </c>
      <c r="K165" s="37">
        <v>0</v>
      </c>
      <c r="L165" s="37">
        <f t="shared" si="10"/>
        <v>1</v>
      </c>
      <c r="M165" s="40" t="str">
        <f t="shared" si="8"/>
        <v>Not Survived</v>
      </c>
      <c r="N165" s="37" t="str">
        <f>_xlfn.XLOOKUP(L165,notes!$B$28:$B$30,notes!$C$28:$C$30,"Unknown",-1)</f>
        <v>Alone</v>
      </c>
      <c r="O165" s="37">
        <v>315093</v>
      </c>
      <c r="P165" s="37">
        <v>8.6625</v>
      </c>
      <c r="Q165" s="37" t="str">
        <f t="shared" si="11"/>
        <v>Low</v>
      </c>
      <c r="R165" s="37" t="s">
        <v>1236</v>
      </c>
      <c r="S165" s="37" t="s">
        <v>15</v>
      </c>
      <c r="T165" s="41" t="str">
        <f t="shared" si="9"/>
        <v>Southampton</v>
      </c>
    </row>
    <row r="166" spans="1:20">
      <c r="A166" s="37">
        <v>165</v>
      </c>
      <c r="B166" s="37">
        <v>0</v>
      </c>
      <c r="C166" s="37">
        <v>3</v>
      </c>
      <c r="D166" s="37" t="s">
        <v>1336</v>
      </c>
      <c r="E166" s="37" t="s">
        <v>1550</v>
      </c>
      <c r="F166" s="37" t="s">
        <v>1253</v>
      </c>
      <c r="G166" s="37" t="str">
        <f>_xlfn.XLOOKUP(F166,notes!$B$12:$B$18,notes!$C$12:$C$18,"Unknown")</f>
        <v>Male</v>
      </c>
      <c r="H166" s="38">
        <v>1</v>
      </c>
      <c r="I166" s="39" t="str">
        <f>_xlfn.XLOOKUP(H166,notes!$B$4:$B$8,notes!$C$4:$C$8,"Invalid",-1)</f>
        <v>Kid</v>
      </c>
      <c r="J166" s="37">
        <v>4</v>
      </c>
      <c r="K166" s="37">
        <v>1</v>
      </c>
      <c r="L166" s="37">
        <f t="shared" si="10"/>
        <v>6</v>
      </c>
      <c r="M166" s="40" t="str">
        <f t="shared" si="8"/>
        <v>Not Survived</v>
      </c>
      <c r="N166" s="37" t="str">
        <f>_xlfn.XLOOKUP(L166,notes!$B$28:$B$30,notes!$C$28:$C$30,"Unknown",-1)</f>
        <v>Large Family</v>
      </c>
      <c r="O166" s="37">
        <v>3101295</v>
      </c>
      <c r="P166" s="37">
        <v>39.6875</v>
      </c>
      <c r="Q166" s="37" t="str">
        <f t="shared" si="11"/>
        <v>Mid</v>
      </c>
      <c r="R166" s="37" t="s">
        <v>1236</v>
      </c>
      <c r="S166" s="37" t="s">
        <v>15</v>
      </c>
      <c r="T166" s="41" t="str">
        <f t="shared" si="9"/>
        <v>Southampton</v>
      </c>
    </row>
    <row r="167" spans="1:20">
      <c r="A167" s="37">
        <v>166</v>
      </c>
      <c r="B167" s="37">
        <v>1</v>
      </c>
      <c r="C167" s="37">
        <v>3</v>
      </c>
      <c r="D167" s="37" t="s">
        <v>1551</v>
      </c>
      <c r="E167" s="37" t="s">
        <v>1552</v>
      </c>
      <c r="F167" s="37" t="s">
        <v>1253</v>
      </c>
      <c r="G167" s="37" t="str">
        <f>_xlfn.XLOOKUP(F167,notes!$B$12:$B$18,notes!$C$12:$C$18,"Unknown")</f>
        <v>Male</v>
      </c>
      <c r="H167" s="38">
        <v>9</v>
      </c>
      <c r="I167" s="39" t="str">
        <f>_xlfn.XLOOKUP(H167,notes!$B$4:$B$8,notes!$C$4:$C$8,"Invalid",-1)</f>
        <v>Kid</v>
      </c>
      <c r="J167" s="37">
        <v>0</v>
      </c>
      <c r="K167" s="37">
        <v>2</v>
      </c>
      <c r="L167" s="37">
        <f t="shared" si="10"/>
        <v>3</v>
      </c>
      <c r="M167" s="40" t="str">
        <f t="shared" si="8"/>
        <v>Survived</v>
      </c>
      <c r="N167" s="37" t="str">
        <f>_xlfn.XLOOKUP(L167,notes!$B$28:$B$30,notes!$C$28:$C$30,"Unknown",-1)</f>
        <v>Small Family</v>
      </c>
      <c r="O167" s="37">
        <v>363291</v>
      </c>
      <c r="P167" s="37">
        <v>20.525</v>
      </c>
      <c r="Q167" s="37" t="str">
        <f t="shared" si="11"/>
        <v>Mid</v>
      </c>
      <c r="R167" s="37" t="s">
        <v>1236</v>
      </c>
      <c r="S167" s="37" t="s">
        <v>15</v>
      </c>
      <c r="T167" s="41" t="str">
        <f t="shared" si="9"/>
        <v>Southampton</v>
      </c>
    </row>
    <row r="168" spans="1:20">
      <c r="A168" s="37">
        <v>167</v>
      </c>
      <c r="B168" s="37">
        <v>1</v>
      </c>
      <c r="C168" s="37">
        <v>1</v>
      </c>
      <c r="D168" s="37" t="s">
        <v>1553</v>
      </c>
      <c r="E168" s="37" t="s">
        <v>1554</v>
      </c>
      <c r="F168" s="37" t="s">
        <v>1239</v>
      </c>
      <c r="G168" s="37" t="str">
        <f>_xlfn.XLOOKUP(F168,notes!$B$12:$B$18,notes!$C$12:$C$18,"Unknown")</f>
        <v>Female</v>
      </c>
      <c r="H168" s="38" t="s">
        <v>1236</v>
      </c>
      <c r="I168" s="39" t="str">
        <f>_xlfn.XLOOKUP(H168,notes!$B$4:$B$8,notes!$C$4:$C$8,"Invalid",-1)</f>
        <v>Unknown</v>
      </c>
      <c r="J168" s="37">
        <v>0</v>
      </c>
      <c r="K168" s="37">
        <v>1</v>
      </c>
      <c r="L168" s="37">
        <f t="shared" si="10"/>
        <v>2</v>
      </c>
      <c r="M168" s="40" t="str">
        <f t="shared" si="8"/>
        <v>Survived</v>
      </c>
      <c r="N168" s="37" t="str">
        <f>_xlfn.XLOOKUP(L168,notes!$B$28:$B$30,notes!$C$28:$C$30,"Unknown",-1)</f>
        <v>Small Family</v>
      </c>
      <c r="O168" s="37">
        <v>113505</v>
      </c>
      <c r="P168" s="37">
        <v>55</v>
      </c>
      <c r="Q168" s="37" t="str">
        <f t="shared" si="11"/>
        <v>High</v>
      </c>
      <c r="R168" s="37" t="s">
        <v>261</v>
      </c>
      <c r="S168" s="37" t="s">
        <v>15</v>
      </c>
      <c r="T168" s="41" t="str">
        <f t="shared" si="9"/>
        <v>Southampton</v>
      </c>
    </row>
    <row r="169" spans="1:20">
      <c r="A169" s="37">
        <v>168</v>
      </c>
      <c r="B169" s="37">
        <v>0</v>
      </c>
      <c r="C169" s="37">
        <v>3</v>
      </c>
      <c r="D169" s="37" t="s">
        <v>1362</v>
      </c>
      <c r="E169" s="37" t="s">
        <v>1555</v>
      </c>
      <c r="F169" s="37" t="s">
        <v>1239</v>
      </c>
      <c r="G169" s="37" t="str">
        <f>_xlfn.XLOOKUP(F169,notes!$B$12:$B$18,notes!$C$12:$C$18,"Unknown")</f>
        <v>Female</v>
      </c>
      <c r="H169" s="38">
        <v>45</v>
      </c>
      <c r="I169" s="39" t="str">
        <f>_xlfn.XLOOKUP(H169,notes!$B$4:$B$8,notes!$C$4:$C$8,"Invalid",-1)</f>
        <v>Adult</v>
      </c>
      <c r="J169" s="37">
        <v>1</v>
      </c>
      <c r="K169" s="37">
        <v>4</v>
      </c>
      <c r="L169" s="37">
        <f t="shared" si="10"/>
        <v>6</v>
      </c>
      <c r="M169" s="40" t="str">
        <f t="shared" si="8"/>
        <v>Not Survived</v>
      </c>
      <c r="N169" s="37" t="str">
        <f>_xlfn.XLOOKUP(L169,notes!$B$28:$B$30,notes!$C$28:$C$30,"Unknown",-1)</f>
        <v>Large Family</v>
      </c>
      <c r="O169" s="37">
        <v>347088</v>
      </c>
      <c r="P169" s="37">
        <v>27.9</v>
      </c>
      <c r="Q169" s="37" t="str">
        <f t="shared" si="11"/>
        <v>Mid</v>
      </c>
      <c r="R169" s="37" t="s">
        <v>1236</v>
      </c>
      <c r="S169" s="37" t="s">
        <v>15</v>
      </c>
      <c r="T169" s="41" t="str">
        <f t="shared" si="9"/>
        <v>Southampton</v>
      </c>
    </row>
    <row r="170" spans="1:20">
      <c r="A170" s="37">
        <v>169</v>
      </c>
      <c r="B170" s="37">
        <v>0</v>
      </c>
      <c r="C170" s="37">
        <v>1</v>
      </c>
      <c r="D170" s="37" t="s">
        <v>1556</v>
      </c>
      <c r="E170" s="37" t="s">
        <v>1557</v>
      </c>
      <c r="F170" s="37" t="s">
        <v>1235</v>
      </c>
      <c r="G170" s="37" t="str">
        <f>_xlfn.XLOOKUP(F170,notes!$B$12:$B$18,notes!$C$12:$C$18,"Unknown")</f>
        <v>Male</v>
      </c>
      <c r="H170" s="38" t="s">
        <v>1236</v>
      </c>
      <c r="I170" s="39" t="str">
        <f>_xlfn.XLOOKUP(H170,notes!$B$4:$B$8,notes!$C$4:$C$8,"Invalid",-1)</f>
        <v>Unknown</v>
      </c>
      <c r="J170" s="37">
        <v>0</v>
      </c>
      <c r="K170" s="37">
        <v>0</v>
      </c>
      <c r="L170" s="37">
        <f t="shared" si="10"/>
        <v>1</v>
      </c>
      <c r="M170" s="40" t="str">
        <f t="shared" si="8"/>
        <v>Not Survived</v>
      </c>
      <c r="N170" s="37" t="str">
        <f>_xlfn.XLOOKUP(L170,notes!$B$28:$B$30,notes!$C$28:$C$30,"Unknown",-1)</f>
        <v>Alone</v>
      </c>
      <c r="O170" s="37" t="s">
        <v>264</v>
      </c>
      <c r="P170" s="37">
        <v>25.925</v>
      </c>
      <c r="Q170" s="37" t="str">
        <f t="shared" si="11"/>
        <v>Mid</v>
      </c>
      <c r="R170" s="37" t="s">
        <v>1236</v>
      </c>
      <c r="S170" s="37" t="s">
        <v>15</v>
      </c>
      <c r="T170" s="41" t="str">
        <f t="shared" si="9"/>
        <v>Southampton</v>
      </c>
    </row>
    <row r="171" spans="1:20">
      <c r="A171" s="37">
        <v>170</v>
      </c>
      <c r="B171" s="37">
        <v>0</v>
      </c>
      <c r="C171" s="37">
        <v>3</v>
      </c>
      <c r="D171" s="37" t="s">
        <v>1558</v>
      </c>
      <c r="E171" s="37" t="s">
        <v>1383</v>
      </c>
      <c r="F171" s="37" t="s">
        <v>1235</v>
      </c>
      <c r="G171" s="37" t="str">
        <f>_xlfn.XLOOKUP(F171,notes!$B$12:$B$18,notes!$C$12:$C$18,"Unknown")</f>
        <v>Male</v>
      </c>
      <c r="H171" s="38">
        <v>28</v>
      </c>
      <c r="I171" s="39" t="str">
        <f>_xlfn.XLOOKUP(H171,notes!$B$4:$B$8,notes!$C$4:$C$8,"Invalid",-1)</f>
        <v>Adult</v>
      </c>
      <c r="J171" s="37">
        <v>0</v>
      </c>
      <c r="K171" s="37">
        <v>0</v>
      </c>
      <c r="L171" s="37">
        <f t="shared" si="10"/>
        <v>1</v>
      </c>
      <c r="M171" s="40" t="str">
        <f t="shared" si="8"/>
        <v>Not Survived</v>
      </c>
      <c r="N171" s="37" t="str">
        <f>_xlfn.XLOOKUP(L171,notes!$B$28:$B$30,notes!$C$28:$C$30,"Unknown",-1)</f>
        <v>Alone</v>
      </c>
      <c r="O171" s="37">
        <v>1601</v>
      </c>
      <c r="P171" s="37">
        <v>56.4958</v>
      </c>
      <c r="Q171" s="37" t="str">
        <f t="shared" si="11"/>
        <v>High</v>
      </c>
      <c r="R171" s="37" t="s">
        <v>1236</v>
      </c>
      <c r="S171" s="37" t="s">
        <v>15</v>
      </c>
      <c r="T171" s="41" t="str">
        <f t="shared" si="9"/>
        <v>Southampton</v>
      </c>
    </row>
    <row r="172" spans="1:20">
      <c r="A172" s="37">
        <v>171</v>
      </c>
      <c r="B172" s="37">
        <v>0</v>
      </c>
      <c r="C172" s="37">
        <v>1</v>
      </c>
      <c r="D172" s="37" t="s">
        <v>1559</v>
      </c>
      <c r="E172" s="37" t="s">
        <v>1560</v>
      </c>
      <c r="F172" s="37" t="s">
        <v>1235</v>
      </c>
      <c r="G172" s="37" t="str">
        <f>_xlfn.XLOOKUP(F172,notes!$B$12:$B$18,notes!$C$12:$C$18,"Unknown")</f>
        <v>Male</v>
      </c>
      <c r="H172" s="38">
        <v>61</v>
      </c>
      <c r="I172" s="39" t="str">
        <f>_xlfn.XLOOKUP(H172,notes!$B$4:$B$8,notes!$C$4:$C$8,"Invalid",-1)</f>
        <v>Elderly</v>
      </c>
      <c r="J172" s="37">
        <v>0</v>
      </c>
      <c r="K172" s="37">
        <v>0</v>
      </c>
      <c r="L172" s="37">
        <f t="shared" si="10"/>
        <v>1</v>
      </c>
      <c r="M172" s="40" t="str">
        <f t="shared" si="8"/>
        <v>Not Survived</v>
      </c>
      <c r="N172" s="37" t="str">
        <f>_xlfn.XLOOKUP(L172,notes!$B$28:$B$30,notes!$C$28:$C$30,"Unknown",-1)</f>
        <v>Alone</v>
      </c>
      <c r="O172" s="37">
        <v>111240</v>
      </c>
      <c r="P172" s="37">
        <v>33.5</v>
      </c>
      <c r="Q172" s="37" t="str">
        <f t="shared" si="11"/>
        <v>Mid</v>
      </c>
      <c r="R172" s="37" t="s">
        <v>267</v>
      </c>
      <c r="S172" s="37" t="s">
        <v>15</v>
      </c>
      <c r="T172" s="41" t="str">
        <f t="shared" si="9"/>
        <v>Southampton</v>
      </c>
    </row>
    <row r="173" spans="1:20">
      <c r="A173" s="37">
        <v>172</v>
      </c>
      <c r="B173" s="37">
        <v>0</v>
      </c>
      <c r="C173" s="37">
        <v>3</v>
      </c>
      <c r="D173" s="37" t="s">
        <v>1269</v>
      </c>
      <c r="E173" s="37" t="s">
        <v>1561</v>
      </c>
      <c r="F173" s="37" t="s">
        <v>1253</v>
      </c>
      <c r="G173" s="37" t="str">
        <f>_xlfn.XLOOKUP(F173,notes!$B$12:$B$18,notes!$C$12:$C$18,"Unknown")</f>
        <v>Male</v>
      </c>
      <c r="H173" s="38">
        <v>4</v>
      </c>
      <c r="I173" s="39" t="str">
        <f>_xlfn.XLOOKUP(H173,notes!$B$4:$B$8,notes!$C$4:$C$8,"Invalid",-1)</f>
        <v>Kid</v>
      </c>
      <c r="J173" s="37">
        <v>4</v>
      </c>
      <c r="K173" s="37">
        <v>1</v>
      </c>
      <c r="L173" s="37">
        <f t="shared" si="10"/>
        <v>6</v>
      </c>
      <c r="M173" s="40" t="str">
        <f t="shared" si="8"/>
        <v>Not Survived</v>
      </c>
      <c r="N173" s="37" t="str">
        <f>_xlfn.XLOOKUP(L173,notes!$B$28:$B$30,notes!$C$28:$C$30,"Unknown",-1)</f>
        <v>Large Family</v>
      </c>
      <c r="O173" s="37">
        <v>382652</v>
      </c>
      <c r="P173" s="37">
        <v>29.125</v>
      </c>
      <c r="Q173" s="37" t="str">
        <f t="shared" si="11"/>
        <v>Mid</v>
      </c>
      <c r="R173" s="37" t="s">
        <v>1236</v>
      </c>
      <c r="S173" s="37" t="s">
        <v>28</v>
      </c>
      <c r="T173" s="41" t="str">
        <f t="shared" si="9"/>
        <v>Queenstown</v>
      </c>
    </row>
    <row r="174" spans="1:20">
      <c r="A174" s="37">
        <v>173</v>
      </c>
      <c r="B174" s="37">
        <v>1</v>
      </c>
      <c r="C174" s="37">
        <v>3</v>
      </c>
      <c r="D174" s="37" t="s">
        <v>1254</v>
      </c>
      <c r="E174" s="37" t="s">
        <v>1562</v>
      </c>
      <c r="F174" s="37" t="s">
        <v>1242</v>
      </c>
      <c r="G174" s="37" t="str">
        <f>_xlfn.XLOOKUP(F174,notes!$B$12:$B$18,notes!$C$12:$C$18,"Unknown")</f>
        <v>Female</v>
      </c>
      <c r="H174" s="38">
        <v>1</v>
      </c>
      <c r="I174" s="39" t="str">
        <f>_xlfn.XLOOKUP(H174,notes!$B$4:$B$8,notes!$C$4:$C$8,"Invalid",-1)</f>
        <v>Kid</v>
      </c>
      <c r="J174" s="37">
        <v>1</v>
      </c>
      <c r="K174" s="37">
        <v>1</v>
      </c>
      <c r="L174" s="37">
        <f t="shared" si="10"/>
        <v>3</v>
      </c>
      <c r="M174" s="40" t="str">
        <f t="shared" si="8"/>
        <v>Survived</v>
      </c>
      <c r="N174" s="37" t="str">
        <f>_xlfn.XLOOKUP(L174,notes!$B$28:$B$30,notes!$C$28:$C$30,"Unknown",-1)</f>
        <v>Small Family</v>
      </c>
      <c r="O174" s="37">
        <v>347742</v>
      </c>
      <c r="P174" s="37">
        <v>11.1333</v>
      </c>
      <c r="Q174" s="37" t="str">
        <f t="shared" si="11"/>
        <v>Mid</v>
      </c>
      <c r="R174" s="37" t="s">
        <v>1236</v>
      </c>
      <c r="S174" s="37" t="s">
        <v>15</v>
      </c>
      <c r="T174" s="41" t="str">
        <f t="shared" si="9"/>
        <v>Southampton</v>
      </c>
    </row>
    <row r="175" spans="1:20">
      <c r="A175" s="37">
        <v>174</v>
      </c>
      <c r="B175" s="37">
        <v>0</v>
      </c>
      <c r="C175" s="37">
        <v>3</v>
      </c>
      <c r="D175" s="37" t="s">
        <v>1563</v>
      </c>
      <c r="E175" s="37" t="s">
        <v>1564</v>
      </c>
      <c r="F175" s="37" t="s">
        <v>1235</v>
      </c>
      <c r="G175" s="37" t="str">
        <f>_xlfn.XLOOKUP(F175,notes!$B$12:$B$18,notes!$C$12:$C$18,"Unknown")</f>
        <v>Male</v>
      </c>
      <c r="H175" s="38">
        <v>21</v>
      </c>
      <c r="I175" s="39" t="str">
        <f>_xlfn.XLOOKUP(H175,notes!$B$4:$B$8,notes!$C$4:$C$8,"Invalid",-1)</f>
        <v>Adult</v>
      </c>
      <c r="J175" s="37">
        <v>0</v>
      </c>
      <c r="K175" s="37">
        <v>0</v>
      </c>
      <c r="L175" s="37">
        <f t="shared" si="10"/>
        <v>1</v>
      </c>
      <c r="M175" s="40" t="str">
        <f t="shared" si="8"/>
        <v>Not Survived</v>
      </c>
      <c r="N175" s="37" t="str">
        <f>_xlfn.XLOOKUP(L175,notes!$B$28:$B$30,notes!$C$28:$C$30,"Unknown",-1)</f>
        <v>Alone</v>
      </c>
      <c r="O175" s="37" t="s">
        <v>271</v>
      </c>
      <c r="P175" s="37">
        <v>7.925</v>
      </c>
      <c r="Q175" s="37" t="str">
        <f t="shared" si="11"/>
        <v>Low</v>
      </c>
      <c r="R175" s="37" t="s">
        <v>1236</v>
      </c>
      <c r="S175" s="37" t="s">
        <v>15</v>
      </c>
      <c r="T175" s="41" t="str">
        <f t="shared" si="9"/>
        <v>Southampton</v>
      </c>
    </row>
    <row r="176" spans="1:20">
      <c r="A176" s="37">
        <v>175</v>
      </c>
      <c r="B176" s="37">
        <v>0</v>
      </c>
      <c r="C176" s="37">
        <v>1</v>
      </c>
      <c r="D176" s="37" t="s">
        <v>1565</v>
      </c>
      <c r="E176" s="37" t="s">
        <v>1566</v>
      </c>
      <c r="F176" s="37" t="s">
        <v>1235</v>
      </c>
      <c r="G176" s="37" t="str">
        <f>_xlfn.XLOOKUP(F176,notes!$B$12:$B$18,notes!$C$12:$C$18,"Unknown")</f>
        <v>Male</v>
      </c>
      <c r="H176" s="38">
        <v>56</v>
      </c>
      <c r="I176" s="39" t="str">
        <f>_xlfn.XLOOKUP(H176,notes!$B$4:$B$8,notes!$C$4:$C$8,"Invalid",-1)</f>
        <v>Adult</v>
      </c>
      <c r="J176" s="37">
        <v>0</v>
      </c>
      <c r="K176" s="37">
        <v>0</v>
      </c>
      <c r="L176" s="37">
        <f t="shared" si="10"/>
        <v>1</v>
      </c>
      <c r="M176" s="40" t="str">
        <f t="shared" si="8"/>
        <v>Not Survived</v>
      </c>
      <c r="N176" s="37" t="str">
        <f>_xlfn.XLOOKUP(L176,notes!$B$28:$B$30,notes!$C$28:$C$30,"Unknown",-1)</f>
        <v>Alone</v>
      </c>
      <c r="O176" s="37">
        <v>17764</v>
      </c>
      <c r="P176" s="37">
        <v>30.6958</v>
      </c>
      <c r="Q176" s="37" t="str">
        <f t="shared" si="11"/>
        <v>Mid</v>
      </c>
      <c r="R176" s="37" t="s">
        <v>273</v>
      </c>
      <c r="S176" s="37" t="s">
        <v>20</v>
      </c>
      <c r="T176" s="41" t="str">
        <f t="shared" si="9"/>
        <v>Cherbourg</v>
      </c>
    </row>
    <row r="177" spans="1:20">
      <c r="A177" s="37">
        <v>176</v>
      </c>
      <c r="B177" s="37">
        <v>0</v>
      </c>
      <c r="C177" s="37">
        <v>3</v>
      </c>
      <c r="D177" s="37" t="s">
        <v>1567</v>
      </c>
      <c r="E177" s="37" t="s">
        <v>1568</v>
      </c>
      <c r="F177" s="37" t="s">
        <v>1235</v>
      </c>
      <c r="G177" s="37" t="str">
        <f>_xlfn.XLOOKUP(F177,notes!$B$12:$B$18,notes!$C$12:$C$18,"Unknown")</f>
        <v>Male</v>
      </c>
      <c r="H177" s="38">
        <v>18</v>
      </c>
      <c r="I177" s="39" t="str">
        <f>_xlfn.XLOOKUP(H177,notes!$B$4:$B$8,notes!$C$4:$C$8,"Invalid",-1)</f>
        <v>Teenager</v>
      </c>
      <c r="J177" s="37">
        <v>1</v>
      </c>
      <c r="K177" s="37">
        <v>1</v>
      </c>
      <c r="L177" s="37">
        <f t="shared" si="10"/>
        <v>3</v>
      </c>
      <c r="M177" s="40" t="str">
        <f t="shared" si="8"/>
        <v>Not Survived</v>
      </c>
      <c r="N177" s="37" t="str">
        <f>_xlfn.XLOOKUP(L177,notes!$B$28:$B$30,notes!$C$28:$C$30,"Unknown",-1)</f>
        <v>Small Family</v>
      </c>
      <c r="O177" s="37">
        <v>350404</v>
      </c>
      <c r="P177" s="37">
        <v>7.8542</v>
      </c>
      <c r="Q177" s="37" t="str">
        <f t="shared" si="11"/>
        <v>Low</v>
      </c>
      <c r="R177" s="37" t="s">
        <v>1236</v>
      </c>
      <c r="S177" s="37" t="s">
        <v>15</v>
      </c>
      <c r="T177" s="41" t="str">
        <f t="shared" si="9"/>
        <v>Southampton</v>
      </c>
    </row>
    <row r="178" spans="1:20">
      <c r="A178" s="37">
        <v>177</v>
      </c>
      <c r="B178" s="37">
        <v>0</v>
      </c>
      <c r="C178" s="37">
        <v>3</v>
      </c>
      <c r="D178" s="37" t="s">
        <v>1569</v>
      </c>
      <c r="E178" s="37" t="s">
        <v>1570</v>
      </c>
      <c r="F178" s="37" t="s">
        <v>1253</v>
      </c>
      <c r="G178" s="37" t="str">
        <f>_xlfn.XLOOKUP(F178,notes!$B$12:$B$18,notes!$C$12:$C$18,"Unknown")</f>
        <v>Male</v>
      </c>
      <c r="H178" s="38" t="s">
        <v>1236</v>
      </c>
      <c r="I178" s="39" t="str">
        <f>_xlfn.XLOOKUP(H178,notes!$B$4:$B$8,notes!$C$4:$C$8,"Invalid",-1)</f>
        <v>Unknown</v>
      </c>
      <c r="J178" s="37">
        <v>3</v>
      </c>
      <c r="K178" s="37">
        <v>1</v>
      </c>
      <c r="L178" s="37">
        <f t="shared" si="10"/>
        <v>5</v>
      </c>
      <c r="M178" s="40" t="str">
        <f t="shared" si="8"/>
        <v>Not Survived</v>
      </c>
      <c r="N178" s="37" t="str">
        <f>_xlfn.XLOOKUP(L178,notes!$B$28:$B$30,notes!$C$28:$C$30,"Unknown",-1)</f>
        <v>Large Family</v>
      </c>
      <c r="O178" s="37">
        <v>4133</v>
      </c>
      <c r="P178" s="37">
        <v>25.4667</v>
      </c>
      <c r="Q178" s="37" t="str">
        <f t="shared" si="11"/>
        <v>Mid</v>
      </c>
      <c r="R178" s="37" t="s">
        <v>1236</v>
      </c>
      <c r="S178" s="37" t="s">
        <v>15</v>
      </c>
      <c r="T178" s="41" t="str">
        <f t="shared" si="9"/>
        <v>Southampton</v>
      </c>
    </row>
    <row r="179" spans="1:20">
      <c r="A179" s="37">
        <v>178</v>
      </c>
      <c r="B179" s="37">
        <v>0</v>
      </c>
      <c r="C179" s="37">
        <v>1</v>
      </c>
      <c r="D179" s="37" t="s">
        <v>1571</v>
      </c>
      <c r="E179" s="37" t="s">
        <v>1572</v>
      </c>
      <c r="F179" s="37" t="s">
        <v>1242</v>
      </c>
      <c r="G179" s="37" t="str">
        <f>_xlfn.XLOOKUP(F179,notes!$B$12:$B$18,notes!$C$12:$C$18,"Unknown")</f>
        <v>Female</v>
      </c>
      <c r="H179" s="38">
        <v>50</v>
      </c>
      <c r="I179" s="39" t="str">
        <f>_xlfn.XLOOKUP(H179,notes!$B$4:$B$8,notes!$C$4:$C$8,"Invalid",-1)</f>
        <v>Adult</v>
      </c>
      <c r="J179" s="37">
        <v>0</v>
      </c>
      <c r="K179" s="37">
        <v>0</v>
      </c>
      <c r="L179" s="37">
        <f t="shared" si="10"/>
        <v>1</v>
      </c>
      <c r="M179" s="40" t="str">
        <f t="shared" si="8"/>
        <v>Not Survived</v>
      </c>
      <c r="N179" s="37" t="str">
        <f>_xlfn.XLOOKUP(L179,notes!$B$28:$B$30,notes!$C$28:$C$30,"Unknown",-1)</f>
        <v>Alone</v>
      </c>
      <c r="O179" s="37" t="s">
        <v>277</v>
      </c>
      <c r="P179" s="37">
        <v>28.7125</v>
      </c>
      <c r="Q179" s="37" t="str">
        <f t="shared" si="11"/>
        <v>Mid</v>
      </c>
      <c r="R179" s="37" t="s">
        <v>278</v>
      </c>
      <c r="S179" s="37" t="s">
        <v>20</v>
      </c>
      <c r="T179" s="41" t="str">
        <f t="shared" si="9"/>
        <v>Cherbourg</v>
      </c>
    </row>
    <row r="180" spans="1:20">
      <c r="A180" s="37">
        <v>179</v>
      </c>
      <c r="B180" s="37">
        <v>0</v>
      </c>
      <c r="C180" s="37">
        <v>2</v>
      </c>
      <c r="D180" s="37" t="s">
        <v>1573</v>
      </c>
      <c r="E180" s="37" t="s">
        <v>1574</v>
      </c>
      <c r="F180" s="37" t="s">
        <v>1235</v>
      </c>
      <c r="G180" s="37" t="str">
        <f>_xlfn.XLOOKUP(F180,notes!$B$12:$B$18,notes!$C$12:$C$18,"Unknown")</f>
        <v>Male</v>
      </c>
      <c r="H180" s="38">
        <v>30</v>
      </c>
      <c r="I180" s="39" t="str">
        <f>_xlfn.XLOOKUP(H180,notes!$B$4:$B$8,notes!$C$4:$C$8,"Invalid",-1)</f>
        <v>Adult</v>
      </c>
      <c r="J180" s="37">
        <v>0</v>
      </c>
      <c r="K180" s="37">
        <v>0</v>
      </c>
      <c r="L180" s="37">
        <f t="shared" si="10"/>
        <v>1</v>
      </c>
      <c r="M180" s="40" t="str">
        <f t="shared" si="8"/>
        <v>Not Survived</v>
      </c>
      <c r="N180" s="37" t="str">
        <f>_xlfn.XLOOKUP(L180,notes!$B$28:$B$30,notes!$C$28:$C$30,"Unknown",-1)</f>
        <v>Alone</v>
      </c>
      <c r="O180" s="37">
        <v>250653</v>
      </c>
      <c r="P180" s="37">
        <v>13</v>
      </c>
      <c r="Q180" s="37" t="str">
        <f t="shared" si="11"/>
        <v>Mid</v>
      </c>
      <c r="R180" s="37" t="s">
        <v>1236</v>
      </c>
      <c r="S180" s="37" t="s">
        <v>15</v>
      </c>
      <c r="T180" s="41" t="str">
        <f t="shared" si="9"/>
        <v>Southampton</v>
      </c>
    </row>
    <row r="181" spans="1:20">
      <c r="A181" s="37">
        <v>180</v>
      </c>
      <c r="B181" s="37">
        <v>0</v>
      </c>
      <c r="C181" s="37">
        <v>3</v>
      </c>
      <c r="D181" s="37" t="s">
        <v>1575</v>
      </c>
      <c r="E181" s="37" t="s">
        <v>1576</v>
      </c>
      <c r="F181" s="37" t="s">
        <v>1235</v>
      </c>
      <c r="G181" s="37" t="str">
        <f>_xlfn.XLOOKUP(F181,notes!$B$12:$B$18,notes!$C$12:$C$18,"Unknown")</f>
        <v>Male</v>
      </c>
      <c r="H181" s="38">
        <v>36</v>
      </c>
      <c r="I181" s="39" t="str">
        <f>_xlfn.XLOOKUP(H181,notes!$B$4:$B$8,notes!$C$4:$C$8,"Invalid",-1)</f>
        <v>Adult</v>
      </c>
      <c r="J181" s="37">
        <v>0</v>
      </c>
      <c r="K181" s="37">
        <v>0</v>
      </c>
      <c r="L181" s="37">
        <f t="shared" si="10"/>
        <v>1</v>
      </c>
      <c r="M181" s="40" t="str">
        <f t="shared" si="8"/>
        <v>Not Survived</v>
      </c>
      <c r="N181" s="37" t="str">
        <f>_xlfn.XLOOKUP(L181,notes!$B$28:$B$30,notes!$C$28:$C$30,"Unknown",-1)</f>
        <v>Alone</v>
      </c>
      <c r="O181" s="37" t="s">
        <v>281</v>
      </c>
      <c r="P181" s="37">
        <v>0</v>
      </c>
      <c r="Q181" s="37" t="str">
        <f t="shared" si="11"/>
        <v>Low</v>
      </c>
      <c r="R181" s="37" t="s">
        <v>1236</v>
      </c>
      <c r="S181" s="37" t="s">
        <v>15</v>
      </c>
      <c r="T181" s="41" t="str">
        <f t="shared" si="9"/>
        <v>Southampton</v>
      </c>
    </row>
    <row r="182" spans="1:20">
      <c r="A182" s="37">
        <v>181</v>
      </c>
      <c r="B182" s="37">
        <v>0</v>
      </c>
      <c r="C182" s="37">
        <v>3</v>
      </c>
      <c r="D182" s="37" t="s">
        <v>1540</v>
      </c>
      <c r="E182" s="37" t="s">
        <v>1577</v>
      </c>
      <c r="F182" s="37" t="s">
        <v>1242</v>
      </c>
      <c r="G182" s="37" t="str">
        <f>_xlfn.XLOOKUP(F182,notes!$B$12:$B$18,notes!$C$12:$C$18,"Unknown")</f>
        <v>Female</v>
      </c>
      <c r="H182" s="38" t="s">
        <v>1236</v>
      </c>
      <c r="I182" s="39" t="str">
        <f>_xlfn.XLOOKUP(H182,notes!$B$4:$B$8,notes!$C$4:$C$8,"Invalid",-1)</f>
        <v>Unknown</v>
      </c>
      <c r="J182" s="37">
        <v>8</v>
      </c>
      <c r="K182" s="37">
        <v>2</v>
      </c>
      <c r="L182" s="37">
        <f t="shared" si="10"/>
        <v>11</v>
      </c>
      <c r="M182" s="40" t="str">
        <f t="shared" si="8"/>
        <v>Not Survived</v>
      </c>
      <c r="N182" s="37" t="str">
        <f>_xlfn.XLOOKUP(L182,notes!$B$28:$B$30,notes!$C$28:$C$30,"Unknown",-1)</f>
        <v>Large Family</v>
      </c>
      <c r="O182" s="37" t="s">
        <v>252</v>
      </c>
      <c r="P182" s="37">
        <v>69.55</v>
      </c>
      <c r="Q182" s="37" t="str">
        <f t="shared" si="11"/>
        <v>High</v>
      </c>
      <c r="R182" s="37" t="s">
        <v>1236</v>
      </c>
      <c r="S182" s="37" t="s">
        <v>15</v>
      </c>
      <c r="T182" s="41" t="str">
        <f t="shared" si="9"/>
        <v>Southampton</v>
      </c>
    </row>
    <row r="183" spans="1:20">
      <c r="A183" s="37">
        <v>182</v>
      </c>
      <c r="B183" s="37">
        <v>0</v>
      </c>
      <c r="C183" s="37">
        <v>2</v>
      </c>
      <c r="D183" s="37" t="s">
        <v>1578</v>
      </c>
      <c r="E183" s="37" t="s">
        <v>1579</v>
      </c>
      <c r="F183" s="37" t="s">
        <v>1235</v>
      </c>
      <c r="G183" s="37" t="str">
        <f>_xlfn.XLOOKUP(F183,notes!$B$12:$B$18,notes!$C$12:$C$18,"Unknown")</f>
        <v>Male</v>
      </c>
      <c r="H183" s="38" t="s">
        <v>1236</v>
      </c>
      <c r="I183" s="39" t="str">
        <f>_xlfn.XLOOKUP(H183,notes!$B$4:$B$8,notes!$C$4:$C$8,"Invalid",-1)</f>
        <v>Unknown</v>
      </c>
      <c r="J183" s="37">
        <v>0</v>
      </c>
      <c r="K183" s="37">
        <v>0</v>
      </c>
      <c r="L183" s="37">
        <f t="shared" si="10"/>
        <v>1</v>
      </c>
      <c r="M183" s="40" t="str">
        <f t="shared" si="8"/>
        <v>Not Survived</v>
      </c>
      <c r="N183" s="37" t="str">
        <f>_xlfn.XLOOKUP(L183,notes!$B$28:$B$30,notes!$C$28:$C$30,"Unknown",-1)</f>
        <v>Alone</v>
      </c>
      <c r="O183" s="37" t="s">
        <v>284</v>
      </c>
      <c r="P183" s="37">
        <v>15.05</v>
      </c>
      <c r="Q183" s="37" t="str">
        <f t="shared" si="11"/>
        <v>Mid</v>
      </c>
      <c r="R183" s="37" t="s">
        <v>1236</v>
      </c>
      <c r="S183" s="37" t="s">
        <v>20</v>
      </c>
      <c r="T183" s="41" t="str">
        <f t="shared" si="9"/>
        <v>Cherbourg</v>
      </c>
    </row>
    <row r="184" spans="1:20">
      <c r="A184" s="37">
        <v>183</v>
      </c>
      <c r="B184" s="37">
        <v>0</v>
      </c>
      <c r="C184" s="37">
        <v>3</v>
      </c>
      <c r="D184" s="37" t="s">
        <v>1286</v>
      </c>
      <c r="E184" s="37" t="s">
        <v>1580</v>
      </c>
      <c r="F184" s="37" t="s">
        <v>1253</v>
      </c>
      <c r="G184" s="37" t="str">
        <f>_xlfn.XLOOKUP(F184,notes!$B$12:$B$18,notes!$C$12:$C$18,"Unknown")</f>
        <v>Male</v>
      </c>
      <c r="H184" s="38">
        <v>9</v>
      </c>
      <c r="I184" s="39" t="str">
        <f>_xlfn.XLOOKUP(H184,notes!$B$4:$B$8,notes!$C$4:$C$8,"Invalid",-1)</f>
        <v>Kid</v>
      </c>
      <c r="J184" s="37">
        <v>4</v>
      </c>
      <c r="K184" s="37">
        <v>2</v>
      </c>
      <c r="L184" s="37">
        <f t="shared" si="10"/>
        <v>7</v>
      </c>
      <c r="M184" s="40" t="str">
        <f t="shared" si="8"/>
        <v>Not Survived</v>
      </c>
      <c r="N184" s="37" t="str">
        <f>_xlfn.XLOOKUP(L184,notes!$B$28:$B$30,notes!$C$28:$C$30,"Unknown",-1)</f>
        <v>Large Family</v>
      </c>
      <c r="O184" s="37">
        <v>347077</v>
      </c>
      <c r="P184" s="37">
        <v>31.3875</v>
      </c>
      <c r="Q184" s="37" t="str">
        <f t="shared" si="11"/>
        <v>Mid</v>
      </c>
      <c r="R184" s="37" t="s">
        <v>1236</v>
      </c>
      <c r="S184" s="37" t="s">
        <v>15</v>
      </c>
      <c r="T184" s="41" t="str">
        <f t="shared" si="9"/>
        <v>Southampton</v>
      </c>
    </row>
    <row r="185" spans="1:20">
      <c r="A185" s="37">
        <v>184</v>
      </c>
      <c r="B185" s="37">
        <v>1</v>
      </c>
      <c r="C185" s="37">
        <v>2</v>
      </c>
      <c r="D185" s="37" t="s">
        <v>1581</v>
      </c>
      <c r="E185" s="37" t="s">
        <v>1582</v>
      </c>
      <c r="F185" s="37" t="s">
        <v>1253</v>
      </c>
      <c r="G185" s="37" t="str">
        <f>_xlfn.XLOOKUP(F185,notes!$B$12:$B$18,notes!$C$12:$C$18,"Unknown")</f>
        <v>Male</v>
      </c>
      <c r="H185" s="38">
        <v>1</v>
      </c>
      <c r="I185" s="39" t="str">
        <f>_xlfn.XLOOKUP(H185,notes!$B$4:$B$8,notes!$C$4:$C$8,"Invalid",-1)</f>
        <v>Kid</v>
      </c>
      <c r="J185" s="37">
        <v>2</v>
      </c>
      <c r="K185" s="37">
        <v>1</v>
      </c>
      <c r="L185" s="37">
        <f t="shared" si="10"/>
        <v>4</v>
      </c>
      <c r="M185" s="40" t="str">
        <f t="shared" si="8"/>
        <v>Survived</v>
      </c>
      <c r="N185" s="37" t="str">
        <f>_xlfn.XLOOKUP(L185,notes!$B$28:$B$30,notes!$C$28:$C$30,"Unknown",-1)</f>
        <v>Large Family</v>
      </c>
      <c r="O185" s="37">
        <v>230136</v>
      </c>
      <c r="P185" s="37">
        <v>39</v>
      </c>
      <c r="Q185" s="37" t="str">
        <f t="shared" si="11"/>
        <v>Mid</v>
      </c>
      <c r="R185" s="37" t="s">
        <v>287</v>
      </c>
      <c r="S185" s="37" t="s">
        <v>15</v>
      </c>
      <c r="T185" s="41" t="str">
        <f t="shared" si="9"/>
        <v>Southampton</v>
      </c>
    </row>
    <row r="186" spans="1:20">
      <c r="A186" s="37">
        <v>185</v>
      </c>
      <c r="B186" s="37">
        <v>1</v>
      </c>
      <c r="C186" s="37">
        <v>3</v>
      </c>
      <c r="D186" s="37" t="s">
        <v>1583</v>
      </c>
      <c r="E186" s="37" t="s">
        <v>1584</v>
      </c>
      <c r="F186" s="37" t="s">
        <v>1242</v>
      </c>
      <c r="G186" s="37" t="str">
        <f>_xlfn.XLOOKUP(F186,notes!$B$12:$B$18,notes!$C$12:$C$18,"Unknown")</f>
        <v>Female</v>
      </c>
      <c r="H186" s="38">
        <v>4</v>
      </c>
      <c r="I186" s="39" t="str">
        <f>_xlfn.XLOOKUP(H186,notes!$B$4:$B$8,notes!$C$4:$C$8,"Invalid",-1)</f>
        <v>Kid</v>
      </c>
      <c r="J186" s="37">
        <v>0</v>
      </c>
      <c r="K186" s="37">
        <v>2</v>
      </c>
      <c r="L186" s="37">
        <f t="shared" si="10"/>
        <v>3</v>
      </c>
      <c r="M186" s="40" t="str">
        <f t="shared" si="8"/>
        <v>Survived</v>
      </c>
      <c r="N186" s="37" t="str">
        <f>_xlfn.XLOOKUP(L186,notes!$B$28:$B$30,notes!$C$28:$C$30,"Unknown",-1)</f>
        <v>Small Family</v>
      </c>
      <c r="O186" s="37">
        <v>315153</v>
      </c>
      <c r="P186" s="37">
        <v>22.025</v>
      </c>
      <c r="Q186" s="37" t="str">
        <f t="shared" si="11"/>
        <v>Mid</v>
      </c>
      <c r="R186" s="37" t="s">
        <v>1236</v>
      </c>
      <c r="S186" s="37" t="s">
        <v>15</v>
      </c>
      <c r="T186" s="41" t="str">
        <f t="shared" si="9"/>
        <v>Southampton</v>
      </c>
    </row>
    <row r="187" spans="1:20">
      <c r="A187" s="37">
        <v>186</v>
      </c>
      <c r="B187" s="37">
        <v>0</v>
      </c>
      <c r="C187" s="37">
        <v>1</v>
      </c>
      <c r="D187" s="37" t="s">
        <v>1585</v>
      </c>
      <c r="E187" s="37" t="s">
        <v>1586</v>
      </c>
      <c r="F187" s="37" t="s">
        <v>1235</v>
      </c>
      <c r="G187" s="37" t="str">
        <f>_xlfn.XLOOKUP(F187,notes!$B$12:$B$18,notes!$C$12:$C$18,"Unknown")</f>
        <v>Male</v>
      </c>
      <c r="H187" s="38" t="s">
        <v>1236</v>
      </c>
      <c r="I187" s="39" t="str">
        <f>_xlfn.XLOOKUP(H187,notes!$B$4:$B$8,notes!$C$4:$C$8,"Invalid",-1)</f>
        <v>Unknown</v>
      </c>
      <c r="J187" s="37">
        <v>0</v>
      </c>
      <c r="K187" s="37">
        <v>0</v>
      </c>
      <c r="L187" s="37">
        <f t="shared" si="10"/>
        <v>1</v>
      </c>
      <c r="M187" s="40" t="str">
        <f t="shared" si="8"/>
        <v>Not Survived</v>
      </c>
      <c r="N187" s="37" t="str">
        <f>_xlfn.XLOOKUP(L187,notes!$B$28:$B$30,notes!$C$28:$C$30,"Unknown",-1)</f>
        <v>Alone</v>
      </c>
      <c r="O187" s="37">
        <v>113767</v>
      </c>
      <c r="P187" s="37">
        <v>50</v>
      </c>
      <c r="Q187" s="37" t="str">
        <f t="shared" si="11"/>
        <v>High</v>
      </c>
      <c r="R187" s="37" t="s">
        <v>290</v>
      </c>
      <c r="S187" s="37" t="s">
        <v>15</v>
      </c>
      <c r="T187" s="41" t="str">
        <f t="shared" si="9"/>
        <v>Southampton</v>
      </c>
    </row>
    <row r="188" spans="1:20">
      <c r="A188" s="37">
        <v>187</v>
      </c>
      <c r="B188" s="37">
        <v>1</v>
      </c>
      <c r="C188" s="37">
        <v>3</v>
      </c>
      <c r="D188" s="37" t="s">
        <v>1587</v>
      </c>
      <c r="E188" s="37" t="s">
        <v>1588</v>
      </c>
      <c r="F188" s="37" t="s">
        <v>1239</v>
      </c>
      <c r="G188" s="37" t="str">
        <f>_xlfn.XLOOKUP(F188,notes!$B$12:$B$18,notes!$C$12:$C$18,"Unknown")</f>
        <v>Female</v>
      </c>
      <c r="H188" s="38" t="s">
        <v>1236</v>
      </c>
      <c r="I188" s="39" t="str">
        <f>_xlfn.XLOOKUP(H188,notes!$B$4:$B$8,notes!$C$4:$C$8,"Invalid",-1)</f>
        <v>Unknown</v>
      </c>
      <c r="J188" s="37">
        <v>1</v>
      </c>
      <c r="K188" s="37">
        <v>0</v>
      </c>
      <c r="L188" s="37">
        <f t="shared" si="10"/>
        <v>2</v>
      </c>
      <c r="M188" s="40" t="str">
        <f t="shared" si="8"/>
        <v>Survived</v>
      </c>
      <c r="N188" s="37" t="str">
        <f>_xlfn.XLOOKUP(L188,notes!$B$28:$B$30,notes!$C$28:$C$30,"Unknown",-1)</f>
        <v>Small Family</v>
      </c>
      <c r="O188" s="37">
        <v>370365</v>
      </c>
      <c r="P188" s="37">
        <v>15.5</v>
      </c>
      <c r="Q188" s="37" t="str">
        <f t="shared" si="11"/>
        <v>Mid</v>
      </c>
      <c r="R188" s="37" t="s">
        <v>1236</v>
      </c>
      <c r="S188" s="37" t="s">
        <v>28</v>
      </c>
      <c r="T188" s="41" t="str">
        <f t="shared" si="9"/>
        <v>Queenstown</v>
      </c>
    </row>
    <row r="189" spans="1:20">
      <c r="A189" s="37">
        <v>188</v>
      </c>
      <c r="B189" s="37">
        <v>1</v>
      </c>
      <c r="C189" s="37">
        <v>1</v>
      </c>
      <c r="D189" s="37" t="s">
        <v>1589</v>
      </c>
      <c r="E189" s="37" t="s">
        <v>1590</v>
      </c>
      <c r="F189" s="37" t="s">
        <v>1235</v>
      </c>
      <c r="G189" s="37" t="str">
        <f>_xlfn.XLOOKUP(F189,notes!$B$12:$B$18,notes!$C$12:$C$18,"Unknown")</f>
        <v>Male</v>
      </c>
      <c r="H189" s="38">
        <v>45</v>
      </c>
      <c r="I189" s="39" t="str">
        <f>_xlfn.XLOOKUP(H189,notes!$B$4:$B$8,notes!$C$4:$C$8,"Invalid",-1)</f>
        <v>Adult</v>
      </c>
      <c r="J189" s="37">
        <v>0</v>
      </c>
      <c r="K189" s="37">
        <v>0</v>
      </c>
      <c r="L189" s="37">
        <f t="shared" si="10"/>
        <v>1</v>
      </c>
      <c r="M189" s="40" t="str">
        <f t="shared" si="8"/>
        <v>Survived</v>
      </c>
      <c r="N189" s="37" t="str">
        <f>_xlfn.XLOOKUP(L189,notes!$B$28:$B$30,notes!$C$28:$C$30,"Unknown",-1)</f>
        <v>Alone</v>
      </c>
      <c r="O189" s="37">
        <v>111428</v>
      </c>
      <c r="P189" s="37">
        <v>26.55</v>
      </c>
      <c r="Q189" s="37" t="str">
        <f t="shared" si="11"/>
        <v>Mid</v>
      </c>
      <c r="R189" s="37" t="s">
        <v>1236</v>
      </c>
      <c r="S189" s="37" t="s">
        <v>15</v>
      </c>
      <c r="T189" s="41" t="str">
        <f t="shared" si="9"/>
        <v>Southampton</v>
      </c>
    </row>
    <row r="190" spans="1:20">
      <c r="A190" s="37">
        <v>189</v>
      </c>
      <c r="B190" s="37">
        <v>0</v>
      </c>
      <c r="C190" s="37">
        <v>3</v>
      </c>
      <c r="D190" s="37" t="s">
        <v>1591</v>
      </c>
      <c r="E190" s="37" t="s">
        <v>1592</v>
      </c>
      <c r="F190" s="37" t="s">
        <v>1235</v>
      </c>
      <c r="G190" s="37" t="str">
        <f>_xlfn.XLOOKUP(F190,notes!$B$12:$B$18,notes!$C$12:$C$18,"Unknown")</f>
        <v>Male</v>
      </c>
      <c r="H190" s="38">
        <v>40</v>
      </c>
      <c r="I190" s="39" t="str">
        <f>_xlfn.XLOOKUP(H190,notes!$B$4:$B$8,notes!$C$4:$C$8,"Invalid",-1)</f>
        <v>Adult</v>
      </c>
      <c r="J190" s="37">
        <v>1</v>
      </c>
      <c r="K190" s="37">
        <v>1</v>
      </c>
      <c r="L190" s="37">
        <f t="shared" si="10"/>
        <v>3</v>
      </c>
      <c r="M190" s="40" t="str">
        <f t="shared" si="8"/>
        <v>Not Survived</v>
      </c>
      <c r="N190" s="37" t="str">
        <f>_xlfn.XLOOKUP(L190,notes!$B$28:$B$30,notes!$C$28:$C$30,"Unknown",-1)</f>
        <v>Small Family</v>
      </c>
      <c r="O190" s="37">
        <v>364849</v>
      </c>
      <c r="P190" s="37">
        <v>15.5</v>
      </c>
      <c r="Q190" s="37" t="str">
        <f t="shared" si="11"/>
        <v>Mid</v>
      </c>
      <c r="R190" s="37" t="s">
        <v>1236</v>
      </c>
      <c r="S190" s="37" t="s">
        <v>28</v>
      </c>
      <c r="T190" s="41" t="str">
        <f t="shared" si="9"/>
        <v>Queenstown</v>
      </c>
    </row>
    <row r="191" spans="1:20">
      <c r="A191" s="37">
        <v>190</v>
      </c>
      <c r="B191" s="37">
        <v>0</v>
      </c>
      <c r="C191" s="37">
        <v>3</v>
      </c>
      <c r="D191" s="37" t="s">
        <v>1593</v>
      </c>
      <c r="E191" s="37" t="s">
        <v>1594</v>
      </c>
      <c r="F191" s="37" t="s">
        <v>1235</v>
      </c>
      <c r="G191" s="37" t="str">
        <f>_xlfn.XLOOKUP(F191,notes!$B$12:$B$18,notes!$C$12:$C$18,"Unknown")</f>
        <v>Male</v>
      </c>
      <c r="H191" s="38">
        <v>36</v>
      </c>
      <c r="I191" s="39" t="str">
        <f>_xlfn.XLOOKUP(H191,notes!$B$4:$B$8,notes!$C$4:$C$8,"Invalid",-1)</f>
        <v>Adult</v>
      </c>
      <c r="J191" s="37">
        <v>0</v>
      </c>
      <c r="K191" s="37">
        <v>0</v>
      </c>
      <c r="L191" s="37">
        <f t="shared" si="10"/>
        <v>1</v>
      </c>
      <c r="M191" s="40" t="str">
        <f t="shared" si="8"/>
        <v>Not Survived</v>
      </c>
      <c r="N191" s="37" t="str">
        <f>_xlfn.XLOOKUP(L191,notes!$B$28:$B$30,notes!$C$28:$C$30,"Unknown",-1)</f>
        <v>Alone</v>
      </c>
      <c r="O191" s="37">
        <v>349247</v>
      </c>
      <c r="P191" s="37">
        <v>7.8958</v>
      </c>
      <c r="Q191" s="37" t="str">
        <f t="shared" si="11"/>
        <v>Low</v>
      </c>
      <c r="R191" s="37" t="s">
        <v>1236</v>
      </c>
      <c r="S191" s="37" t="s">
        <v>15</v>
      </c>
      <c r="T191" s="41" t="str">
        <f t="shared" si="9"/>
        <v>Southampton</v>
      </c>
    </row>
    <row r="192" spans="1:20">
      <c r="A192" s="37">
        <v>191</v>
      </c>
      <c r="B192" s="37">
        <v>1</v>
      </c>
      <c r="C192" s="37">
        <v>2</v>
      </c>
      <c r="D192" s="37" t="s">
        <v>1595</v>
      </c>
      <c r="E192" s="37" t="s">
        <v>1596</v>
      </c>
      <c r="F192" s="37" t="s">
        <v>1239</v>
      </c>
      <c r="G192" s="37" t="str">
        <f>_xlfn.XLOOKUP(F192,notes!$B$12:$B$18,notes!$C$12:$C$18,"Unknown")</f>
        <v>Female</v>
      </c>
      <c r="H192" s="38">
        <v>32</v>
      </c>
      <c r="I192" s="39" t="str">
        <f>_xlfn.XLOOKUP(H192,notes!$B$4:$B$8,notes!$C$4:$C$8,"Invalid",-1)</f>
        <v>Adult</v>
      </c>
      <c r="J192" s="37">
        <v>0</v>
      </c>
      <c r="K192" s="37">
        <v>0</v>
      </c>
      <c r="L192" s="37">
        <f t="shared" si="10"/>
        <v>1</v>
      </c>
      <c r="M192" s="40" t="str">
        <f t="shared" si="8"/>
        <v>Survived</v>
      </c>
      <c r="N192" s="37" t="str">
        <f>_xlfn.XLOOKUP(L192,notes!$B$28:$B$30,notes!$C$28:$C$30,"Unknown",-1)</f>
        <v>Alone</v>
      </c>
      <c r="O192" s="37">
        <v>234604</v>
      </c>
      <c r="P192" s="37">
        <v>13</v>
      </c>
      <c r="Q192" s="37" t="str">
        <f t="shared" si="11"/>
        <v>Mid</v>
      </c>
      <c r="R192" s="37" t="s">
        <v>1236</v>
      </c>
      <c r="S192" s="37" t="s">
        <v>15</v>
      </c>
      <c r="T192" s="41" t="str">
        <f t="shared" si="9"/>
        <v>Southampton</v>
      </c>
    </row>
    <row r="193" spans="1:20">
      <c r="A193" s="37">
        <v>192</v>
      </c>
      <c r="B193" s="37">
        <v>0</v>
      </c>
      <c r="C193" s="37">
        <v>2</v>
      </c>
      <c r="D193" s="37" t="s">
        <v>1597</v>
      </c>
      <c r="E193" s="37" t="s">
        <v>1598</v>
      </c>
      <c r="F193" s="37" t="s">
        <v>1235</v>
      </c>
      <c r="G193" s="37" t="str">
        <f>_xlfn.XLOOKUP(F193,notes!$B$12:$B$18,notes!$C$12:$C$18,"Unknown")</f>
        <v>Male</v>
      </c>
      <c r="H193" s="38">
        <v>19</v>
      </c>
      <c r="I193" s="39" t="str">
        <f>_xlfn.XLOOKUP(H193,notes!$B$4:$B$8,notes!$C$4:$C$8,"Invalid",-1)</f>
        <v>Teenager</v>
      </c>
      <c r="J193" s="37">
        <v>0</v>
      </c>
      <c r="K193" s="37">
        <v>0</v>
      </c>
      <c r="L193" s="37">
        <f t="shared" si="10"/>
        <v>1</v>
      </c>
      <c r="M193" s="40" t="str">
        <f t="shared" si="8"/>
        <v>Not Survived</v>
      </c>
      <c r="N193" s="37" t="str">
        <f>_xlfn.XLOOKUP(L193,notes!$B$28:$B$30,notes!$C$28:$C$30,"Unknown",-1)</f>
        <v>Alone</v>
      </c>
      <c r="O193" s="37">
        <v>28424</v>
      </c>
      <c r="P193" s="37">
        <v>13</v>
      </c>
      <c r="Q193" s="37" t="str">
        <f t="shared" si="11"/>
        <v>Mid</v>
      </c>
      <c r="R193" s="37" t="s">
        <v>1236</v>
      </c>
      <c r="S193" s="37" t="s">
        <v>15</v>
      </c>
      <c r="T193" s="41" t="str">
        <f t="shared" si="9"/>
        <v>Southampton</v>
      </c>
    </row>
    <row r="194" spans="1:20">
      <c r="A194" s="37">
        <v>193</v>
      </c>
      <c r="B194" s="37">
        <v>1</v>
      </c>
      <c r="C194" s="37">
        <v>3</v>
      </c>
      <c r="D194" s="37" t="s">
        <v>1599</v>
      </c>
      <c r="E194" s="37" t="s">
        <v>1600</v>
      </c>
      <c r="F194" s="37" t="s">
        <v>1242</v>
      </c>
      <c r="G194" s="37" t="str">
        <f>_xlfn.XLOOKUP(F194,notes!$B$12:$B$18,notes!$C$12:$C$18,"Unknown")</f>
        <v>Female</v>
      </c>
      <c r="H194" s="38">
        <v>19</v>
      </c>
      <c r="I194" s="39" t="str">
        <f>_xlfn.XLOOKUP(H194,notes!$B$4:$B$8,notes!$C$4:$C$8,"Invalid",-1)</f>
        <v>Teenager</v>
      </c>
      <c r="J194" s="37">
        <v>1</v>
      </c>
      <c r="K194" s="37">
        <v>0</v>
      </c>
      <c r="L194" s="37">
        <f t="shared" si="10"/>
        <v>2</v>
      </c>
      <c r="M194" s="40" t="str">
        <f t="shared" ref="M194:M257" si="12">IF(B194=1,"Survived","Not Survived")</f>
        <v>Survived</v>
      </c>
      <c r="N194" s="37" t="str">
        <f>_xlfn.XLOOKUP(L194,notes!$B$28:$B$30,notes!$C$28:$C$30,"Unknown",-1)</f>
        <v>Small Family</v>
      </c>
      <c r="O194" s="37">
        <v>350046</v>
      </c>
      <c r="P194" s="37">
        <v>7.8542</v>
      </c>
      <c r="Q194" s="37" t="str">
        <f t="shared" si="11"/>
        <v>Low</v>
      </c>
      <c r="R194" s="37" t="s">
        <v>1236</v>
      </c>
      <c r="S194" s="37" t="s">
        <v>15</v>
      </c>
      <c r="T194" s="41" t="str">
        <f t="shared" ref="T194:T257" si="13">IF(S194="Q","Queenstown",IF(S194="C","Cherbourg",IF(S194="S","Southampton","Unknown")))</f>
        <v>Southampton</v>
      </c>
    </row>
    <row r="195" spans="1:20">
      <c r="A195" s="37">
        <v>194</v>
      </c>
      <c r="B195" s="37">
        <v>1</v>
      </c>
      <c r="C195" s="37">
        <v>2</v>
      </c>
      <c r="D195" s="37" t="s">
        <v>1518</v>
      </c>
      <c r="E195" s="37" t="s">
        <v>1601</v>
      </c>
      <c r="F195" s="37" t="s">
        <v>1253</v>
      </c>
      <c r="G195" s="37" t="str">
        <f>_xlfn.XLOOKUP(F195,notes!$B$12:$B$18,notes!$C$12:$C$18,"Unknown")</f>
        <v>Male</v>
      </c>
      <c r="H195" s="38">
        <v>3</v>
      </c>
      <c r="I195" s="39" t="str">
        <f>_xlfn.XLOOKUP(H195,notes!$B$4:$B$8,notes!$C$4:$C$8,"Invalid",-1)</f>
        <v>Kid</v>
      </c>
      <c r="J195" s="37">
        <v>1</v>
      </c>
      <c r="K195" s="37">
        <v>1</v>
      </c>
      <c r="L195" s="37">
        <f t="shared" ref="L195:L258" si="14">(J195+K195)+1</f>
        <v>3</v>
      </c>
      <c r="M195" s="40" t="str">
        <f t="shared" si="12"/>
        <v>Survived</v>
      </c>
      <c r="N195" s="37" t="str">
        <f>_xlfn.XLOOKUP(L195,notes!$B$28:$B$30,notes!$C$28:$C$30,"Unknown",-1)</f>
        <v>Small Family</v>
      </c>
      <c r="O195" s="37">
        <v>230080</v>
      </c>
      <c r="P195" s="37">
        <v>26</v>
      </c>
      <c r="Q195" s="37" t="str">
        <f t="shared" ref="Q195:Q258" si="15">IF(P195&gt;=50,"High",IF(P195&gt;=10,"Mid",IF(P195&lt;10,"Low","invalid")))</f>
        <v>Mid</v>
      </c>
      <c r="R195" s="37" t="s">
        <v>233</v>
      </c>
      <c r="S195" s="37" t="s">
        <v>15</v>
      </c>
      <c r="T195" s="41" t="str">
        <f t="shared" si="13"/>
        <v>Southampton</v>
      </c>
    </row>
    <row r="196" spans="1:20">
      <c r="A196" s="37">
        <v>195</v>
      </c>
      <c r="B196" s="37">
        <v>1</v>
      </c>
      <c r="C196" s="37">
        <v>1</v>
      </c>
      <c r="D196" s="37" t="s">
        <v>1602</v>
      </c>
      <c r="E196" s="37" t="s">
        <v>1603</v>
      </c>
      <c r="F196" s="37" t="s">
        <v>1239</v>
      </c>
      <c r="G196" s="37" t="str">
        <f>_xlfn.XLOOKUP(F196,notes!$B$12:$B$18,notes!$C$12:$C$18,"Unknown")</f>
        <v>Female</v>
      </c>
      <c r="H196" s="38">
        <v>44</v>
      </c>
      <c r="I196" s="39" t="str">
        <f>_xlfn.XLOOKUP(H196,notes!$B$4:$B$8,notes!$C$4:$C$8,"Invalid",-1)</f>
        <v>Adult</v>
      </c>
      <c r="J196" s="37">
        <v>0</v>
      </c>
      <c r="K196" s="37">
        <v>0</v>
      </c>
      <c r="L196" s="37">
        <f t="shared" si="14"/>
        <v>1</v>
      </c>
      <c r="M196" s="40" t="str">
        <f t="shared" si="12"/>
        <v>Survived</v>
      </c>
      <c r="N196" s="37" t="str">
        <f>_xlfn.XLOOKUP(L196,notes!$B$28:$B$30,notes!$C$28:$C$30,"Unknown",-1)</f>
        <v>Alone</v>
      </c>
      <c r="O196" s="37" t="s">
        <v>300</v>
      </c>
      <c r="P196" s="37">
        <v>27.7208</v>
      </c>
      <c r="Q196" s="37" t="str">
        <f t="shared" si="15"/>
        <v>Mid</v>
      </c>
      <c r="R196" s="37" t="s">
        <v>301</v>
      </c>
      <c r="S196" s="37" t="s">
        <v>20</v>
      </c>
      <c r="T196" s="41" t="str">
        <f t="shared" si="13"/>
        <v>Cherbourg</v>
      </c>
    </row>
    <row r="197" spans="1:20">
      <c r="A197" s="37">
        <v>196</v>
      </c>
      <c r="B197" s="37">
        <v>1</v>
      </c>
      <c r="C197" s="37">
        <v>1</v>
      </c>
      <c r="D197" s="37" t="s">
        <v>1604</v>
      </c>
      <c r="E197" s="37" t="s">
        <v>1605</v>
      </c>
      <c r="F197" s="37" t="s">
        <v>1242</v>
      </c>
      <c r="G197" s="37" t="str">
        <f>_xlfn.XLOOKUP(F197,notes!$B$12:$B$18,notes!$C$12:$C$18,"Unknown")</f>
        <v>Female</v>
      </c>
      <c r="H197" s="38">
        <v>58</v>
      </c>
      <c r="I197" s="39" t="str">
        <f>_xlfn.XLOOKUP(H197,notes!$B$4:$B$8,notes!$C$4:$C$8,"Invalid",-1)</f>
        <v>Adult</v>
      </c>
      <c r="J197" s="37">
        <v>0</v>
      </c>
      <c r="K197" s="37">
        <v>0</v>
      </c>
      <c r="L197" s="37">
        <f t="shared" si="14"/>
        <v>1</v>
      </c>
      <c r="M197" s="40" t="str">
        <f t="shared" si="12"/>
        <v>Survived</v>
      </c>
      <c r="N197" s="37" t="str">
        <f>_xlfn.XLOOKUP(L197,notes!$B$28:$B$30,notes!$C$28:$C$30,"Unknown",-1)</f>
        <v>Alone</v>
      </c>
      <c r="O197" s="37" t="s">
        <v>64</v>
      </c>
      <c r="P197" s="37">
        <v>146.5208</v>
      </c>
      <c r="Q197" s="37" t="str">
        <f t="shared" si="15"/>
        <v>High</v>
      </c>
      <c r="R197" s="37" t="s">
        <v>303</v>
      </c>
      <c r="S197" s="37" t="s">
        <v>20</v>
      </c>
      <c r="T197" s="41" t="str">
        <f t="shared" si="13"/>
        <v>Cherbourg</v>
      </c>
    </row>
    <row r="198" spans="1:20">
      <c r="A198" s="37">
        <v>197</v>
      </c>
      <c r="B198" s="37">
        <v>0</v>
      </c>
      <c r="C198" s="37">
        <v>3</v>
      </c>
      <c r="D198" s="37" t="s">
        <v>1606</v>
      </c>
      <c r="E198" s="37" t="s">
        <v>1607</v>
      </c>
      <c r="F198" s="37" t="s">
        <v>1235</v>
      </c>
      <c r="G198" s="37" t="str">
        <f>_xlfn.XLOOKUP(F198,notes!$B$12:$B$18,notes!$C$12:$C$18,"Unknown")</f>
        <v>Male</v>
      </c>
      <c r="H198" s="38" t="s">
        <v>1236</v>
      </c>
      <c r="I198" s="39" t="str">
        <f>_xlfn.XLOOKUP(H198,notes!$B$4:$B$8,notes!$C$4:$C$8,"Invalid",-1)</f>
        <v>Unknown</v>
      </c>
      <c r="J198" s="37">
        <v>0</v>
      </c>
      <c r="K198" s="37">
        <v>0</v>
      </c>
      <c r="L198" s="37">
        <f t="shared" si="14"/>
        <v>1</v>
      </c>
      <c r="M198" s="40" t="str">
        <f t="shared" si="12"/>
        <v>Not Survived</v>
      </c>
      <c r="N198" s="37" t="str">
        <f>_xlfn.XLOOKUP(L198,notes!$B$28:$B$30,notes!$C$28:$C$30,"Unknown",-1)</f>
        <v>Alone</v>
      </c>
      <c r="O198" s="37">
        <v>368703</v>
      </c>
      <c r="P198" s="37">
        <v>7.75</v>
      </c>
      <c r="Q198" s="37" t="str">
        <f t="shared" si="15"/>
        <v>Low</v>
      </c>
      <c r="R198" s="37" t="s">
        <v>1236</v>
      </c>
      <c r="S198" s="37" t="s">
        <v>28</v>
      </c>
      <c r="T198" s="41" t="str">
        <f t="shared" si="13"/>
        <v>Queenstown</v>
      </c>
    </row>
    <row r="199" spans="1:20">
      <c r="A199" s="37">
        <v>198</v>
      </c>
      <c r="B199" s="37">
        <v>0</v>
      </c>
      <c r="C199" s="37">
        <v>3</v>
      </c>
      <c r="D199" s="37" t="s">
        <v>1531</v>
      </c>
      <c r="E199" s="37" t="s">
        <v>1608</v>
      </c>
      <c r="F199" s="37" t="s">
        <v>1235</v>
      </c>
      <c r="G199" s="37" t="str">
        <f>_xlfn.XLOOKUP(F199,notes!$B$12:$B$18,notes!$C$12:$C$18,"Unknown")</f>
        <v>Male</v>
      </c>
      <c r="H199" s="38">
        <v>42</v>
      </c>
      <c r="I199" s="39" t="str">
        <f>_xlfn.XLOOKUP(H199,notes!$B$4:$B$8,notes!$C$4:$C$8,"Invalid",-1)</f>
        <v>Adult</v>
      </c>
      <c r="J199" s="37">
        <v>0</v>
      </c>
      <c r="K199" s="37">
        <v>1</v>
      </c>
      <c r="L199" s="37">
        <f t="shared" si="14"/>
        <v>2</v>
      </c>
      <c r="M199" s="40" t="str">
        <f t="shared" si="12"/>
        <v>Not Survived</v>
      </c>
      <c r="N199" s="37" t="str">
        <f>_xlfn.XLOOKUP(L199,notes!$B$28:$B$30,notes!$C$28:$C$30,"Unknown",-1)</f>
        <v>Small Family</v>
      </c>
      <c r="O199" s="37">
        <v>4579</v>
      </c>
      <c r="P199" s="37">
        <v>8.4042</v>
      </c>
      <c r="Q199" s="37" t="str">
        <f t="shared" si="15"/>
        <v>Low</v>
      </c>
      <c r="R199" s="37" t="s">
        <v>1236</v>
      </c>
      <c r="S199" s="37" t="s">
        <v>15</v>
      </c>
      <c r="T199" s="41" t="str">
        <f t="shared" si="13"/>
        <v>Southampton</v>
      </c>
    </row>
    <row r="200" spans="1:20">
      <c r="A200" s="37">
        <v>199</v>
      </c>
      <c r="B200" s="37">
        <v>1</v>
      </c>
      <c r="C200" s="37">
        <v>3</v>
      </c>
      <c r="D200" s="37" t="s">
        <v>1609</v>
      </c>
      <c r="E200" s="37" t="s">
        <v>1610</v>
      </c>
      <c r="F200" s="37" t="s">
        <v>1242</v>
      </c>
      <c r="G200" s="37" t="str">
        <f>_xlfn.XLOOKUP(F200,notes!$B$12:$B$18,notes!$C$12:$C$18,"Unknown")</f>
        <v>Female</v>
      </c>
      <c r="H200" s="38" t="s">
        <v>1236</v>
      </c>
      <c r="I200" s="39" t="str">
        <f>_xlfn.XLOOKUP(H200,notes!$B$4:$B$8,notes!$C$4:$C$8,"Invalid",-1)</f>
        <v>Unknown</v>
      </c>
      <c r="J200" s="37">
        <v>0</v>
      </c>
      <c r="K200" s="37">
        <v>0</v>
      </c>
      <c r="L200" s="37">
        <f t="shared" si="14"/>
        <v>1</v>
      </c>
      <c r="M200" s="40" t="str">
        <f t="shared" si="12"/>
        <v>Survived</v>
      </c>
      <c r="N200" s="37" t="str">
        <f>_xlfn.XLOOKUP(L200,notes!$B$28:$B$30,notes!$C$28:$C$30,"Unknown",-1)</f>
        <v>Alone</v>
      </c>
      <c r="O200" s="37">
        <v>370370</v>
      </c>
      <c r="P200" s="37">
        <v>7.75</v>
      </c>
      <c r="Q200" s="37" t="str">
        <f t="shared" si="15"/>
        <v>Low</v>
      </c>
      <c r="R200" s="37" t="s">
        <v>1236</v>
      </c>
      <c r="S200" s="37" t="s">
        <v>28</v>
      </c>
      <c r="T200" s="41" t="str">
        <f t="shared" si="13"/>
        <v>Queenstown</v>
      </c>
    </row>
    <row r="201" spans="1:20">
      <c r="A201" s="37">
        <v>200</v>
      </c>
      <c r="B201" s="37">
        <v>0</v>
      </c>
      <c r="C201" s="37">
        <v>2</v>
      </c>
      <c r="D201" s="37" t="s">
        <v>1611</v>
      </c>
      <c r="E201" s="37" t="s">
        <v>1612</v>
      </c>
      <c r="F201" s="37" t="s">
        <v>1242</v>
      </c>
      <c r="G201" s="37" t="str">
        <f>_xlfn.XLOOKUP(F201,notes!$B$12:$B$18,notes!$C$12:$C$18,"Unknown")</f>
        <v>Female</v>
      </c>
      <c r="H201" s="38">
        <v>24</v>
      </c>
      <c r="I201" s="39" t="str">
        <f>_xlfn.XLOOKUP(H201,notes!$B$4:$B$8,notes!$C$4:$C$8,"Invalid",-1)</f>
        <v>Adult</v>
      </c>
      <c r="J201" s="37">
        <v>0</v>
      </c>
      <c r="K201" s="37">
        <v>0</v>
      </c>
      <c r="L201" s="37">
        <f t="shared" si="14"/>
        <v>1</v>
      </c>
      <c r="M201" s="40" t="str">
        <f t="shared" si="12"/>
        <v>Not Survived</v>
      </c>
      <c r="N201" s="37" t="str">
        <f>_xlfn.XLOOKUP(L201,notes!$B$28:$B$30,notes!$C$28:$C$30,"Unknown",-1)</f>
        <v>Alone</v>
      </c>
      <c r="O201" s="37">
        <v>248747</v>
      </c>
      <c r="P201" s="37">
        <v>13</v>
      </c>
      <c r="Q201" s="37" t="str">
        <f t="shared" si="15"/>
        <v>Mid</v>
      </c>
      <c r="R201" s="37" t="s">
        <v>1236</v>
      </c>
      <c r="S201" s="37" t="s">
        <v>15</v>
      </c>
      <c r="T201" s="41" t="str">
        <f t="shared" si="13"/>
        <v>Southampton</v>
      </c>
    </row>
    <row r="202" spans="1:20">
      <c r="A202" s="37">
        <v>201</v>
      </c>
      <c r="B202" s="37">
        <v>0</v>
      </c>
      <c r="C202" s="37">
        <v>3</v>
      </c>
      <c r="D202" s="37" t="s">
        <v>1613</v>
      </c>
      <c r="E202" s="37" t="s">
        <v>1614</v>
      </c>
      <c r="F202" s="37" t="s">
        <v>1235</v>
      </c>
      <c r="G202" s="37" t="str">
        <f>_xlfn.XLOOKUP(F202,notes!$B$12:$B$18,notes!$C$12:$C$18,"Unknown")</f>
        <v>Male</v>
      </c>
      <c r="H202" s="38">
        <v>28</v>
      </c>
      <c r="I202" s="39" t="str">
        <f>_xlfn.XLOOKUP(H202,notes!$B$4:$B$8,notes!$C$4:$C$8,"Invalid",-1)</f>
        <v>Adult</v>
      </c>
      <c r="J202" s="37">
        <v>0</v>
      </c>
      <c r="K202" s="37">
        <v>0</v>
      </c>
      <c r="L202" s="37">
        <f t="shared" si="14"/>
        <v>1</v>
      </c>
      <c r="M202" s="40" t="str">
        <f t="shared" si="12"/>
        <v>Not Survived</v>
      </c>
      <c r="N202" s="37" t="str">
        <f>_xlfn.XLOOKUP(L202,notes!$B$28:$B$30,notes!$C$28:$C$30,"Unknown",-1)</f>
        <v>Alone</v>
      </c>
      <c r="O202" s="37">
        <v>345770</v>
      </c>
      <c r="P202" s="37">
        <v>9.5</v>
      </c>
      <c r="Q202" s="37" t="str">
        <f t="shared" si="15"/>
        <v>Low</v>
      </c>
      <c r="R202" s="37" t="s">
        <v>1236</v>
      </c>
      <c r="S202" s="37" t="s">
        <v>15</v>
      </c>
      <c r="T202" s="41" t="str">
        <f t="shared" si="13"/>
        <v>Southampton</v>
      </c>
    </row>
    <row r="203" spans="1:20">
      <c r="A203" s="37">
        <v>202</v>
      </c>
      <c r="B203" s="37">
        <v>0</v>
      </c>
      <c r="C203" s="37">
        <v>3</v>
      </c>
      <c r="D203" s="37" t="s">
        <v>1540</v>
      </c>
      <c r="E203" s="37" t="s">
        <v>1615</v>
      </c>
      <c r="F203" s="37" t="s">
        <v>1235</v>
      </c>
      <c r="G203" s="37" t="str">
        <f>_xlfn.XLOOKUP(F203,notes!$B$12:$B$18,notes!$C$12:$C$18,"Unknown")</f>
        <v>Male</v>
      </c>
      <c r="H203" s="38" t="s">
        <v>1236</v>
      </c>
      <c r="I203" s="39" t="str">
        <f>_xlfn.XLOOKUP(H203,notes!$B$4:$B$8,notes!$C$4:$C$8,"Invalid",-1)</f>
        <v>Unknown</v>
      </c>
      <c r="J203" s="37">
        <v>8</v>
      </c>
      <c r="K203" s="37">
        <v>2</v>
      </c>
      <c r="L203" s="37">
        <f t="shared" si="14"/>
        <v>11</v>
      </c>
      <c r="M203" s="40" t="str">
        <f t="shared" si="12"/>
        <v>Not Survived</v>
      </c>
      <c r="N203" s="37" t="str">
        <f>_xlfn.XLOOKUP(L203,notes!$B$28:$B$30,notes!$C$28:$C$30,"Unknown",-1)</f>
        <v>Large Family</v>
      </c>
      <c r="O203" s="37" t="s">
        <v>252</v>
      </c>
      <c r="P203" s="37">
        <v>69.55</v>
      </c>
      <c r="Q203" s="37" t="str">
        <f t="shared" si="15"/>
        <v>High</v>
      </c>
      <c r="R203" s="37" t="s">
        <v>1236</v>
      </c>
      <c r="S203" s="37" t="s">
        <v>15</v>
      </c>
      <c r="T203" s="41" t="str">
        <f t="shared" si="13"/>
        <v>Southampton</v>
      </c>
    </row>
    <row r="204" spans="1:20">
      <c r="A204" s="37">
        <v>203</v>
      </c>
      <c r="B204" s="37">
        <v>0</v>
      </c>
      <c r="C204" s="37">
        <v>3</v>
      </c>
      <c r="D204" s="37" t="s">
        <v>1616</v>
      </c>
      <c r="E204" s="37" t="s">
        <v>1617</v>
      </c>
      <c r="F204" s="37" t="s">
        <v>1235</v>
      </c>
      <c r="G204" s="37" t="str">
        <f>_xlfn.XLOOKUP(F204,notes!$B$12:$B$18,notes!$C$12:$C$18,"Unknown")</f>
        <v>Male</v>
      </c>
      <c r="H204" s="38">
        <v>34</v>
      </c>
      <c r="I204" s="39" t="str">
        <f>_xlfn.XLOOKUP(H204,notes!$B$4:$B$8,notes!$C$4:$C$8,"Invalid",-1)</f>
        <v>Adult</v>
      </c>
      <c r="J204" s="37">
        <v>0</v>
      </c>
      <c r="K204" s="37">
        <v>0</v>
      </c>
      <c r="L204" s="37">
        <f t="shared" si="14"/>
        <v>1</v>
      </c>
      <c r="M204" s="40" t="str">
        <f t="shared" si="12"/>
        <v>Not Survived</v>
      </c>
      <c r="N204" s="37" t="str">
        <f>_xlfn.XLOOKUP(L204,notes!$B$28:$B$30,notes!$C$28:$C$30,"Unknown",-1)</f>
        <v>Alone</v>
      </c>
      <c r="O204" s="37">
        <v>3101264</v>
      </c>
      <c r="P204" s="37">
        <v>6.4958</v>
      </c>
      <c r="Q204" s="37" t="str">
        <f t="shared" si="15"/>
        <v>Low</v>
      </c>
      <c r="R204" s="37" t="s">
        <v>1236</v>
      </c>
      <c r="S204" s="37" t="s">
        <v>15</v>
      </c>
      <c r="T204" s="41" t="str">
        <f t="shared" si="13"/>
        <v>Southampton</v>
      </c>
    </row>
    <row r="205" spans="1:20">
      <c r="A205" s="37">
        <v>204</v>
      </c>
      <c r="B205" s="37">
        <v>0</v>
      </c>
      <c r="C205" s="37">
        <v>3</v>
      </c>
      <c r="D205" s="37" t="s">
        <v>1618</v>
      </c>
      <c r="E205" s="37" t="s">
        <v>1619</v>
      </c>
      <c r="F205" s="37" t="s">
        <v>1235</v>
      </c>
      <c r="G205" s="37" t="str">
        <f>_xlfn.XLOOKUP(F205,notes!$B$12:$B$18,notes!$C$12:$C$18,"Unknown")</f>
        <v>Male</v>
      </c>
      <c r="H205" s="38">
        <v>45.5</v>
      </c>
      <c r="I205" s="39" t="str">
        <f>_xlfn.XLOOKUP(H205,notes!$B$4:$B$8,notes!$C$4:$C$8,"Invalid",-1)</f>
        <v>Adult</v>
      </c>
      <c r="J205" s="37">
        <v>0</v>
      </c>
      <c r="K205" s="37">
        <v>0</v>
      </c>
      <c r="L205" s="37">
        <f t="shared" si="14"/>
        <v>1</v>
      </c>
      <c r="M205" s="40" t="str">
        <f t="shared" si="12"/>
        <v>Not Survived</v>
      </c>
      <c r="N205" s="37" t="str">
        <f>_xlfn.XLOOKUP(L205,notes!$B$28:$B$30,notes!$C$28:$C$30,"Unknown",-1)</f>
        <v>Alone</v>
      </c>
      <c r="O205" s="37">
        <v>2628</v>
      </c>
      <c r="P205" s="37">
        <v>7.225</v>
      </c>
      <c r="Q205" s="37" t="str">
        <f t="shared" si="15"/>
        <v>Low</v>
      </c>
      <c r="R205" s="37" t="s">
        <v>1236</v>
      </c>
      <c r="S205" s="37" t="s">
        <v>20</v>
      </c>
      <c r="T205" s="41" t="str">
        <f t="shared" si="13"/>
        <v>Cherbourg</v>
      </c>
    </row>
    <row r="206" spans="1:20">
      <c r="A206" s="37">
        <v>205</v>
      </c>
      <c r="B206" s="37">
        <v>1</v>
      </c>
      <c r="C206" s="37">
        <v>3</v>
      </c>
      <c r="D206" s="37" t="s">
        <v>1620</v>
      </c>
      <c r="E206" s="37" t="s">
        <v>1621</v>
      </c>
      <c r="F206" s="37" t="s">
        <v>1235</v>
      </c>
      <c r="G206" s="37" t="str">
        <f>_xlfn.XLOOKUP(F206,notes!$B$12:$B$18,notes!$C$12:$C$18,"Unknown")</f>
        <v>Male</v>
      </c>
      <c r="H206" s="38">
        <v>18</v>
      </c>
      <c r="I206" s="39" t="str">
        <f>_xlfn.XLOOKUP(H206,notes!$B$4:$B$8,notes!$C$4:$C$8,"Invalid",-1)</f>
        <v>Teenager</v>
      </c>
      <c r="J206" s="37">
        <v>0</v>
      </c>
      <c r="K206" s="37">
        <v>0</v>
      </c>
      <c r="L206" s="37">
        <f t="shared" si="14"/>
        <v>1</v>
      </c>
      <c r="M206" s="40" t="str">
        <f t="shared" si="12"/>
        <v>Survived</v>
      </c>
      <c r="N206" s="37" t="str">
        <f>_xlfn.XLOOKUP(L206,notes!$B$28:$B$30,notes!$C$28:$C$30,"Unknown",-1)</f>
        <v>Alone</v>
      </c>
      <c r="O206" s="37" t="s">
        <v>313</v>
      </c>
      <c r="P206" s="37">
        <v>8.05</v>
      </c>
      <c r="Q206" s="37" t="str">
        <f t="shared" si="15"/>
        <v>Low</v>
      </c>
      <c r="R206" s="37" t="s">
        <v>1236</v>
      </c>
      <c r="S206" s="37" t="s">
        <v>15</v>
      </c>
      <c r="T206" s="41" t="str">
        <f t="shared" si="13"/>
        <v>Southampton</v>
      </c>
    </row>
    <row r="207" spans="1:20">
      <c r="A207" s="37">
        <v>206</v>
      </c>
      <c r="B207" s="37">
        <v>0</v>
      </c>
      <c r="C207" s="37">
        <v>3</v>
      </c>
      <c r="D207" s="37" t="s">
        <v>1622</v>
      </c>
      <c r="E207" s="37" t="s">
        <v>1623</v>
      </c>
      <c r="F207" s="37" t="s">
        <v>1242</v>
      </c>
      <c r="G207" s="37" t="str">
        <f>_xlfn.XLOOKUP(F207,notes!$B$12:$B$18,notes!$C$12:$C$18,"Unknown")</f>
        <v>Female</v>
      </c>
      <c r="H207" s="38">
        <v>2</v>
      </c>
      <c r="I207" s="39" t="str">
        <f>_xlfn.XLOOKUP(H207,notes!$B$4:$B$8,notes!$C$4:$C$8,"Invalid",-1)</f>
        <v>Kid</v>
      </c>
      <c r="J207" s="37">
        <v>0</v>
      </c>
      <c r="K207" s="37">
        <v>1</v>
      </c>
      <c r="L207" s="37">
        <f t="shared" si="14"/>
        <v>2</v>
      </c>
      <c r="M207" s="40" t="str">
        <f t="shared" si="12"/>
        <v>Not Survived</v>
      </c>
      <c r="N207" s="37" t="str">
        <f>_xlfn.XLOOKUP(L207,notes!$B$28:$B$30,notes!$C$28:$C$30,"Unknown",-1)</f>
        <v>Small Family</v>
      </c>
      <c r="O207" s="37">
        <v>347054</v>
      </c>
      <c r="P207" s="37">
        <v>10.4625</v>
      </c>
      <c r="Q207" s="37" t="str">
        <f t="shared" si="15"/>
        <v>Mid</v>
      </c>
      <c r="R207" s="37" t="s">
        <v>36</v>
      </c>
      <c r="S207" s="37" t="s">
        <v>15</v>
      </c>
      <c r="T207" s="41" t="str">
        <f t="shared" si="13"/>
        <v>Southampton</v>
      </c>
    </row>
    <row r="208" spans="1:20">
      <c r="A208" s="37">
        <v>207</v>
      </c>
      <c r="B208" s="37">
        <v>0</v>
      </c>
      <c r="C208" s="37">
        <v>3</v>
      </c>
      <c r="D208" s="37" t="s">
        <v>1403</v>
      </c>
      <c r="E208" s="37" t="s">
        <v>1624</v>
      </c>
      <c r="F208" s="37" t="s">
        <v>1235</v>
      </c>
      <c r="G208" s="37" t="str">
        <f>_xlfn.XLOOKUP(F208,notes!$B$12:$B$18,notes!$C$12:$C$18,"Unknown")</f>
        <v>Male</v>
      </c>
      <c r="H208" s="38">
        <v>32</v>
      </c>
      <c r="I208" s="39" t="str">
        <f>_xlfn.XLOOKUP(H208,notes!$B$4:$B$8,notes!$C$4:$C$8,"Invalid",-1)</f>
        <v>Adult</v>
      </c>
      <c r="J208" s="37">
        <v>1</v>
      </c>
      <c r="K208" s="37">
        <v>0</v>
      </c>
      <c r="L208" s="37">
        <f t="shared" si="14"/>
        <v>2</v>
      </c>
      <c r="M208" s="40" t="str">
        <f t="shared" si="12"/>
        <v>Not Survived</v>
      </c>
      <c r="N208" s="37" t="str">
        <f>_xlfn.XLOOKUP(L208,notes!$B$28:$B$30,notes!$C$28:$C$30,"Unknown",-1)</f>
        <v>Small Family</v>
      </c>
      <c r="O208" s="37">
        <v>3101278</v>
      </c>
      <c r="P208" s="37">
        <v>15.85</v>
      </c>
      <c r="Q208" s="37" t="str">
        <f t="shared" si="15"/>
        <v>Mid</v>
      </c>
      <c r="R208" s="37" t="s">
        <v>1236</v>
      </c>
      <c r="S208" s="37" t="s">
        <v>15</v>
      </c>
      <c r="T208" s="41" t="str">
        <f t="shared" si="13"/>
        <v>Southampton</v>
      </c>
    </row>
    <row r="209" spans="1:20">
      <c r="A209" s="37">
        <v>208</v>
      </c>
      <c r="B209" s="37">
        <v>1</v>
      </c>
      <c r="C209" s="37">
        <v>3</v>
      </c>
      <c r="D209" s="37" t="s">
        <v>1625</v>
      </c>
      <c r="E209" s="37" t="s">
        <v>1626</v>
      </c>
      <c r="F209" s="37" t="s">
        <v>1235</v>
      </c>
      <c r="G209" s="37" t="str">
        <f>_xlfn.XLOOKUP(F209,notes!$B$12:$B$18,notes!$C$12:$C$18,"Unknown")</f>
        <v>Male</v>
      </c>
      <c r="H209" s="38">
        <v>26</v>
      </c>
      <c r="I209" s="39" t="str">
        <f>_xlfn.XLOOKUP(H209,notes!$B$4:$B$8,notes!$C$4:$C$8,"Invalid",-1)</f>
        <v>Adult</v>
      </c>
      <c r="J209" s="37">
        <v>0</v>
      </c>
      <c r="K209" s="37">
        <v>0</v>
      </c>
      <c r="L209" s="37">
        <f t="shared" si="14"/>
        <v>1</v>
      </c>
      <c r="M209" s="40" t="str">
        <f t="shared" si="12"/>
        <v>Survived</v>
      </c>
      <c r="N209" s="37" t="str">
        <f>_xlfn.XLOOKUP(L209,notes!$B$28:$B$30,notes!$C$28:$C$30,"Unknown",-1)</f>
        <v>Alone</v>
      </c>
      <c r="O209" s="37">
        <v>2699</v>
      </c>
      <c r="P209" s="37">
        <v>18.7875</v>
      </c>
      <c r="Q209" s="37" t="str">
        <f t="shared" si="15"/>
        <v>Mid</v>
      </c>
      <c r="R209" s="37" t="s">
        <v>1236</v>
      </c>
      <c r="S209" s="37" t="s">
        <v>20</v>
      </c>
      <c r="T209" s="41" t="str">
        <f t="shared" si="13"/>
        <v>Cherbourg</v>
      </c>
    </row>
    <row r="210" spans="1:20">
      <c r="A210" s="37">
        <v>209</v>
      </c>
      <c r="B210" s="37">
        <v>1</v>
      </c>
      <c r="C210" s="37">
        <v>3</v>
      </c>
      <c r="D210" s="37" t="s">
        <v>1627</v>
      </c>
      <c r="E210" s="37" t="s">
        <v>1628</v>
      </c>
      <c r="F210" s="37" t="s">
        <v>1242</v>
      </c>
      <c r="G210" s="37" t="str">
        <f>_xlfn.XLOOKUP(F210,notes!$B$12:$B$18,notes!$C$12:$C$18,"Unknown")</f>
        <v>Female</v>
      </c>
      <c r="H210" s="38">
        <v>16</v>
      </c>
      <c r="I210" s="39" t="str">
        <f>_xlfn.XLOOKUP(H210,notes!$B$4:$B$8,notes!$C$4:$C$8,"Invalid",-1)</f>
        <v>Teenager</v>
      </c>
      <c r="J210" s="37">
        <v>0</v>
      </c>
      <c r="K210" s="37">
        <v>0</v>
      </c>
      <c r="L210" s="37">
        <f t="shared" si="14"/>
        <v>1</v>
      </c>
      <c r="M210" s="40" t="str">
        <f t="shared" si="12"/>
        <v>Survived</v>
      </c>
      <c r="N210" s="37" t="str">
        <f>_xlfn.XLOOKUP(L210,notes!$B$28:$B$30,notes!$C$28:$C$30,"Unknown",-1)</f>
        <v>Alone</v>
      </c>
      <c r="O210" s="37">
        <v>367231</v>
      </c>
      <c r="P210" s="37">
        <v>7.75</v>
      </c>
      <c r="Q210" s="37" t="str">
        <f t="shared" si="15"/>
        <v>Low</v>
      </c>
      <c r="R210" s="37" t="s">
        <v>1236</v>
      </c>
      <c r="S210" s="37" t="s">
        <v>28</v>
      </c>
      <c r="T210" s="41" t="str">
        <f t="shared" si="13"/>
        <v>Queenstown</v>
      </c>
    </row>
    <row r="211" spans="1:20">
      <c r="A211" s="37">
        <v>210</v>
      </c>
      <c r="B211" s="37">
        <v>1</v>
      </c>
      <c r="C211" s="37">
        <v>1</v>
      </c>
      <c r="D211" s="37" t="s">
        <v>1629</v>
      </c>
      <c r="E211" s="37" t="s">
        <v>1630</v>
      </c>
      <c r="F211" s="37" t="s">
        <v>1235</v>
      </c>
      <c r="G211" s="37" t="str">
        <f>_xlfn.XLOOKUP(F211,notes!$B$12:$B$18,notes!$C$12:$C$18,"Unknown")</f>
        <v>Male</v>
      </c>
      <c r="H211" s="38">
        <v>40</v>
      </c>
      <c r="I211" s="39" t="str">
        <f>_xlfn.XLOOKUP(H211,notes!$B$4:$B$8,notes!$C$4:$C$8,"Invalid",-1)</f>
        <v>Adult</v>
      </c>
      <c r="J211" s="37">
        <v>0</v>
      </c>
      <c r="K211" s="37">
        <v>0</v>
      </c>
      <c r="L211" s="37">
        <f t="shared" si="14"/>
        <v>1</v>
      </c>
      <c r="M211" s="40" t="str">
        <f t="shared" si="12"/>
        <v>Survived</v>
      </c>
      <c r="N211" s="37" t="str">
        <f>_xlfn.XLOOKUP(L211,notes!$B$28:$B$30,notes!$C$28:$C$30,"Unknown",-1)</f>
        <v>Alone</v>
      </c>
      <c r="O211" s="37">
        <v>112277</v>
      </c>
      <c r="P211" s="37">
        <v>31</v>
      </c>
      <c r="Q211" s="37" t="str">
        <f t="shared" si="15"/>
        <v>Mid</v>
      </c>
      <c r="R211" s="37" t="s">
        <v>319</v>
      </c>
      <c r="S211" s="37" t="s">
        <v>20</v>
      </c>
      <c r="T211" s="41" t="str">
        <f t="shared" si="13"/>
        <v>Cherbourg</v>
      </c>
    </row>
    <row r="212" spans="1:20">
      <c r="A212" s="37">
        <v>211</v>
      </c>
      <c r="B212" s="37">
        <v>0</v>
      </c>
      <c r="C212" s="37">
        <v>3</v>
      </c>
      <c r="D212" s="37" t="s">
        <v>1631</v>
      </c>
      <c r="E212" s="37" t="s">
        <v>1632</v>
      </c>
      <c r="F212" s="37" t="s">
        <v>1235</v>
      </c>
      <c r="G212" s="37" t="str">
        <f>_xlfn.XLOOKUP(F212,notes!$B$12:$B$18,notes!$C$12:$C$18,"Unknown")</f>
        <v>Male</v>
      </c>
      <c r="H212" s="38">
        <v>24</v>
      </c>
      <c r="I212" s="39" t="str">
        <f>_xlfn.XLOOKUP(H212,notes!$B$4:$B$8,notes!$C$4:$C$8,"Invalid",-1)</f>
        <v>Adult</v>
      </c>
      <c r="J212" s="37">
        <v>0</v>
      </c>
      <c r="K212" s="37">
        <v>0</v>
      </c>
      <c r="L212" s="37">
        <f t="shared" si="14"/>
        <v>1</v>
      </c>
      <c r="M212" s="40" t="str">
        <f t="shared" si="12"/>
        <v>Not Survived</v>
      </c>
      <c r="N212" s="37" t="str">
        <f>_xlfn.XLOOKUP(L212,notes!$B$28:$B$30,notes!$C$28:$C$30,"Unknown",-1)</f>
        <v>Alone</v>
      </c>
      <c r="O212" s="37" t="s">
        <v>321</v>
      </c>
      <c r="P212" s="37">
        <v>7.05</v>
      </c>
      <c r="Q212" s="37" t="str">
        <f t="shared" si="15"/>
        <v>Low</v>
      </c>
      <c r="R212" s="37" t="s">
        <v>1236</v>
      </c>
      <c r="S212" s="37" t="s">
        <v>15</v>
      </c>
      <c r="T212" s="41" t="str">
        <f t="shared" si="13"/>
        <v>Southampton</v>
      </c>
    </row>
    <row r="213" spans="1:20">
      <c r="A213" s="37">
        <v>212</v>
      </c>
      <c r="B213" s="37">
        <v>1</v>
      </c>
      <c r="C213" s="37">
        <v>2</v>
      </c>
      <c r="D213" s="37" t="s">
        <v>1633</v>
      </c>
      <c r="E213" s="37" t="s">
        <v>1634</v>
      </c>
      <c r="F213" s="37" t="s">
        <v>1242</v>
      </c>
      <c r="G213" s="37" t="str">
        <f>_xlfn.XLOOKUP(F213,notes!$B$12:$B$18,notes!$C$12:$C$18,"Unknown")</f>
        <v>Female</v>
      </c>
      <c r="H213" s="38">
        <v>35</v>
      </c>
      <c r="I213" s="39" t="str">
        <f>_xlfn.XLOOKUP(H213,notes!$B$4:$B$8,notes!$C$4:$C$8,"Invalid",-1)</f>
        <v>Adult</v>
      </c>
      <c r="J213" s="37">
        <v>0</v>
      </c>
      <c r="K213" s="37">
        <v>0</v>
      </c>
      <c r="L213" s="37">
        <f t="shared" si="14"/>
        <v>1</v>
      </c>
      <c r="M213" s="40" t="str">
        <f t="shared" si="12"/>
        <v>Survived</v>
      </c>
      <c r="N213" s="37" t="str">
        <f>_xlfn.XLOOKUP(L213,notes!$B$28:$B$30,notes!$C$28:$C$30,"Unknown",-1)</f>
        <v>Alone</v>
      </c>
      <c r="O213" s="37" t="s">
        <v>323</v>
      </c>
      <c r="P213" s="37">
        <v>21</v>
      </c>
      <c r="Q213" s="37" t="str">
        <f t="shared" si="15"/>
        <v>Mid</v>
      </c>
      <c r="R213" s="37" t="s">
        <v>1236</v>
      </c>
      <c r="S213" s="37" t="s">
        <v>15</v>
      </c>
      <c r="T213" s="41" t="str">
        <f t="shared" si="13"/>
        <v>Southampton</v>
      </c>
    </row>
    <row r="214" spans="1:20">
      <c r="A214" s="37">
        <v>213</v>
      </c>
      <c r="B214" s="37">
        <v>0</v>
      </c>
      <c r="C214" s="37">
        <v>3</v>
      </c>
      <c r="D214" s="37" t="s">
        <v>1635</v>
      </c>
      <c r="E214" s="37" t="s">
        <v>1636</v>
      </c>
      <c r="F214" s="37" t="s">
        <v>1235</v>
      </c>
      <c r="G214" s="37" t="str">
        <f>_xlfn.XLOOKUP(F214,notes!$B$12:$B$18,notes!$C$12:$C$18,"Unknown")</f>
        <v>Male</v>
      </c>
      <c r="H214" s="38">
        <v>22</v>
      </c>
      <c r="I214" s="39" t="str">
        <f>_xlfn.XLOOKUP(H214,notes!$B$4:$B$8,notes!$C$4:$C$8,"Invalid",-1)</f>
        <v>Adult</v>
      </c>
      <c r="J214" s="37">
        <v>0</v>
      </c>
      <c r="K214" s="37">
        <v>0</v>
      </c>
      <c r="L214" s="37">
        <f t="shared" si="14"/>
        <v>1</v>
      </c>
      <c r="M214" s="40" t="str">
        <f t="shared" si="12"/>
        <v>Not Survived</v>
      </c>
      <c r="N214" s="37" t="str">
        <f>_xlfn.XLOOKUP(L214,notes!$B$28:$B$30,notes!$C$28:$C$30,"Unknown",-1)</f>
        <v>Alone</v>
      </c>
      <c r="O214" s="37" t="s">
        <v>325</v>
      </c>
      <c r="P214" s="37">
        <v>7.25</v>
      </c>
      <c r="Q214" s="37" t="str">
        <f t="shared" si="15"/>
        <v>Low</v>
      </c>
      <c r="R214" s="37" t="s">
        <v>1236</v>
      </c>
      <c r="S214" s="37" t="s">
        <v>15</v>
      </c>
      <c r="T214" s="41" t="str">
        <f t="shared" si="13"/>
        <v>Southampton</v>
      </c>
    </row>
    <row r="215" spans="1:20">
      <c r="A215" s="37">
        <v>214</v>
      </c>
      <c r="B215" s="37">
        <v>0</v>
      </c>
      <c r="C215" s="37">
        <v>2</v>
      </c>
      <c r="D215" s="37" t="s">
        <v>1637</v>
      </c>
      <c r="E215" s="37" t="s">
        <v>1638</v>
      </c>
      <c r="F215" s="37" t="s">
        <v>1235</v>
      </c>
      <c r="G215" s="37" t="str">
        <f>_xlfn.XLOOKUP(F215,notes!$B$12:$B$18,notes!$C$12:$C$18,"Unknown")</f>
        <v>Male</v>
      </c>
      <c r="H215" s="38">
        <v>30</v>
      </c>
      <c r="I215" s="39" t="str">
        <f>_xlfn.XLOOKUP(H215,notes!$B$4:$B$8,notes!$C$4:$C$8,"Invalid",-1)</f>
        <v>Adult</v>
      </c>
      <c r="J215" s="37">
        <v>0</v>
      </c>
      <c r="K215" s="37">
        <v>0</v>
      </c>
      <c r="L215" s="37">
        <f t="shared" si="14"/>
        <v>1</v>
      </c>
      <c r="M215" s="40" t="str">
        <f t="shared" si="12"/>
        <v>Not Survived</v>
      </c>
      <c r="N215" s="37" t="str">
        <f>_xlfn.XLOOKUP(L215,notes!$B$28:$B$30,notes!$C$28:$C$30,"Unknown",-1)</f>
        <v>Alone</v>
      </c>
      <c r="O215" s="37">
        <v>250646</v>
      </c>
      <c r="P215" s="37">
        <v>13</v>
      </c>
      <c r="Q215" s="37" t="str">
        <f t="shared" si="15"/>
        <v>Mid</v>
      </c>
      <c r="R215" s="37" t="s">
        <v>1236</v>
      </c>
      <c r="S215" s="37" t="s">
        <v>15</v>
      </c>
      <c r="T215" s="41" t="str">
        <f t="shared" si="13"/>
        <v>Southampton</v>
      </c>
    </row>
    <row r="216" spans="1:20">
      <c r="A216" s="37">
        <v>215</v>
      </c>
      <c r="B216" s="37">
        <v>0</v>
      </c>
      <c r="C216" s="37">
        <v>3</v>
      </c>
      <c r="D216" s="37" t="s">
        <v>1639</v>
      </c>
      <c r="E216" s="37" t="s">
        <v>1640</v>
      </c>
      <c r="F216" s="37" t="s">
        <v>1235</v>
      </c>
      <c r="G216" s="37" t="str">
        <f>_xlfn.XLOOKUP(F216,notes!$B$12:$B$18,notes!$C$12:$C$18,"Unknown")</f>
        <v>Male</v>
      </c>
      <c r="H216" s="38" t="s">
        <v>1236</v>
      </c>
      <c r="I216" s="39" t="str">
        <f>_xlfn.XLOOKUP(H216,notes!$B$4:$B$8,notes!$C$4:$C$8,"Invalid",-1)</f>
        <v>Unknown</v>
      </c>
      <c r="J216" s="37">
        <v>1</v>
      </c>
      <c r="K216" s="37">
        <v>0</v>
      </c>
      <c r="L216" s="37">
        <f t="shared" si="14"/>
        <v>2</v>
      </c>
      <c r="M216" s="40" t="str">
        <f t="shared" si="12"/>
        <v>Not Survived</v>
      </c>
      <c r="N216" s="37" t="str">
        <f>_xlfn.XLOOKUP(L216,notes!$B$28:$B$30,notes!$C$28:$C$30,"Unknown",-1)</f>
        <v>Small Family</v>
      </c>
      <c r="O216" s="37">
        <v>367229</v>
      </c>
      <c r="P216" s="37">
        <v>7.75</v>
      </c>
      <c r="Q216" s="37" t="str">
        <f t="shared" si="15"/>
        <v>Low</v>
      </c>
      <c r="R216" s="37" t="s">
        <v>1236</v>
      </c>
      <c r="S216" s="37" t="s">
        <v>28</v>
      </c>
      <c r="T216" s="41" t="str">
        <f t="shared" si="13"/>
        <v>Queenstown</v>
      </c>
    </row>
    <row r="217" spans="1:20">
      <c r="A217" s="37">
        <v>216</v>
      </c>
      <c r="B217" s="37">
        <v>1</v>
      </c>
      <c r="C217" s="37">
        <v>1</v>
      </c>
      <c r="D217" s="37" t="s">
        <v>1641</v>
      </c>
      <c r="E217" s="37" t="s">
        <v>1642</v>
      </c>
      <c r="F217" s="37" t="s">
        <v>1242</v>
      </c>
      <c r="G217" s="37" t="str">
        <f>_xlfn.XLOOKUP(F217,notes!$B$12:$B$18,notes!$C$12:$C$18,"Unknown")</f>
        <v>Female</v>
      </c>
      <c r="H217" s="38">
        <v>31</v>
      </c>
      <c r="I217" s="39" t="str">
        <f>_xlfn.XLOOKUP(H217,notes!$B$4:$B$8,notes!$C$4:$C$8,"Invalid",-1)</f>
        <v>Adult</v>
      </c>
      <c r="J217" s="37">
        <v>1</v>
      </c>
      <c r="K217" s="37">
        <v>0</v>
      </c>
      <c r="L217" s="37">
        <f t="shared" si="14"/>
        <v>2</v>
      </c>
      <c r="M217" s="40" t="str">
        <f t="shared" si="12"/>
        <v>Survived</v>
      </c>
      <c r="N217" s="37" t="str">
        <f>_xlfn.XLOOKUP(L217,notes!$B$28:$B$30,notes!$C$28:$C$30,"Unknown",-1)</f>
        <v>Small Family</v>
      </c>
      <c r="O217" s="37">
        <v>35273</v>
      </c>
      <c r="P217" s="37">
        <v>113.275</v>
      </c>
      <c r="Q217" s="37" t="str">
        <f t="shared" si="15"/>
        <v>High</v>
      </c>
      <c r="R217" s="37" t="s">
        <v>329</v>
      </c>
      <c r="S217" s="37" t="s">
        <v>20</v>
      </c>
      <c r="T217" s="41" t="str">
        <f t="shared" si="13"/>
        <v>Cherbourg</v>
      </c>
    </row>
    <row r="218" spans="1:20">
      <c r="A218" s="37">
        <v>217</v>
      </c>
      <c r="B218" s="37">
        <v>1</v>
      </c>
      <c r="C218" s="37">
        <v>3</v>
      </c>
      <c r="D218" s="37" t="s">
        <v>1643</v>
      </c>
      <c r="E218" s="37" t="s">
        <v>1644</v>
      </c>
      <c r="F218" s="37" t="s">
        <v>1242</v>
      </c>
      <c r="G218" s="37" t="str">
        <f>_xlfn.XLOOKUP(F218,notes!$B$12:$B$18,notes!$C$12:$C$18,"Unknown")</f>
        <v>Female</v>
      </c>
      <c r="H218" s="38">
        <v>27</v>
      </c>
      <c r="I218" s="39" t="str">
        <f>_xlfn.XLOOKUP(H218,notes!$B$4:$B$8,notes!$C$4:$C$8,"Invalid",-1)</f>
        <v>Adult</v>
      </c>
      <c r="J218" s="37">
        <v>0</v>
      </c>
      <c r="K218" s="37">
        <v>0</v>
      </c>
      <c r="L218" s="37">
        <f t="shared" si="14"/>
        <v>1</v>
      </c>
      <c r="M218" s="40" t="str">
        <f t="shared" si="12"/>
        <v>Survived</v>
      </c>
      <c r="N218" s="37" t="str">
        <f>_xlfn.XLOOKUP(L218,notes!$B$28:$B$30,notes!$C$28:$C$30,"Unknown",-1)</f>
        <v>Alone</v>
      </c>
      <c r="O218" s="37" t="s">
        <v>331</v>
      </c>
      <c r="P218" s="37">
        <v>7.925</v>
      </c>
      <c r="Q218" s="37" t="str">
        <f t="shared" si="15"/>
        <v>Low</v>
      </c>
      <c r="R218" s="37" t="s">
        <v>1236</v>
      </c>
      <c r="S218" s="37" t="s">
        <v>15</v>
      </c>
      <c r="T218" s="41" t="str">
        <f t="shared" si="13"/>
        <v>Southampton</v>
      </c>
    </row>
    <row r="219" spans="1:20">
      <c r="A219" s="37">
        <v>218</v>
      </c>
      <c r="B219" s="37">
        <v>0</v>
      </c>
      <c r="C219" s="37">
        <v>2</v>
      </c>
      <c r="D219" s="37" t="s">
        <v>1645</v>
      </c>
      <c r="E219" s="37" t="s">
        <v>1646</v>
      </c>
      <c r="F219" s="37" t="s">
        <v>1235</v>
      </c>
      <c r="G219" s="37" t="str">
        <f>_xlfn.XLOOKUP(F219,notes!$B$12:$B$18,notes!$C$12:$C$18,"Unknown")</f>
        <v>Male</v>
      </c>
      <c r="H219" s="38">
        <v>42</v>
      </c>
      <c r="I219" s="39" t="str">
        <f>_xlfn.XLOOKUP(H219,notes!$B$4:$B$8,notes!$C$4:$C$8,"Invalid",-1)</f>
        <v>Adult</v>
      </c>
      <c r="J219" s="37">
        <v>1</v>
      </c>
      <c r="K219" s="37">
        <v>0</v>
      </c>
      <c r="L219" s="37">
        <f t="shared" si="14"/>
        <v>2</v>
      </c>
      <c r="M219" s="40" t="str">
        <f t="shared" si="12"/>
        <v>Not Survived</v>
      </c>
      <c r="N219" s="37" t="str">
        <f>_xlfn.XLOOKUP(L219,notes!$B$28:$B$30,notes!$C$28:$C$30,"Unknown",-1)</f>
        <v>Small Family</v>
      </c>
      <c r="O219" s="37">
        <v>243847</v>
      </c>
      <c r="P219" s="37">
        <v>27</v>
      </c>
      <c r="Q219" s="37" t="str">
        <f t="shared" si="15"/>
        <v>Mid</v>
      </c>
      <c r="R219" s="37" t="s">
        <v>1236</v>
      </c>
      <c r="S219" s="37" t="s">
        <v>15</v>
      </c>
      <c r="T219" s="41" t="str">
        <f t="shared" si="13"/>
        <v>Southampton</v>
      </c>
    </row>
    <row r="220" spans="1:20">
      <c r="A220" s="37">
        <v>219</v>
      </c>
      <c r="B220" s="37">
        <v>1</v>
      </c>
      <c r="C220" s="37">
        <v>1</v>
      </c>
      <c r="D220" s="37" t="s">
        <v>1647</v>
      </c>
      <c r="E220" s="37" t="s">
        <v>1648</v>
      </c>
      <c r="F220" s="37" t="s">
        <v>1242</v>
      </c>
      <c r="G220" s="37" t="str">
        <f>_xlfn.XLOOKUP(F220,notes!$B$12:$B$18,notes!$C$12:$C$18,"Unknown")</f>
        <v>Female</v>
      </c>
      <c r="H220" s="38">
        <v>32</v>
      </c>
      <c r="I220" s="39" t="str">
        <f>_xlfn.XLOOKUP(H220,notes!$B$4:$B$8,notes!$C$4:$C$8,"Invalid",-1)</f>
        <v>Adult</v>
      </c>
      <c r="J220" s="37">
        <v>0</v>
      </c>
      <c r="K220" s="37">
        <v>0</v>
      </c>
      <c r="L220" s="37">
        <f t="shared" si="14"/>
        <v>1</v>
      </c>
      <c r="M220" s="40" t="str">
        <f t="shared" si="12"/>
        <v>Survived</v>
      </c>
      <c r="N220" s="37" t="str">
        <f>_xlfn.XLOOKUP(L220,notes!$B$28:$B$30,notes!$C$28:$C$30,"Unknown",-1)</f>
        <v>Alone</v>
      </c>
      <c r="O220" s="37">
        <v>11813</v>
      </c>
      <c r="P220" s="37">
        <v>76.2917</v>
      </c>
      <c r="Q220" s="37" t="str">
        <f t="shared" si="15"/>
        <v>High</v>
      </c>
      <c r="R220" s="37" t="s">
        <v>334</v>
      </c>
      <c r="S220" s="37" t="s">
        <v>20</v>
      </c>
      <c r="T220" s="41" t="str">
        <f t="shared" si="13"/>
        <v>Cherbourg</v>
      </c>
    </row>
    <row r="221" spans="1:20">
      <c r="A221" s="37">
        <v>220</v>
      </c>
      <c r="B221" s="37">
        <v>0</v>
      </c>
      <c r="C221" s="37">
        <v>2</v>
      </c>
      <c r="D221" s="37" t="s">
        <v>1360</v>
      </c>
      <c r="E221" s="37" t="s">
        <v>1649</v>
      </c>
      <c r="F221" s="37" t="s">
        <v>1235</v>
      </c>
      <c r="G221" s="37" t="str">
        <f>_xlfn.XLOOKUP(F221,notes!$B$12:$B$18,notes!$C$12:$C$18,"Unknown")</f>
        <v>Male</v>
      </c>
      <c r="H221" s="38">
        <v>30</v>
      </c>
      <c r="I221" s="39" t="str">
        <f>_xlfn.XLOOKUP(H221,notes!$B$4:$B$8,notes!$C$4:$C$8,"Invalid",-1)</f>
        <v>Adult</v>
      </c>
      <c r="J221" s="37">
        <v>0</v>
      </c>
      <c r="K221" s="37">
        <v>0</v>
      </c>
      <c r="L221" s="37">
        <f t="shared" si="14"/>
        <v>1</v>
      </c>
      <c r="M221" s="40" t="str">
        <f t="shared" si="12"/>
        <v>Not Survived</v>
      </c>
      <c r="N221" s="37" t="str">
        <f>_xlfn.XLOOKUP(L221,notes!$B$28:$B$30,notes!$C$28:$C$30,"Unknown",-1)</f>
        <v>Alone</v>
      </c>
      <c r="O221" s="37" t="s">
        <v>336</v>
      </c>
      <c r="P221" s="37">
        <v>10.5</v>
      </c>
      <c r="Q221" s="37" t="str">
        <f t="shared" si="15"/>
        <v>Mid</v>
      </c>
      <c r="R221" s="37" t="s">
        <v>1236</v>
      </c>
      <c r="S221" s="37" t="s">
        <v>15</v>
      </c>
      <c r="T221" s="41" t="str">
        <f t="shared" si="13"/>
        <v>Southampton</v>
      </c>
    </row>
    <row r="222" spans="1:20">
      <c r="A222" s="37">
        <v>221</v>
      </c>
      <c r="B222" s="37">
        <v>1</v>
      </c>
      <c r="C222" s="37">
        <v>3</v>
      </c>
      <c r="D222" s="37" t="s">
        <v>1650</v>
      </c>
      <c r="E222" s="37" t="s">
        <v>1651</v>
      </c>
      <c r="F222" s="37" t="s">
        <v>1235</v>
      </c>
      <c r="G222" s="37" t="str">
        <f>_xlfn.XLOOKUP(F222,notes!$B$12:$B$18,notes!$C$12:$C$18,"Unknown")</f>
        <v>Male</v>
      </c>
      <c r="H222" s="38">
        <v>16</v>
      </c>
      <c r="I222" s="39" t="str">
        <f>_xlfn.XLOOKUP(H222,notes!$B$4:$B$8,notes!$C$4:$C$8,"Invalid",-1)</f>
        <v>Teenager</v>
      </c>
      <c r="J222" s="37">
        <v>0</v>
      </c>
      <c r="K222" s="37">
        <v>0</v>
      </c>
      <c r="L222" s="37">
        <f t="shared" si="14"/>
        <v>1</v>
      </c>
      <c r="M222" s="40" t="str">
        <f t="shared" si="12"/>
        <v>Survived</v>
      </c>
      <c r="N222" s="37" t="str">
        <f>_xlfn.XLOOKUP(L222,notes!$B$28:$B$30,notes!$C$28:$C$30,"Unknown",-1)</f>
        <v>Alone</v>
      </c>
      <c r="O222" s="37" t="s">
        <v>338</v>
      </c>
      <c r="P222" s="37">
        <v>8.05</v>
      </c>
      <c r="Q222" s="37" t="str">
        <f t="shared" si="15"/>
        <v>Low</v>
      </c>
      <c r="R222" s="37" t="s">
        <v>1236</v>
      </c>
      <c r="S222" s="37" t="s">
        <v>15</v>
      </c>
      <c r="T222" s="41" t="str">
        <f t="shared" si="13"/>
        <v>Southampton</v>
      </c>
    </row>
    <row r="223" spans="1:20">
      <c r="A223" s="37">
        <v>222</v>
      </c>
      <c r="B223" s="37">
        <v>0</v>
      </c>
      <c r="C223" s="37">
        <v>2</v>
      </c>
      <c r="D223" s="37" t="s">
        <v>1652</v>
      </c>
      <c r="E223" s="37" t="s">
        <v>1653</v>
      </c>
      <c r="F223" s="37" t="s">
        <v>1235</v>
      </c>
      <c r="G223" s="37" t="str">
        <f>_xlfn.XLOOKUP(F223,notes!$B$12:$B$18,notes!$C$12:$C$18,"Unknown")</f>
        <v>Male</v>
      </c>
      <c r="H223" s="38">
        <v>27</v>
      </c>
      <c r="I223" s="39" t="str">
        <f>_xlfn.XLOOKUP(H223,notes!$B$4:$B$8,notes!$C$4:$C$8,"Invalid",-1)</f>
        <v>Adult</v>
      </c>
      <c r="J223" s="37">
        <v>0</v>
      </c>
      <c r="K223" s="37">
        <v>0</v>
      </c>
      <c r="L223" s="37">
        <f t="shared" si="14"/>
        <v>1</v>
      </c>
      <c r="M223" s="40" t="str">
        <f t="shared" si="12"/>
        <v>Not Survived</v>
      </c>
      <c r="N223" s="37" t="str">
        <f>_xlfn.XLOOKUP(L223,notes!$B$28:$B$30,notes!$C$28:$C$30,"Unknown",-1)</f>
        <v>Alone</v>
      </c>
      <c r="O223" s="37">
        <v>220367</v>
      </c>
      <c r="P223" s="37">
        <v>13</v>
      </c>
      <c r="Q223" s="37" t="str">
        <f t="shared" si="15"/>
        <v>Mid</v>
      </c>
      <c r="R223" s="37" t="s">
        <v>1236</v>
      </c>
      <c r="S223" s="37" t="s">
        <v>15</v>
      </c>
      <c r="T223" s="41" t="str">
        <f t="shared" si="13"/>
        <v>Southampton</v>
      </c>
    </row>
    <row r="224" spans="1:20">
      <c r="A224" s="37">
        <v>223</v>
      </c>
      <c r="B224" s="37">
        <v>0</v>
      </c>
      <c r="C224" s="37">
        <v>3</v>
      </c>
      <c r="D224" s="37" t="s">
        <v>1654</v>
      </c>
      <c r="E224" s="37" t="s">
        <v>1655</v>
      </c>
      <c r="F224" s="37" t="s">
        <v>1235</v>
      </c>
      <c r="G224" s="37" t="str">
        <f>_xlfn.XLOOKUP(F224,notes!$B$12:$B$18,notes!$C$12:$C$18,"Unknown")</f>
        <v>Male</v>
      </c>
      <c r="H224" s="38">
        <v>51</v>
      </c>
      <c r="I224" s="39" t="str">
        <f>_xlfn.XLOOKUP(H224,notes!$B$4:$B$8,notes!$C$4:$C$8,"Invalid",-1)</f>
        <v>Adult</v>
      </c>
      <c r="J224" s="37">
        <v>0</v>
      </c>
      <c r="K224" s="37">
        <v>0</v>
      </c>
      <c r="L224" s="37">
        <f t="shared" si="14"/>
        <v>1</v>
      </c>
      <c r="M224" s="40" t="str">
        <f t="shared" si="12"/>
        <v>Not Survived</v>
      </c>
      <c r="N224" s="37" t="str">
        <f>_xlfn.XLOOKUP(L224,notes!$B$28:$B$30,notes!$C$28:$C$30,"Unknown",-1)</f>
        <v>Alone</v>
      </c>
      <c r="O224" s="37">
        <v>21440</v>
      </c>
      <c r="P224" s="37">
        <v>8.05</v>
      </c>
      <c r="Q224" s="37" t="str">
        <f t="shared" si="15"/>
        <v>Low</v>
      </c>
      <c r="R224" s="37" t="s">
        <v>1236</v>
      </c>
      <c r="S224" s="37" t="s">
        <v>15</v>
      </c>
      <c r="T224" s="41" t="str">
        <f t="shared" si="13"/>
        <v>Southampton</v>
      </c>
    </row>
    <row r="225" spans="1:20">
      <c r="A225" s="37">
        <v>224</v>
      </c>
      <c r="B225" s="37">
        <v>0</v>
      </c>
      <c r="C225" s="37">
        <v>3</v>
      </c>
      <c r="D225" s="37" t="s">
        <v>1656</v>
      </c>
      <c r="E225" s="37" t="s">
        <v>1657</v>
      </c>
      <c r="F225" s="37" t="s">
        <v>1235</v>
      </c>
      <c r="G225" s="37" t="str">
        <f>_xlfn.XLOOKUP(F225,notes!$B$12:$B$18,notes!$C$12:$C$18,"Unknown")</f>
        <v>Male</v>
      </c>
      <c r="H225" s="38" t="s">
        <v>1236</v>
      </c>
      <c r="I225" s="39" t="str">
        <f>_xlfn.XLOOKUP(H225,notes!$B$4:$B$8,notes!$C$4:$C$8,"Invalid",-1)</f>
        <v>Unknown</v>
      </c>
      <c r="J225" s="37">
        <v>0</v>
      </c>
      <c r="K225" s="37">
        <v>0</v>
      </c>
      <c r="L225" s="37">
        <f t="shared" si="14"/>
        <v>1</v>
      </c>
      <c r="M225" s="40" t="str">
        <f t="shared" si="12"/>
        <v>Not Survived</v>
      </c>
      <c r="N225" s="37" t="str">
        <f>_xlfn.XLOOKUP(L225,notes!$B$28:$B$30,notes!$C$28:$C$30,"Unknown",-1)</f>
        <v>Alone</v>
      </c>
      <c r="O225" s="37">
        <v>349234</v>
      </c>
      <c r="P225" s="37">
        <v>7.8958</v>
      </c>
      <c r="Q225" s="37" t="str">
        <f t="shared" si="15"/>
        <v>Low</v>
      </c>
      <c r="R225" s="37" t="s">
        <v>1236</v>
      </c>
      <c r="S225" s="37" t="s">
        <v>15</v>
      </c>
      <c r="T225" s="41" t="str">
        <f t="shared" si="13"/>
        <v>Southampton</v>
      </c>
    </row>
    <row r="226" spans="1:20">
      <c r="A226" s="37">
        <v>225</v>
      </c>
      <c r="B226" s="37">
        <v>1</v>
      </c>
      <c r="C226" s="37">
        <v>1</v>
      </c>
      <c r="D226" s="37" t="s">
        <v>1658</v>
      </c>
      <c r="E226" s="37" t="s">
        <v>1659</v>
      </c>
      <c r="F226" s="37" t="s">
        <v>1235</v>
      </c>
      <c r="G226" s="37" t="str">
        <f>_xlfn.XLOOKUP(F226,notes!$B$12:$B$18,notes!$C$12:$C$18,"Unknown")</f>
        <v>Male</v>
      </c>
      <c r="H226" s="38">
        <v>38</v>
      </c>
      <c r="I226" s="39" t="str">
        <f>_xlfn.XLOOKUP(H226,notes!$B$4:$B$8,notes!$C$4:$C$8,"Invalid",-1)</f>
        <v>Adult</v>
      </c>
      <c r="J226" s="37">
        <v>1</v>
      </c>
      <c r="K226" s="37">
        <v>0</v>
      </c>
      <c r="L226" s="37">
        <f t="shared" si="14"/>
        <v>2</v>
      </c>
      <c r="M226" s="40" t="str">
        <f t="shared" si="12"/>
        <v>Survived</v>
      </c>
      <c r="N226" s="37" t="str">
        <f>_xlfn.XLOOKUP(L226,notes!$B$28:$B$30,notes!$C$28:$C$30,"Unknown",-1)</f>
        <v>Small Family</v>
      </c>
      <c r="O226" s="37">
        <v>19943</v>
      </c>
      <c r="P226" s="37">
        <v>90</v>
      </c>
      <c r="Q226" s="37" t="str">
        <f t="shared" si="15"/>
        <v>High</v>
      </c>
      <c r="R226" s="37" t="s">
        <v>343</v>
      </c>
      <c r="S226" s="37" t="s">
        <v>15</v>
      </c>
      <c r="T226" s="41" t="str">
        <f t="shared" si="13"/>
        <v>Southampton</v>
      </c>
    </row>
    <row r="227" spans="1:20">
      <c r="A227" s="37">
        <v>226</v>
      </c>
      <c r="B227" s="37">
        <v>0</v>
      </c>
      <c r="C227" s="37">
        <v>3</v>
      </c>
      <c r="D227" s="37" t="s">
        <v>1660</v>
      </c>
      <c r="E227" s="37" t="s">
        <v>1661</v>
      </c>
      <c r="F227" s="37" t="s">
        <v>1235</v>
      </c>
      <c r="G227" s="37" t="str">
        <f>_xlfn.XLOOKUP(F227,notes!$B$12:$B$18,notes!$C$12:$C$18,"Unknown")</f>
        <v>Male</v>
      </c>
      <c r="H227" s="38">
        <v>22</v>
      </c>
      <c r="I227" s="39" t="str">
        <f>_xlfn.XLOOKUP(H227,notes!$B$4:$B$8,notes!$C$4:$C$8,"Invalid",-1)</f>
        <v>Adult</v>
      </c>
      <c r="J227" s="37">
        <v>0</v>
      </c>
      <c r="K227" s="37">
        <v>0</v>
      </c>
      <c r="L227" s="37">
        <f t="shared" si="14"/>
        <v>1</v>
      </c>
      <c r="M227" s="40" t="str">
        <f t="shared" si="12"/>
        <v>Not Survived</v>
      </c>
      <c r="N227" s="37" t="str">
        <f>_xlfn.XLOOKUP(L227,notes!$B$28:$B$30,notes!$C$28:$C$30,"Unknown",-1)</f>
        <v>Alone</v>
      </c>
      <c r="O227" s="37" t="s">
        <v>345</v>
      </c>
      <c r="P227" s="37">
        <v>9.35</v>
      </c>
      <c r="Q227" s="37" t="str">
        <f t="shared" si="15"/>
        <v>Low</v>
      </c>
      <c r="R227" s="37" t="s">
        <v>1236</v>
      </c>
      <c r="S227" s="37" t="s">
        <v>15</v>
      </c>
      <c r="T227" s="41" t="str">
        <f t="shared" si="13"/>
        <v>Southampton</v>
      </c>
    </row>
    <row r="228" spans="1:20">
      <c r="A228" s="37">
        <v>227</v>
      </c>
      <c r="B228" s="37">
        <v>1</v>
      </c>
      <c r="C228" s="37">
        <v>2</v>
      </c>
      <c r="D228" s="37" t="s">
        <v>1662</v>
      </c>
      <c r="E228" s="37" t="s">
        <v>1327</v>
      </c>
      <c r="F228" s="37" t="s">
        <v>1235</v>
      </c>
      <c r="G228" s="37" t="str">
        <f>_xlfn.XLOOKUP(F228,notes!$B$12:$B$18,notes!$C$12:$C$18,"Unknown")</f>
        <v>Male</v>
      </c>
      <c r="H228" s="38">
        <v>19</v>
      </c>
      <c r="I228" s="39" t="str">
        <f>_xlfn.XLOOKUP(H228,notes!$B$4:$B$8,notes!$C$4:$C$8,"Invalid",-1)</f>
        <v>Teenager</v>
      </c>
      <c r="J228" s="37">
        <v>0</v>
      </c>
      <c r="K228" s="37">
        <v>0</v>
      </c>
      <c r="L228" s="37">
        <f t="shared" si="14"/>
        <v>1</v>
      </c>
      <c r="M228" s="40" t="str">
        <f t="shared" si="12"/>
        <v>Survived</v>
      </c>
      <c r="N228" s="37" t="str">
        <f>_xlfn.XLOOKUP(L228,notes!$B$28:$B$30,notes!$C$28:$C$30,"Unknown",-1)</f>
        <v>Alone</v>
      </c>
      <c r="O228" s="37" t="s">
        <v>347</v>
      </c>
      <c r="P228" s="37">
        <v>10.5</v>
      </c>
      <c r="Q228" s="37" t="str">
        <f t="shared" si="15"/>
        <v>Mid</v>
      </c>
      <c r="R228" s="37" t="s">
        <v>1236</v>
      </c>
      <c r="S228" s="37" t="s">
        <v>15</v>
      </c>
      <c r="T228" s="41" t="str">
        <f t="shared" si="13"/>
        <v>Southampton</v>
      </c>
    </row>
    <row r="229" spans="1:20">
      <c r="A229" s="37">
        <v>228</v>
      </c>
      <c r="B229" s="37">
        <v>0</v>
      </c>
      <c r="C229" s="37">
        <v>3</v>
      </c>
      <c r="D229" s="37" t="s">
        <v>1663</v>
      </c>
      <c r="E229" s="37" t="s">
        <v>1664</v>
      </c>
      <c r="F229" s="37" t="s">
        <v>1235</v>
      </c>
      <c r="G229" s="37" t="str">
        <f>_xlfn.XLOOKUP(F229,notes!$B$12:$B$18,notes!$C$12:$C$18,"Unknown")</f>
        <v>Male</v>
      </c>
      <c r="H229" s="38">
        <v>20.5</v>
      </c>
      <c r="I229" s="39" t="str">
        <f>_xlfn.XLOOKUP(H229,notes!$B$4:$B$8,notes!$C$4:$C$8,"Invalid",-1)</f>
        <v>Adult</v>
      </c>
      <c r="J229" s="37">
        <v>0</v>
      </c>
      <c r="K229" s="37">
        <v>0</v>
      </c>
      <c r="L229" s="37">
        <f t="shared" si="14"/>
        <v>1</v>
      </c>
      <c r="M229" s="40" t="str">
        <f t="shared" si="12"/>
        <v>Not Survived</v>
      </c>
      <c r="N229" s="37" t="str">
        <f>_xlfn.XLOOKUP(L229,notes!$B$28:$B$30,notes!$C$28:$C$30,"Unknown",-1)</f>
        <v>Alone</v>
      </c>
      <c r="O229" s="37" t="s">
        <v>349</v>
      </c>
      <c r="P229" s="37">
        <v>7.25</v>
      </c>
      <c r="Q229" s="37" t="str">
        <f t="shared" si="15"/>
        <v>Low</v>
      </c>
      <c r="R229" s="37" t="s">
        <v>1236</v>
      </c>
      <c r="S229" s="37" t="s">
        <v>15</v>
      </c>
      <c r="T229" s="41" t="str">
        <f t="shared" si="13"/>
        <v>Southampton</v>
      </c>
    </row>
    <row r="230" spans="1:20">
      <c r="A230" s="37">
        <v>229</v>
      </c>
      <c r="B230" s="37">
        <v>0</v>
      </c>
      <c r="C230" s="37">
        <v>2</v>
      </c>
      <c r="D230" s="37" t="s">
        <v>1665</v>
      </c>
      <c r="E230" s="37" t="s">
        <v>1666</v>
      </c>
      <c r="F230" s="37" t="s">
        <v>1235</v>
      </c>
      <c r="G230" s="37" t="str">
        <f>_xlfn.XLOOKUP(F230,notes!$B$12:$B$18,notes!$C$12:$C$18,"Unknown")</f>
        <v>Male</v>
      </c>
      <c r="H230" s="38">
        <v>18</v>
      </c>
      <c r="I230" s="39" t="str">
        <f>_xlfn.XLOOKUP(H230,notes!$B$4:$B$8,notes!$C$4:$C$8,"Invalid",-1)</f>
        <v>Teenager</v>
      </c>
      <c r="J230" s="37">
        <v>0</v>
      </c>
      <c r="K230" s="37">
        <v>0</v>
      </c>
      <c r="L230" s="37">
        <f t="shared" si="14"/>
        <v>1</v>
      </c>
      <c r="M230" s="40" t="str">
        <f t="shared" si="12"/>
        <v>Not Survived</v>
      </c>
      <c r="N230" s="37" t="str">
        <f>_xlfn.XLOOKUP(L230,notes!$B$28:$B$30,notes!$C$28:$C$30,"Unknown",-1)</f>
        <v>Alone</v>
      </c>
      <c r="O230" s="37">
        <v>236171</v>
      </c>
      <c r="P230" s="37">
        <v>13</v>
      </c>
      <c r="Q230" s="37" t="str">
        <f t="shared" si="15"/>
        <v>Mid</v>
      </c>
      <c r="R230" s="37" t="s">
        <v>1236</v>
      </c>
      <c r="S230" s="37" t="s">
        <v>15</v>
      </c>
      <c r="T230" s="41" t="str">
        <f t="shared" si="13"/>
        <v>Southampton</v>
      </c>
    </row>
    <row r="231" spans="1:20">
      <c r="A231" s="37">
        <v>230</v>
      </c>
      <c r="B231" s="37">
        <v>0</v>
      </c>
      <c r="C231" s="37">
        <v>3</v>
      </c>
      <c r="D231" s="37" t="s">
        <v>1569</v>
      </c>
      <c r="E231" s="37" t="s">
        <v>1667</v>
      </c>
      <c r="F231" s="37" t="s">
        <v>1242</v>
      </c>
      <c r="G231" s="37" t="str">
        <f>_xlfn.XLOOKUP(F231,notes!$B$12:$B$18,notes!$C$12:$C$18,"Unknown")</f>
        <v>Female</v>
      </c>
      <c r="H231" s="38" t="s">
        <v>1236</v>
      </c>
      <c r="I231" s="39" t="str">
        <f>_xlfn.XLOOKUP(H231,notes!$B$4:$B$8,notes!$C$4:$C$8,"Invalid",-1)</f>
        <v>Unknown</v>
      </c>
      <c r="J231" s="37">
        <v>3</v>
      </c>
      <c r="K231" s="37">
        <v>1</v>
      </c>
      <c r="L231" s="37">
        <f t="shared" si="14"/>
        <v>5</v>
      </c>
      <c r="M231" s="40" t="str">
        <f t="shared" si="12"/>
        <v>Not Survived</v>
      </c>
      <c r="N231" s="37" t="str">
        <f>_xlfn.XLOOKUP(L231,notes!$B$28:$B$30,notes!$C$28:$C$30,"Unknown",-1)</f>
        <v>Large Family</v>
      </c>
      <c r="O231" s="37">
        <v>4133</v>
      </c>
      <c r="P231" s="37">
        <v>25.4667</v>
      </c>
      <c r="Q231" s="37" t="str">
        <f t="shared" si="15"/>
        <v>Mid</v>
      </c>
      <c r="R231" s="37" t="s">
        <v>1236</v>
      </c>
      <c r="S231" s="37" t="s">
        <v>15</v>
      </c>
      <c r="T231" s="41" t="str">
        <f t="shared" si="13"/>
        <v>Southampton</v>
      </c>
    </row>
    <row r="232" spans="1:20">
      <c r="A232" s="37">
        <v>231</v>
      </c>
      <c r="B232" s="37">
        <v>1</v>
      </c>
      <c r="C232" s="37">
        <v>1</v>
      </c>
      <c r="D232" s="37" t="s">
        <v>1360</v>
      </c>
      <c r="E232" s="37" t="s">
        <v>1668</v>
      </c>
      <c r="F232" s="37" t="s">
        <v>1239</v>
      </c>
      <c r="G232" s="37" t="str">
        <f>_xlfn.XLOOKUP(F232,notes!$B$12:$B$18,notes!$C$12:$C$18,"Unknown")</f>
        <v>Female</v>
      </c>
      <c r="H232" s="38">
        <v>35</v>
      </c>
      <c r="I232" s="39" t="str">
        <f>_xlfn.XLOOKUP(H232,notes!$B$4:$B$8,notes!$C$4:$C$8,"Invalid",-1)</f>
        <v>Adult</v>
      </c>
      <c r="J232" s="37">
        <v>1</v>
      </c>
      <c r="K232" s="37">
        <v>0</v>
      </c>
      <c r="L232" s="37">
        <f t="shared" si="14"/>
        <v>2</v>
      </c>
      <c r="M232" s="40" t="str">
        <f t="shared" si="12"/>
        <v>Survived</v>
      </c>
      <c r="N232" s="37" t="str">
        <f>_xlfn.XLOOKUP(L232,notes!$B$28:$B$30,notes!$C$28:$C$30,"Unknown",-1)</f>
        <v>Small Family</v>
      </c>
      <c r="O232" s="37">
        <v>36973</v>
      </c>
      <c r="P232" s="37">
        <v>83.475</v>
      </c>
      <c r="Q232" s="37" t="str">
        <f t="shared" si="15"/>
        <v>High</v>
      </c>
      <c r="R232" s="37" t="s">
        <v>111</v>
      </c>
      <c r="S232" s="37" t="s">
        <v>15</v>
      </c>
      <c r="T232" s="41" t="str">
        <f t="shared" si="13"/>
        <v>Southampton</v>
      </c>
    </row>
    <row r="233" spans="1:20">
      <c r="A233" s="37">
        <v>232</v>
      </c>
      <c r="B233" s="37">
        <v>0</v>
      </c>
      <c r="C233" s="37">
        <v>3</v>
      </c>
      <c r="D233" s="37" t="s">
        <v>1669</v>
      </c>
      <c r="E233" s="37" t="s">
        <v>1670</v>
      </c>
      <c r="F233" s="37" t="s">
        <v>1235</v>
      </c>
      <c r="G233" s="37" t="str">
        <f>_xlfn.XLOOKUP(F233,notes!$B$12:$B$18,notes!$C$12:$C$18,"Unknown")</f>
        <v>Male</v>
      </c>
      <c r="H233" s="38">
        <v>29</v>
      </c>
      <c r="I233" s="39" t="str">
        <f>_xlfn.XLOOKUP(H233,notes!$B$4:$B$8,notes!$C$4:$C$8,"Invalid",-1)</f>
        <v>Adult</v>
      </c>
      <c r="J233" s="37">
        <v>0</v>
      </c>
      <c r="K233" s="37">
        <v>0</v>
      </c>
      <c r="L233" s="37">
        <f t="shared" si="14"/>
        <v>1</v>
      </c>
      <c r="M233" s="40" t="str">
        <f t="shared" si="12"/>
        <v>Not Survived</v>
      </c>
      <c r="N233" s="37" t="str">
        <f>_xlfn.XLOOKUP(L233,notes!$B$28:$B$30,notes!$C$28:$C$30,"Unknown",-1)</f>
        <v>Alone</v>
      </c>
      <c r="O233" s="37">
        <v>347067</v>
      </c>
      <c r="P233" s="37">
        <v>7.775</v>
      </c>
      <c r="Q233" s="37" t="str">
        <f t="shared" si="15"/>
        <v>Low</v>
      </c>
      <c r="R233" s="37" t="s">
        <v>1236</v>
      </c>
      <c r="S233" s="37" t="s">
        <v>15</v>
      </c>
      <c r="T233" s="41" t="str">
        <f t="shared" si="13"/>
        <v>Southampton</v>
      </c>
    </row>
    <row r="234" spans="1:20">
      <c r="A234" s="37">
        <v>233</v>
      </c>
      <c r="B234" s="37">
        <v>0</v>
      </c>
      <c r="C234" s="37">
        <v>2</v>
      </c>
      <c r="D234" s="37" t="s">
        <v>1671</v>
      </c>
      <c r="E234" s="37" t="s">
        <v>1672</v>
      </c>
      <c r="F234" s="37" t="s">
        <v>1235</v>
      </c>
      <c r="G234" s="37" t="str">
        <f>_xlfn.XLOOKUP(F234,notes!$B$12:$B$18,notes!$C$12:$C$18,"Unknown")</f>
        <v>Male</v>
      </c>
      <c r="H234" s="38">
        <v>59</v>
      </c>
      <c r="I234" s="39" t="str">
        <f>_xlfn.XLOOKUP(H234,notes!$B$4:$B$8,notes!$C$4:$C$8,"Invalid",-1)</f>
        <v>Adult</v>
      </c>
      <c r="J234" s="37">
        <v>0</v>
      </c>
      <c r="K234" s="37">
        <v>0</v>
      </c>
      <c r="L234" s="37">
        <f t="shared" si="14"/>
        <v>1</v>
      </c>
      <c r="M234" s="40" t="str">
        <f t="shared" si="12"/>
        <v>Not Survived</v>
      </c>
      <c r="N234" s="37" t="str">
        <f>_xlfn.XLOOKUP(L234,notes!$B$28:$B$30,notes!$C$28:$C$30,"Unknown",-1)</f>
        <v>Alone</v>
      </c>
      <c r="O234" s="37">
        <v>237442</v>
      </c>
      <c r="P234" s="37">
        <v>13.5</v>
      </c>
      <c r="Q234" s="37" t="str">
        <f t="shared" si="15"/>
        <v>Mid</v>
      </c>
      <c r="R234" s="37" t="s">
        <v>1236</v>
      </c>
      <c r="S234" s="37" t="s">
        <v>15</v>
      </c>
      <c r="T234" s="41" t="str">
        <f t="shared" si="13"/>
        <v>Southampton</v>
      </c>
    </row>
    <row r="235" spans="1:20">
      <c r="A235" s="37">
        <v>234</v>
      </c>
      <c r="B235" s="37">
        <v>1</v>
      </c>
      <c r="C235" s="37">
        <v>3</v>
      </c>
      <c r="D235" s="37" t="s">
        <v>1286</v>
      </c>
      <c r="E235" s="37" t="s">
        <v>1673</v>
      </c>
      <c r="F235" s="37" t="s">
        <v>1242</v>
      </c>
      <c r="G235" s="37" t="str">
        <f>_xlfn.XLOOKUP(F235,notes!$B$12:$B$18,notes!$C$12:$C$18,"Unknown")</f>
        <v>Female</v>
      </c>
      <c r="H235" s="38">
        <v>5</v>
      </c>
      <c r="I235" s="39" t="str">
        <f>_xlfn.XLOOKUP(H235,notes!$B$4:$B$8,notes!$C$4:$C$8,"Invalid",-1)</f>
        <v>Kid</v>
      </c>
      <c r="J235" s="37">
        <v>4</v>
      </c>
      <c r="K235" s="37">
        <v>2</v>
      </c>
      <c r="L235" s="37">
        <f t="shared" si="14"/>
        <v>7</v>
      </c>
      <c r="M235" s="40" t="str">
        <f t="shared" si="12"/>
        <v>Survived</v>
      </c>
      <c r="N235" s="37" t="str">
        <f>_xlfn.XLOOKUP(L235,notes!$B$28:$B$30,notes!$C$28:$C$30,"Unknown",-1)</f>
        <v>Large Family</v>
      </c>
      <c r="O235" s="37">
        <v>347077</v>
      </c>
      <c r="P235" s="37">
        <v>31.3875</v>
      </c>
      <c r="Q235" s="37" t="str">
        <f t="shared" si="15"/>
        <v>Mid</v>
      </c>
      <c r="R235" s="37" t="s">
        <v>1236</v>
      </c>
      <c r="S235" s="37" t="s">
        <v>15</v>
      </c>
      <c r="T235" s="41" t="str">
        <f t="shared" si="13"/>
        <v>Southampton</v>
      </c>
    </row>
    <row r="236" spans="1:20">
      <c r="A236" s="37">
        <v>235</v>
      </c>
      <c r="B236" s="37">
        <v>0</v>
      </c>
      <c r="C236" s="37">
        <v>2</v>
      </c>
      <c r="D236" s="37" t="s">
        <v>1674</v>
      </c>
      <c r="E236" s="37" t="s">
        <v>1675</v>
      </c>
      <c r="F236" s="37" t="s">
        <v>1235</v>
      </c>
      <c r="G236" s="37" t="str">
        <f>_xlfn.XLOOKUP(F236,notes!$B$12:$B$18,notes!$C$12:$C$18,"Unknown")</f>
        <v>Male</v>
      </c>
      <c r="H236" s="38">
        <v>24</v>
      </c>
      <c r="I236" s="39" t="str">
        <f>_xlfn.XLOOKUP(H236,notes!$B$4:$B$8,notes!$C$4:$C$8,"Invalid",-1)</f>
        <v>Adult</v>
      </c>
      <c r="J236" s="37">
        <v>0</v>
      </c>
      <c r="K236" s="37">
        <v>0</v>
      </c>
      <c r="L236" s="37">
        <f t="shared" si="14"/>
        <v>1</v>
      </c>
      <c r="M236" s="40" t="str">
        <f t="shared" si="12"/>
        <v>Not Survived</v>
      </c>
      <c r="N236" s="37" t="str">
        <f>_xlfn.XLOOKUP(L236,notes!$B$28:$B$30,notes!$C$28:$C$30,"Unknown",-1)</f>
        <v>Alone</v>
      </c>
      <c r="O236" s="37" t="s">
        <v>357</v>
      </c>
      <c r="P236" s="37">
        <v>10.5</v>
      </c>
      <c r="Q236" s="37" t="str">
        <f t="shared" si="15"/>
        <v>Mid</v>
      </c>
      <c r="R236" s="37" t="s">
        <v>1236</v>
      </c>
      <c r="S236" s="37" t="s">
        <v>15</v>
      </c>
      <c r="T236" s="41" t="str">
        <f t="shared" si="13"/>
        <v>Southampton</v>
      </c>
    </row>
    <row r="237" spans="1:20">
      <c r="A237" s="37">
        <v>236</v>
      </c>
      <c r="B237" s="37">
        <v>0</v>
      </c>
      <c r="C237" s="37">
        <v>3</v>
      </c>
      <c r="D237" s="37" t="s">
        <v>1676</v>
      </c>
      <c r="E237" s="37" t="s">
        <v>1677</v>
      </c>
      <c r="F237" s="37" t="s">
        <v>1242</v>
      </c>
      <c r="G237" s="37" t="str">
        <f>_xlfn.XLOOKUP(F237,notes!$B$12:$B$18,notes!$C$12:$C$18,"Unknown")</f>
        <v>Female</v>
      </c>
      <c r="H237" s="38" t="s">
        <v>1236</v>
      </c>
      <c r="I237" s="39" t="str">
        <f>_xlfn.XLOOKUP(H237,notes!$B$4:$B$8,notes!$C$4:$C$8,"Invalid",-1)</f>
        <v>Unknown</v>
      </c>
      <c r="J237" s="37">
        <v>0</v>
      </c>
      <c r="K237" s="37">
        <v>0</v>
      </c>
      <c r="L237" s="37">
        <f t="shared" si="14"/>
        <v>1</v>
      </c>
      <c r="M237" s="40" t="str">
        <f t="shared" si="12"/>
        <v>Not Survived</v>
      </c>
      <c r="N237" s="37" t="str">
        <f>_xlfn.XLOOKUP(L237,notes!$B$28:$B$30,notes!$C$28:$C$30,"Unknown",-1)</f>
        <v>Alone</v>
      </c>
      <c r="O237" s="37" t="s">
        <v>359</v>
      </c>
      <c r="P237" s="37">
        <v>7.55</v>
      </c>
      <c r="Q237" s="37" t="str">
        <f t="shared" si="15"/>
        <v>Low</v>
      </c>
      <c r="R237" s="37" t="s">
        <v>1236</v>
      </c>
      <c r="S237" s="37" t="s">
        <v>15</v>
      </c>
      <c r="T237" s="41" t="str">
        <f t="shared" si="13"/>
        <v>Southampton</v>
      </c>
    </row>
    <row r="238" spans="1:20">
      <c r="A238" s="37">
        <v>237</v>
      </c>
      <c r="B238" s="37">
        <v>0</v>
      </c>
      <c r="C238" s="37">
        <v>2</v>
      </c>
      <c r="D238" s="37" t="s">
        <v>1678</v>
      </c>
      <c r="E238" s="37" t="s">
        <v>1679</v>
      </c>
      <c r="F238" s="37" t="s">
        <v>1235</v>
      </c>
      <c r="G238" s="37" t="str">
        <f>_xlfn.XLOOKUP(F238,notes!$B$12:$B$18,notes!$C$12:$C$18,"Unknown")</f>
        <v>Male</v>
      </c>
      <c r="H238" s="38">
        <v>44</v>
      </c>
      <c r="I238" s="39" t="str">
        <f>_xlfn.XLOOKUP(H238,notes!$B$4:$B$8,notes!$C$4:$C$8,"Invalid",-1)</f>
        <v>Adult</v>
      </c>
      <c r="J238" s="37">
        <v>1</v>
      </c>
      <c r="K238" s="37">
        <v>0</v>
      </c>
      <c r="L238" s="37">
        <f t="shared" si="14"/>
        <v>2</v>
      </c>
      <c r="M238" s="40" t="str">
        <f t="shared" si="12"/>
        <v>Not Survived</v>
      </c>
      <c r="N238" s="37" t="str">
        <f>_xlfn.XLOOKUP(L238,notes!$B$28:$B$30,notes!$C$28:$C$30,"Unknown",-1)</f>
        <v>Small Family</v>
      </c>
      <c r="O238" s="37">
        <v>26707</v>
      </c>
      <c r="P238" s="37">
        <v>26</v>
      </c>
      <c r="Q238" s="37" t="str">
        <f t="shared" si="15"/>
        <v>Mid</v>
      </c>
      <c r="R238" s="37" t="s">
        <v>1236</v>
      </c>
      <c r="S238" s="37" t="s">
        <v>15</v>
      </c>
      <c r="T238" s="41" t="str">
        <f t="shared" si="13"/>
        <v>Southampton</v>
      </c>
    </row>
    <row r="239" spans="1:20">
      <c r="A239" s="37">
        <v>238</v>
      </c>
      <c r="B239" s="37">
        <v>1</v>
      </c>
      <c r="C239" s="37">
        <v>2</v>
      </c>
      <c r="D239" s="37" t="s">
        <v>1680</v>
      </c>
      <c r="E239" s="37" t="s">
        <v>1681</v>
      </c>
      <c r="F239" s="37" t="s">
        <v>1242</v>
      </c>
      <c r="G239" s="37" t="str">
        <f>_xlfn.XLOOKUP(F239,notes!$B$12:$B$18,notes!$C$12:$C$18,"Unknown")</f>
        <v>Female</v>
      </c>
      <c r="H239" s="38">
        <v>8</v>
      </c>
      <c r="I239" s="39" t="str">
        <f>_xlfn.XLOOKUP(H239,notes!$B$4:$B$8,notes!$C$4:$C$8,"Invalid",-1)</f>
        <v>Kid</v>
      </c>
      <c r="J239" s="37">
        <v>0</v>
      </c>
      <c r="K239" s="37">
        <v>2</v>
      </c>
      <c r="L239" s="37">
        <f t="shared" si="14"/>
        <v>3</v>
      </c>
      <c r="M239" s="40" t="str">
        <f t="shared" si="12"/>
        <v>Survived</v>
      </c>
      <c r="N239" s="37" t="str">
        <f>_xlfn.XLOOKUP(L239,notes!$B$28:$B$30,notes!$C$28:$C$30,"Unknown",-1)</f>
        <v>Small Family</v>
      </c>
      <c r="O239" s="37" t="s">
        <v>362</v>
      </c>
      <c r="P239" s="37">
        <v>26.25</v>
      </c>
      <c r="Q239" s="37" t="str">
        <f t="shared" si="15"/>
        <v>Mid</v>
      </c>
      <c r="R239" s="37" t="s">
        <v>1236</v>
      </c>
      <c r="S239" s="37" t="s">
        <v>15</v>
      </c>
      <c r="T239" s="41" t="str">
        <f t="shared" si="13"/>
        <v>Southampton</v>
      </c>
    </row>
    <row r="240" spans="1:20">
      <c r="A240" s="37">
        <v>239</v>
      </c>
      <c r="B240" s="37">
        <v>0</v>
      </c>
      <c r="C240" s="37">
        <v>2</v>
      </c>
      <c r="D240" s="37" t="s">
        <v>1682</v>
      </c>
      <c r="E240" s="37" t="s">
        <v>1683</v>
      </c>
      <c r="F240" s="37" t="s">
        <v>1235</v>
      </c>
      <c r="G240" s="37" t="str">
        <f>_xlfn.XLOOKUP(F240,notes!$B$12:$B$18,notes!$C$12:$C$18,"Unknown")</f>
        <v>Male</v>
      </c>
      <c r="H240" s="38">
        <v>19</v>
      </c>
      <c r="I240" s="39" t="str">
        <f>_xlfn.XLOOKUP(H240,notes!$B$4:$B$8,notes!$C$4:$C$8,"Invalid",-1)</f>
        <v>Teenager</v>
      </c>
      <c r="J240" s="37">
        <v>0</v>
      </c>
      <c r="K240" s="37">
        <v>0</v>
      </c>
      <c r="L240" s="37">
        <f t="shared" si="14"/>
        <v>1</v>
      </c>
      <c r="M240" s="40" t="str">
        <f t="shared" si="12"/>
        <v>Not Survived</v>
      </c>
      <c r="N240" s="37" t="str">
        <f>_xlfn.XLOOKUP(L240,notes!$B$28:$B$30,notes!$C$28:$C$30,"Unknown",-1)</f>
        <v>Alone</v>
      </c>
      <c r="O240" s="37">
        <v>28665</v>
      </c>
      <c r="P240" s="37">
        <v>10.5</v>
      </c>
      <c r="Q240" s="37" t="str">
        <f t="shared" si="15"/>
        <v>Mid</v>
      </c>
      <c r="R240" s="37" t="s">
        <v>1236</v>
      </c>
      <c r="S240" s="37" t="s">
        <v>15</v>
      </c>
      <c r="T240" s="41" t="str">
        <f t="shared" si="13"/>
        <v>Southampton</v>
      </c>
    </row>
    <row r="241" spans="1:20">
      <c r="A241" s="37">
        <v>240</v>
      </c>
      <c r="B241" s="37">
        <v>0</v>
      </c>
      <c r="C241" s="37">
        <v>2</v>
      </c>
      <c r="D241" s="37" t="s">
        <v>1684</v>
      </c>
      <c r="E241" s="37" t="s">
        <v>1655</v>
      </c>
      <c r="F241" s="37" t="s">
        <v>1235</v>
      </c>
      <c r="G241" s="37" t="str">
        <f>_xlfn.XLOOKUP(F241,notes!$B$12:$B$18,notes!$C$12:$C$18,"Unknown")</f>
        <v>Male</v>
      </c>
      <c r="H241" s="38">
        <v>33</v>
      </c>
      <c r="I241" s="39" t="str">
        <f>_xlfn.XLOOKUP(H241,notes!$B$4:$B$8,notes!$C$4:$C$8,"Invalid",-1)</f>
        <v>Adult</v>
      </c>
      <c r="J241" s="37">
        <v>0</v>
      </c>
      <c r="K241" s="37">
        <v>0</v>
      </c>
      <c r="L241" s="37">
        <f t="shared" si="14"/>
        <v>1</v>
      </c>
      <c r="M241" s="40" t="str">
        <f t="shared" si="12"/>
        <v>Not Survived</v>
      </c>
      <c r="N241" s="37" t="str">
        <f>_xlfn.XLOOKUP(L241,notes!$B$28:$B$30,notes!$C$28:$C$30,"Unknown",-1)</f>
        <v>Alone</v>
      </c>
      <c r="O241" s="37" t="s">
        <v>365</v>
      </c>
      <c r="P241" s="37">
        <v>12.275</v>
      </c>
      <c r="Q241" s="37" t="str">
        <f t="shared" si="15"/>
        <v>Mid</v>
      </c>
      <c r="R241" s="37" t="s">
        <v>1236</v>
      </c>
      <c r="S241" s="37" t="s">
        <v>15</v>
      </c>
      <c r="T241" s="41" t="str">
        <f t="shared" si="13"/>
        <v>Southampton</v>
      </c>
    </row>
    <row r="242" spans="1:20">
      <c r="A242" s="37">
        <v>241</v>
      </c>
      <c r="B242" s="37">
        <v>0</v>
      </c>
      <c r="C242" s="37">
        <v>3</v>
      </c>
      <c r="D242" s="37" t="s">
        <v>1452</v>
      </c>
      <c r="E242" s="37" t="s">
        <v>1685</v>
      </c>
      <c r="F242" s="37" t="s">
        <v>1242</v>
      </c>
      <c r="G242" s="37" t="str">
        <f>_xlfn.XLOOKUP(F242,notes!$B$12:$B$18,notes!$C$12:$C$18,"Unknown")</f>
        <v>Female</v>
      </c>
      <c r="H242" s="38" t="s">
        <v>1236</v>
      </c>
      <c r="I242" s="39" t="str">
        <f>_xlfn.XLOOKUP(H242,notes!$B$4:$B$8,notes!$C$4:$C$8,"Invalid",-1)</f>
        <v>Unknown</v>
      </c>
      <c r="J242" s="37">
        <v>1</v>
      </c>
      <c r="K242" s="37">
        <v>0</v>
      </c>
      <c r="L242" s="37">
        <f t="shared" si="14"/>
        <v>2</v>
      </c>
      <c r="M242" s="40" t="str">
        <f t="shared" si="12"/>
        <v>Not Survived</v>
      </c>
      <c r="N242" s="37" t="str">
        <f>_xlfn.XLOOKUP(L242,notes!$B$28:$B$30,notes!$C$28:$C$30,"Unknown",-1)</f>
        <v>Small Family</v>
      </c>
      <c r="O242" s="37">
        <v>2665</v>
      </c>
      <c r="P242" s="37">
        <v>14.4542</v>
      </c>
      <c r="Q242" s="37" t="str">
        <f t="shared" si="15"/>
        <v>Mid</v>
      </c>
      <c r="R242" s="37" t="s">
        <v>1236</v>
      </c>
      <c r="S242" s="37" t="s">
        <v>20</v>
      </c>
      <c r="T242" s="41" t="str">
        <f t="shared" si="13"/>
        <v>Cherbourg</v>
      </c>
    </row>
    <row r="243" spans="1:20">
      <c r="A243" s="37">
        <v>242</v>
      </c>
      <c r="B243" s="37">
        <v>1</v>
      </c>
      <c r="C243" s="37">
        <v>3</v>
      </c>
      <c r="D243" s="37" t="s">
        <v>1686</v>
      </c>
      <c r="E243" s="37" t="s">
        <v>1687</v>
      </c>
      <c r="F243" s="37" t="s">
        <v>1242</v>
      </c>
      <c r="G243" s="37" t="str">
        <f>_xlfn.XLOOKUP(F243,notes!$B$12:$B$18,notes!$C$12:$C$18,"Unknown")</f>
        <v>Female</v>
      </c>
      <c r="H243" s="38" t="s">
        <v>1236</v>
      </c>
      <c r="I243" s="39" t="str">
        <f>_xlfn.XLOOKUP(H243,notes!$B$4:$B$8,notes!$C$4:$C$8,"Invalid",-1)</f>
        <v>Unknown</v>
      </c>
      <c r="J243" s="37">
        <v>1</v>
      </c>
      <c r="K243" s="37">
        <v>0</v>
      </c>
      <c r="L243" s="37">
        <f t="shared" si="14"/>
        <v>2</v>
      </c>
      <c r="M243" s="40" t="str">
        <f t="shared" si="12"/>
        <v>Survived</v>
      </c>
      <c r="N243" s="37" t="str">
        <f>_xlfn.XLOOKUP(L243,notes!$B$28:$B$30,notes!$C$28:$C$30,"Unknown",-1)</f>
        <v>Small Family</v>
      </c>
      <c r="O243" s="37">
        <v>367230</v>
      </c>
      <c r="P243" s="37">
        <v>15.5</v>
      </c>
      <c r="Q243" s="37" t="str">
        <f t="shared" si="15"/>
        <v>Mid</v>
      </c>
      <c r="R243" s="37" t="s">
        <v>1236</v>
      </c>
      <c r="S243" s="37" t="s">
        <v>28</v>
      </c>
      <c r="T243" s="41" t="str">
        <f t="shared" si="13"/>
        <v>Queenstown</v>
      </c>
    </row>
    <row r="244" spans="1:20">
      <c r="A244" s="37">
        <v>243</v>
      </c>
      <c r="B244" s="37">
        <v>0</v>
      </c>
      <c r="C244" s="37">
        <v>2</v>
      </c>
      <c r="D244" s="37" t="s">
        <v>1688</v>
      </c>
      <c r="E244" s="37" t="s">
        <v>1689</v>
      </c>
      <c r="F244" s="37" t="s">
        <v>1235</v>
      </c>
      <c r="G244" s="37" t="str">
        <f>_xlfn.XLOOKUP(F244,notes!$B$12:$B$18,notes!$C$12:$C$18,"Unknown")</f>
        <v>Male</v>
      </c>
      <c r="H244" s="38">
        <v>29</v>
      </c>
      <c r="I244" s="39" t="str">
        <f>_xlfn.XLOOKUP(H244,notes!$B$4:$B$8,notes!$C$4:$C$8,"Invalid",-1)</f>
        <v>Adult</v>
      </c>
      <c r="J244" s="37">
        <v>0</v>
      </c>
      <c r="K244" s="37">
        <v>0</v>
      </c>
      <c r="L244" s="37">
        <f t="shared" si="14"/>
        <v>1</v>
      </c>
      <c r="M244" s="40" t="str">
        <f t="shared" si="12"/>
        <v>Not Survived</v>
      </c>
      <c r="N244" s="37" t="str">
        <f>_xlfn.XLOOKUP(L244,notes!$B$28:$B$30,notes!$C$28:$C$30,"Unknown",-1)</f>
        <v>Alone</v>
      </c>
      <c r="O244" s="37" t="s">
        <v>369</v>
      </c>
      <c r="P244" s="37">
        <v>10.5</v>
      </c>
      <c r="Q244" s="37" t="str">
        <f t="shared" si="15"/>
        <v>Mid</v>
      </c>
      <c r="R244" s="37" t="s">
        <v>1236</v>
      </c>
      <c r="S244" s="37" t="s">
        <v>15</v>
      </c>
      <c r="T244" s="41" t="str">
        <f t="shared" si="13"/>
        <v>Southampton</v>
      </c>
    </row>
    <row r="245" spans="1:20">
      <c r="A245" s="37">
        <v>244</v>
      </c>
      <c r="B245" s="37">
        <v>0</v>
      </c>
      <c r="C245" s="37">
        <v>3</v>
      </c>
      <c r="D245" s="37" t="s">
        <v>1690</v>
      </c>
      <c r="E245" s="37" t="s">
        <v>1691</v>
      </c>
      <c r="F245" s="37" t="s">
        <v>1235</v>
      </c>
      <c r="G245" s="37" t="str">
        <f>_xlfn.XLOOKUP(F245,notes!$B$12:$B$18,notes!$C$12:$C$18,"Unknown")</f>
        <v>Male</v>
      </c>
      <c r="H245" s="38">
        <v>22</v>
      </c>
      <c r="I245" s="39" t="str">
        <f>_xlfn.XLOOKUP(H245,notes!$B$4:$B$8,notes!$C$4:$C$8,"Invalid",-1)</f>
        <v>Adult</v>
      </c>
      <c r="J245" s="37">
        <v>0</v>
      </c>
      <c r="K245" s="37">
        <v>0</v>
      </c>
      <c r="L245" s="37">
        <f t="shared" si="14"/>
        <v>1</v>
      </c>
      <c r="M245" s="40" t="str">
        <f t="shared" si="12"/>
        <v>Not Survived</v>
      </c>
      <c r="N245" s="37" t="str">
        <f>_xlfn.XLOOKUP(L245,notes!$B$28:$B$30,notes!$C$28:$C$30,"Unknown",-1)</f>
        <v>Alone</v>
      </c>
      <c r="O245" s="37" t="s">
        <v>371</v>
      </c>
      <c r="P245" s="37">
        <v>7.125</v>
      </c>
      <c r="Q245" s="37" t="str">
        <f t="shared" si="15"/>
        <v>Low</v>
      </c>
      <c r="R245" s="37" t="s">
        <v>1236</v>
      </c>
      <c r="S245" s="37" t="s">
        <v>15</v>
      </c>
      <c r="T245" s="41" t="str">
        <f t="shared" si="13"/>
        <v>Southampton</v>
      </c>
    </row>
    <row r="246" spans="1:20">
      <c r="A246" s="37">
        <v>245</v>
      </c>
      <c r="B246" s="37">
        <v>0</v>
      </c>
      <c r="C246" s="37">
        <v>3</v>
      </c>
      <c r="D246" s="37" t="s">
        <v>1458</v>
      </c>
      <c r="E246" s="37" t="s">
        <v>1692</v>
      </c>
      <c r="F246" s="37" t="s">
        <v>1235</v>
      </c>
      <c r="G246" s="37" t="str">
        <f>_xlfn.XLOOKUP(F246,notes!$B$12:$B$18,notes!$C$12:$C$18,"Unknown")</f>
        <v>Male</v>
      </c>
      <c r="H246" s="38">
        <v>30</v>
      </c>
      <c r="I246" s="39" t="str">
        <f>_xlfn.XLOOKUP(H246,notes!$B$4:$B$8,notes!$C$4:$C$8,"Invalid",-1)</f>
        <v>Adult</v>
      </c>
      <c r="J246" s="37">
        <v>0</v>
      </c>
      <c r="K246" s="37">
        <v>0</v>
      </c>
      <c r="L246" s="37">
        <f t="shared" si="14"/>
        <v>1</v>
      </c>
      <c r="M246" s="40" t="str">
        <f t="shared" si="12"/>
        <v>Not Survived</v>
      </c>
      <c r="N246" s="37" t="str">
        <f>_xlfn.XLOOKUP(L246,notes!$B$28:$B$30,notes!$C$28:$C$30,"Unknown",-1)</f>
        <v>Alone</v>
      </c>
      <c r="O246" s="37">
        <v>2694</v>
      </c>
      <c r="P246" s="37">
        <v>7.225</v>
      </c>
      <c r="Q246" s="37" t="str">
        <f t="shared" si="15"/>
        <v>Low</v>
      </c>
      <c r="R246" s="37" t="s">
        <v>1236</v>
      </c>
      <c r="S246" s="37" t="s">
        <v>20</v>
      </c>
      <c r="T246" s="41" t="str">
        <f t="shared" si="13"/>
        <v>Cherbourg</v>
      </c>
    </row>
    <row r="247" spans="1:20">
      <c r="A247" s="37">
        <v>246</v>
      </c>
      <c r="B247" s="37">
        <v>0</v>
      </c>
      <c r="C247" s="37">
        <v>1</v>
      </c>
      <c r="D247" s="37" t="s">
        <v>1693</v>
      </c>
      <c r="E247" s="37" t="s">
        <v>1694</v>
      </c>
      <c r="F247" s="37" t="s">
        <v>1695</v>
      </c>
      <c r="G247" s="37" t="str">
        <f>_xlfn.XLOOKUP(F247,notes!$B$12:$B$18,notes!$C$12:$C$18,"Unknown")</f>
        <v>Male</v>
      </c>
      <c r="H247" s="38">
        <v>44</v>
      </c>
      <c r="I247" s="39" t="str">
        <f>_xlfn.XLOOKUP(H247,notes!$B$4:$B$8,notes!$C$4:$C$8,"Invalid",-1)</f>
        <v>Adult</v>
      </c>
      <c r="J247" s="37">
        <v>2</v>
      </c>
      <c r="K247" s="37">
        <v>0</v>
      </c>
      <c r="L247" s="37">
        <f t="shared" si="14"/>
        <v>3</v>
      </c>
      <c r="M247" s="40" t="str">
        <f t="shared" si="12"/>
        <v>Not Survived</v>
      </c>
      <c r="N247" s="37" t="str">
        <f>_xlfn.XLOOKUP(L247,notes!$B$28:$B$30,notes!$C$28:$C$30,"Unknown",-1)</f>
        <v>Small Family</v>
      </c>
      <c r="O247" s="37">
        <v>19928</v>
      </c>
      <c r="P247" s="37">
        <v>90</v>
      </c>
      <c r="Q247" s="37" t="str">
        <f t="shared" si="15"/>
        <v>High</v>
      </c>
      <c r="R247" s="37" t="s">
        <v>374</v>
      </c>
      <c r="S247" s="37" t="s">
        <v>28</v>
      </c>
      <c r="T247" s="41" t="str">
        <f t="shared" si="13"/>
        <v>Queenstown</v>
      </c>
    </row>
    <row r="248" spans="1:20">
      <c r="A248" s="37">
        <v>247</v>
      </c>
      <c r="B248" s="37">
        <v>0</v>
      </c>
      <c r="C248" s="37">
        <v>3</v>
      </c>
      <c r="D248" s="37" t="s">
        <v>1696</v>
      </c>
      <c r="E248" s="37" t="s">
        <v>1697</v>
      </c>
      <c r="F248" s="37" t="s">
        <v>1242</v>
      </c>
      <c r="G248" s="37" t="str">
        <f>_xlfn.XLOOKUP(F248,notes!$B$12:$B$18,notes!$C$12:$C$18,"Unknown")</f>
        <v>Female</v>
      </c>
      <c r="H248" s="38">
        <v>25</v>
      </c>
      <c r="I248" s="39" t="str">
        <f>_xlfn.XLOOKUP(H248,notes!$B$4:$B$8,notes!$C$4:$C$8,"Invalid",-1)</f>
        <v>Adult</v>
      </c>
      <c r="J248" s="37">
        <v>0</v>
      </c>
      <c r="K248" s="37">
        <v>0</v>
      </c>
      <c r="L248" s="37">
        <f t="shared" si="14"/>
        <v>1</v>
      </c>
      <c r="M248" s="40" t="str">
        <f t="shared" si="12"/>
        <v>Not Survived</v>
      </c>
      <c r="N248" s="37" t="str">
        <f>_xlfn.XLOOKUP(L248,notes!$B$28:$B$30,notes!$C$28:$C$30,"Unknown",-1)</f>
        <v>Alone</v>
      </c>
      <c r="O248" s="37">
        <v>347071</v>
      </c>
      <c r="P248" s="37">
        <v>7.775</v>
      </c>
      <c r="Q248" s="37" t="str">
        <f t="shared" si="15"/>
        <v>Low</v>
      </c>
      <c r="R248" s="37" t="s">
        <v>1236</v>
      </c>
      <c r="S248" s="37" t="s">
        <v>15</v>
      </c>
      <c r="T248" s="41" t="str">
        <f t="shared" si="13"/>
        <v>Southampton</v>
      </c>
    </row>
    <row r="249" spans="1:20">
      <c r="A249" s="37">
        <v>248</v>
      </c>
      <c r="B249" s="37">
        <v>1</v>
      </c>
      <c r="C249" s="37">
        <v>2</v>
      </c>
      <c r="D249" s="37" t="s">
        <v>1698</v>
      </c>
      <c r="E249" s="37" t="s">
        <v>1699</v>
      </c>
      <c r="F249" s="37" t="s">
        <v>1239</v>
      </c>
      <c r="G249" s="37" t="str">
        <f>_xlfn.XLOOKUP(F249,notes!$B$12:$B$18,notes!$C$12:$C$18,"Unknown")</f>
        <v>Female</v>
      </c>
      <c r="H249" s="38">
        <v>24</v>
      </c>
      <c r="I249" s="39" t="str">
        <f>_xlfn.XLOOKUP(H249,notes!$B$4:$B$8,notes!$C$4:$C$8,"Invalid",-1)</f>
        <v>Adult</v>
      </c>
      <c r="J249" s="37">
        <v>0</v>
      </c>
      <c r="K249" s="37">
        <v>2</v>
      </c>
      <c r="L249" s="37">
        <f t="shared" si="14"/>
        <v>3</v>
      </c>
      <c r="M249" s="40" t="str">
        <f t="shared" si="12"/>
        <v>Survived</v>
      </c>
      <c r="N249" s="37" t="str">
        <f>_xlfn.XLOOKUP(L249,notes!$B$28:$B$30,notes!$C$28:$C$30,"Unknown",-1)</f>
        <v>Small Family</v>
      </c>
      <c r="O249" s="37">
        <v>250649</v>
      </c>
      <c r="P249" s="37">
        <v>14.5</v>
      </c>
      <c r="Q249" s="37" t="str">
        <f t="shared" si="15"/>
        <v>Mid</v>
      </c>
      <c r="R249" s="37" t="s">
        <v>1236</v>
      </c>
      <c r="S249" s="37" t="s">
        <v>15</v>
      </c>
      <c r="T249" s="41" t="str">
        <f t="shared" si="13"/>
        <v>Southampton</v>
      </c>
    </row>
    <row r="250" spans="1:20">
      <c r="A250" s="37">
        <v>249</v>
      </c>
      <c r="B250" s="37">
        <v>1</v>
      </c>
      <c r="C250" s="37">
        <v>1</v>
      </c>
      <c r="D250" s="37" t="s">
        <v>1700</v>
      </c>
      <c r="E250" s="37" t="s">
        <v>1701</v>
      </c>
      <c r="F250" s="37" t="s">
        <v>1235</v>
      </c>
      <c r="G250" s="37" t="str">
        <f>_xlfn.XLOOKUP(F250,notes!$B$12:$B$18,notes!$C$12:$C$18,"Unknown")</f>
        <v>Male</v>
      </c>
      <c r="H250" s="38">
        <v>37</v>
      </c>
      <c r="I250" s="39" t="str">
        <f>_xlfn.XLOOKUP(H250,notes!$B$4:$B$8,notes!$C$4:$C$8,"Invalid",-1)</f>
        <v>Adult</v>
      </c>
      <c r="J250" s="37">
        <v>1</v>
      </c>
      <c r="K250" s="37">
        <v>1</v>
      </c>
      <c r="L250" s="37">
        <f t="shared" si="14"/>
        <v>3</v>
      </c>
      <c r="M250" s="40" t="str">
        <f t="shared" si="12"/>
        <v>Survived</v>
      </c>
      <c r="N250" s="37" t="str">
        <f>_xlfn.XLOOKUP(L250,notes!$B$28:$B$30,notes!$C$28:$C$30,"Unknown",-1)</f>
        <v>Small Family</v>
      </c>
      <c r="O250" s="37">
        <v>11751</v>
      </c>
      <c r="P250" s="37">
        <v>52.5542</v>
      </c>
      <c r="Q250" s="37" t="str">
        <f t="shared" si="15"/>
        <v>High</v>
      </c>
      <c r="R250" s="37" t="s">
        <v>378</v>
      </c>
      <c r="S250" s="37" t="s">
        <v>15</v>
      </c>
      <c r="T250" s="41" t="str">
        <f t="shared" si="13"/>
        <v>Southampton</v>
      </c>
    </row>
    <row r="251" spans="1:20">
      <c r="A251" s="37">
        <v>250</v>
      </c>
      <c r="B251" s="37">
        <v>0</v>
      </c>
      <c r="C251" s="37">
        <v>2</v>
      </c>
      <c r="D251" s="37" t="s">
        <v>1702</v>
      </c>
      <c r="E251" s="37" t="s">
        <v>1703</v>
      </c>
      <c r="F251" s="37" t="s">
        <v>1522</v>
      </c>
      <c r="G251" s="37" t="str">
        <f>_xlfn.XLOOKUP(F251,notes!$B$12:$B$18,notes!$C$12:$C$18,"Unknown")</f>
        <v>Male</v>
      </c>
      <c r="H251" s="38">
        <v>54</v>
      </c>
      <c r="I251" s="39" t="str">
        <f>_xlfn.XLOOKUP(H251,notes!$B$4:$B$8,notes!$C$4:$C$8,"Invalid",-1)</f>
        <v>Adult</v>
      </c>
      <c r="J251" s="37">
        <v>1</v>
      </c>
      <c r="K251" s="37">
        <v>0</v>
      </c>
      <c r="L251" s="37">
        <f t="shared" si="14"/>
        <v>2</v>
      </c>
      <c r="M251" s="40" t="str">
        <f t="shared" si="12"/>
        <v>Not Survived</v>
      </c>
      <c r="N251" s="37" t="str">
        <f>_xlfn.XLOOKUP(L251,notes!$B$28:$B$30,notes!$C$28:$C$30,"Unknown",-1)</f>
        <v>Small Family</v>
      </c>
      <c r="O251" s="37">
        <v>244252</v>
      </c>
      <c r="P251" s="37">
        <v>26</v>
      </c>
      <c r="Q251" s="37" t="str">
        <f t="shared" si="15"/>
        <v>Mid</v>
      </c>
      <c r="R251" s="37" t="s">
        <v>1236</v>
      </c>
      <c r="S251" s="37" t="s">
        <v>15</v>
      </c>
      <c r="T251" s="41" t="str">
        <f t="shared" si="13"/>
        <v>Southampton</v>
      </c>
    </row>
    <row r="252" spans="1:20">
      <c r="A252" s="37">
        <v>251</v>
      </c>
      <c r="B252" s="37">
        <v>0</v>
      </c>
      <c r="C252" s="37">
        <v>3</v>
      </c>
      <c r="D252" s="37" t="s">
        <v>1704</v>
      </c>
      <c r="E252" s="37" t="s">
        <v>1705</v>
      </c>
      <c r="F252" s="37" t="s">
        <v>1235</v>
      </c>
      <c r="G252" s="37" t="str">
        <f>_xlfn.XLOOKUP(F252,notes!$B$12:$B$18,notes!$C$12:$C$18,"Unknown")</f>
        <v>Male</v>
      </c>
      <c r="H252" s="38" t="s">
        <v>1236</v>
      </c>
      <c r="I252" s="39" t="str">
        <f>_xlfn.XLOOKUP(H252,notes!$B$4:$B$8,notes!$C$4:$C$8,"Invalid",-1)</f>
        <v>Unknown</v>
      </c>
      <c r="J252" s="37">
        <v>0</v>
      </c>
      <c r="K252" s="37">
        <v>0</v>
      </c>
      <c r="L252" s="37">
        <f t="shared" si="14"/>
        <v>1</v>
      </c>
      <c r="M252" s="40" t="str">
        <f t="shared" si="12"/>
        <v>Not Survived</v>
      </c>
      <c r="N252" s="37" t="str">
        <f>_xlfn.XLOOKUP(L252,notes!$B$28:$B$30,notes!$C$28:$C$30,"Unknown",-1)</f>
        <v>Alone</v>
      </c>
      <c r="O252" s="37">
        <v>362316</v>
      </c>
      <c r="P252" s="37">
        <v>7.25</v>
      </c>
      <c r="Q252" s="37" t="str">
        <f t="shared" si="15"/>
        <v>Low</v>
      </c>
      <c r="R252" s="37" t="s">
        <v>1236</v>
      </c>
      <c r="S252" s="37" t="s">
        <v>15</v>
      </c>
      <c r="T252" s="41" t="str">
        <f t="shared" si="13"/>
        <v>Southampton</v>
      </c>
    </row>
    <row r="253" spans="1:20">
      <c r="A253" s="37">
        <v>252</v>
      </c>
      <c r="B253" s="37">
        <v>0</v>
      </c>
      <c r="C253" s="37">
        <v>3</v>
      </c>
      <c r="D253" s="37" t="s">
        <v>1622</v>
      </c>
      <c r="E253" s="37" t="s">
        <v>1706</v>
      </c>
      <c r="F253" s="37" t="s">
        <v>1239</v>
      </c>
      <c r="G253" s="37" t="str">
        <f>_xlfn.XLOOKUP(F253,notes!$B$12:$B$18,notes!$C$12:$C$18,"Unknown")</f>
        <v>Female</v>
      </c>
      <c r="H253" s="38">
        <v>29</v>
      </c>
      <c r="I253" s="39" t="str">
        <f>_xlfn.XLOOKUP(H253,notes!$B$4:$B$8,notes!$C$4:$C$8,"Invalid",-1)</f>
        <v>Adult</v>
      </c>
      <c r="J253" s="37">
        <v>1</v>
      </c>
      <c r="K253" s="37">
        <v>1</v>
      </c>
      <c r="L253" s="37">
        <f t="shared" si="14"/>
        <v>3</v>
      </c>
      <c r="M253" s="40" t="str">
        <f t="shared" si="12"/>
        <v>Not Survived</v>
      </c>
      <c r="N253" s="37" t="str">
        <f>_xlfn.XLOOKUP(L253,notes!$B$28:$B$30,notes!$C$28:$C$30,"Unknown",-1)</f>
        <v>Small Family</v>
      </c>
      <c r="O253" s="37">
        <v>347054</v>
      </c>
      <c r="P253" s="37">
        <v>10.4625</v>
      </c>
      <c r="Q253" s="37" t="str">
        <f t="shared" si="15"/>
        <v>Mid</v>
      </c>
      <c r="R253" s="37" t="s">
        <v>36</v>
      </c>
      <c r="S253" s="37" t="s">
        <v>15</v>
      </c>
      <c r="T253" s="41" t="str">
        <f t="shared" si="13"/>
        <v>Southampton</v>
      </c>
    </row>
    <row r="254" spans="1:20">
      <c r="A254" s="37">
        <v>253</v>
      </c>
      <c r="B254" s="37">
        <v>0</v>
      </c>
      <c r="C254" s="37">
        <v>1</v>
      </c>
      <c r="D254" s="37" t="s">
        <v>1707</v>
      </c>
      <c r="E254" s="37" t="s">
        <v>1708</v>
      </c>
      <c r="F254" s="37" t="s">
        <v>1235</v>
      </c>
      <c r="G254" s="37" t="str">
        <f>_xlfn.XLOOKUP(F254,notes!$B$12:$B$18,notes!$C$12:$C$18,"Unknown")</f>
        <v>Male</v>
      </c>
      <c r="H254" s="38">
        <v>62</v>
      </c>
      <c r="I254" s="39" t="str">
        <f>_xlfn.XLOOKUP(H254,notes!$B$4:$B$8,notes!$C$4:$C$8,"Invalid",-1)</f>
        <v>Elderly</v>
      </c>
      <c r="J254" s="37">
        <v>0</v>
      </c>
      <c r="K254" s="37">
        <v>0</v>
      </c>
      <c r="L254" s="37">
        <f t="shared" si="14"/>
        <v>1</v>
      </c>
      <c r="M254" s="40" t="str">
        <f t="shared" si="12"/>
        <v>Not Survived</v>
      </c>
      <c r="N254" s="37" t="str">
        <f>_xlfn.XLOOKUP(L254,notes!$B$28:$B$30,notes!$C$28:$C$30,"Unknown",-1)</f>
        <v>Alone</v>
      </c>
      <c r="O254" s="37">
        <v>113514</v>
      </c>
      <c r="P254" s="37">
        <v>26.55</v>
      </c>
      <c r="Q254" s="37" t="str">
        <f t="shared" si="15"/>
        <v>Mid</v>
      </c>
      <c r="R254" s="37" t="s">
        <v>383</v>
      </c>
      <c r="S254" s="37" t="s">
        <v>15</v>
      </c>
      <c r="T254" s="41" t="str">
        <f t="shared" si="13"/>
        <v>Southampton</v>
      </c>
    </row>
    <row r="255" spans="1:20">
      <c r="A255" s="37">
        <v>254</v>
      </c>
      <c r="B255" s="37">
        <v>0</v>
      </c>
      <c r="C255" s="37">
        <v>3</v>
      </c>
      <c r="D255" s="37" t="s">
        <v>1709</v>
      </c>
      <c r="E255" s="37" t="s">
        <v>1710</v>
      </c>
      <c r="F255" s="37" t="s">
        <v>1235</v>
      </c>
      <c r="G255" s="37" t="str">
        <f>_xlfn.XLOOKUP(F255,notes!$B$12:$B$18,notes!$C$12:$C$18,"Unknown")</f>
        <v>Male</v>
      </c>
      <c r="H255" s="38">
        <v>30</v>
      </c>
      <c r="I255" s="39" t="str">
        <f>_xlfn.XLOOKUP(H255,notes!$B$4:$B$8,notes!$C$4:$C$8,"Invalid",-1)</f>
        <v>Adult</v>
      </c>
      <c r="J255" s="37">
        <v>1</v>
      </c>
      <c r="K255" s="37">
        <v>0</v>
      </c>
      <c r="L255" s="37">
        <f t="shared" si="14"/>
        <v>2</v>
      </c>
      <c r="M255" s="40" t="str">
        <f t="shared" si="12"/>
        <v>Not Survived</v>
      </c>
      <c r="N255" s="37" t="str">
        <f>_xlfn.XLOOKUP(L255,notes!$B$28:$B$30,notes!$C$28:$C$30,"Unknown",-1)</f>
        <v>Small Family</v>
      </c>
      <c r="O255" s="37" t="s">
        <v>385</v>
      </c>
      <c r="P255" s="37">
        <v>16.1</v>
      </c>
      <c r="Q255" s="37" t="str">
        <f t="shared" si="15"/>
        <v>Mid</v>
      </c>
      <c r="R255" s="37" t="s">
        <v>1236</v>
      </c>
      <c r="S255" s="37" t="s">
        <v>15</v>
      </c>
      <c r="T255" s="41" t="str">
        <f t="shared" si="13"/>
        <v>Southampton</v>
      </c>
    </row>
    <row r="256" spans="1:20">
      <c r="A256" s="37">
        <v>255</v>
      </c>
      <c r="B256" s="37">
        <v>0</v>
      </c>
      <c r="C256" s="37">
        <v>3</v>
      </c>
      <c r="D256" s="37" t="s">
        <v>1711</v>
      </c>
      <c r="E256" s="37" t="s">
        <v>1712</v>
      </c>
      <c r="F256" s="37" t="s">
        <v>1239</v>
      </c>
      <c r="G256" s="37" t="str">
        <f>_xlfn.XLOOKUP(F256,notes!$B$12:$B$18,notes!$C$12:$C$18,"Unknown")</f>
        <v>Female</v>
      </c>
      <c r="H256" s="38">
        <v>41</v>
      </c>
      <c r="I256" s="39" t="str">
        <f>_xlfn.XLOOKUP(H256,notes!$B$4:$B$8,notes!$C$4:$C$8,"Invalid",-1)</f>
        <v>Adult</v>
      </c>
      <c r="J256" s="37">
        <v>0</v>
      </c>
      <c r="K256" s="37">
        <v>2</v>
      </c>
      <c r="L256" s="37">
        <f t="shared" si="14"/>
        <v>3</v>
      </c>
      <c r="M256" s="40" t="str">
        <f t="shared" si="12"/>
        <v>Not Survived</v>
      </c>
      <c r="N256" s="37" t="str">
        <f>_xlfn.XLOOKUP(L256,notes!$B$28:$B$30,notes!$C$28:$C$30,"Unknown",-1)</f>
        <v>Small Family</v>
      </c>
      <c r="O256" s="37">
        <v>370129</v>
      </c>
      <c r="P256" s="37">
        <v>20.2125</v>
      </c>
      <c r="Q256" s="37" t="str">
        <f t="shared" si="15"/>
        <v>Mid</v>
      </c>
      <c r="R256" s="37" t="s">
        <v>1236</v>
      </c>
      <c r="S256" s="37" t="s">
        <v>15</v>
      </c>
      <c r="T256" s="41" t="str">
        <f t="shared" si="13"/>
        <v>Southampton</v>
      </c>
    </row>
    <row r="257" spans="1:20">
      <c r="A257" s="37">
        <v>256</v>
      </c>
      <c r="B257" s="37">
        <v>1</v>
      </c>
      <c r="C257" s="37">
        <v>3</v>
      </c>
      <c r="D257" s="37" t="s">
        <v>1713</v>
      </c>
      <c r="E257" s="37" t="s">
        <v>1714</v>
      </c>
      <c r="F257" s="37" t="s">
        <v>1239</v>
      </c>
      <c r="G257" s="37" t="str">
        <f>_xlfn.XLOOKUP(F257,notes!$B$12:$B$18,notes!$C$12:$C$18,"Unknown")</f>
        <v>Female</v>
      </c>
      <c r="H257" s="38">
        <v>29</v>
      </c>
      <c r="I257" s="39" t="str">
        <f>_xlfn.XLOOKUP(H257,notes!$B$4:$B$8,notes!$C$4:$C$8,"Invalid",-1)</f>
        <v>Adult</v>
      </c>
      <c r="J257" s="37">
        <v>0</v>
      </c>
      <c r="K257" s="37">
        <v>2</v>
      </c>
      <c r="L257" s="37">
        <f t="shared" si="14"/>
        <v>3</v>
      </c>
      <c r="M257" s="40" t="str">
        <f t="shared" si="12"/>
        <v>Survived</v>
      </c>
      <c r="N257" s="37" t="str">
        <f>_xlfn.XLOOKUP(L257,notes!$B$28:$B$30,notes!$C$28:$C$30,"Unknown",-1)</f>
        <v>Small Family</v>
      </c>
      <c r="O257" s="37">
        <v>2650</v>
      </c>
      <c r="P257" s="37">
        <v>15.2458</v>
      </c>
      <c r="Q257" s="37" t="str">
        <f t="shared" si="15"/>
        <v>Mid</v>
      </c>
      <c r="R257" s="37" t="s">
        <v>1236</v>
      </c>
      <c r="S257" s="37" t="s">
        <v>20</v>
      </c>
      <c r="T257" s="41" t="str">
        <f t="shared" si="13"/>
        <v>Cherbourg</v>
      </c>
    </row>
    <row r="258" spans="1:20">
      <c r="A258" s="37">
        <v>257</v>
      </c>
      <c r="B258" s="37">
        <v>1</v>
      </c>
      <c r="C258" s="37">
        <v>1</v>
      </c>
      <c r="D258" s="37" t="s">
        <v>1715</v>
      </c>
      <c r="E258" s="37" t="s">
        <v>1716</v>
      </c>
      <c r="F258" s="37" t="s">
        <v>1239</v>
      </c>
      <c r="G258" s="37" t="str">
        <f>_xlfn.XLOOKUP(F258,notes!$B$12:$B$18,notes!$C$12:$C$18,"Unknown")</f>
        <v>Female</v>
      </c>
      <c r="H258" s="38" t="s">
        <v>1236</v>
      </c>
      <c r="I258" s="39" t="str">
        <f>_xlfn.XLOOKUP(H258,notes!$B$4:$B$8,notes!$C$4:$C$8,"Invalid",-1)</f>
        <v>Unknown</v>
      </c>
      <c r="J258" s="37">
        <v>0</v>
      </c>
      <c r="K258" s="37">
        <v>0</v>
      </c>
      <c r="L258" s="37">
        <f t="shared" si="14"/>
        <v>1</v>
      </c>
      <c r="M258" s="40" t="str">
        <f t="shared" ref="M258:M321" si="16">IF(B258=1,"Survived","Not Survived")</f>
        <v>Survived</v>
      </c>
      <c r="N258" s="37" t="str">
        <f>_xlfn.XLOOKUP(L258,notes!$B$28:$B$30,notes!$C$28:$C$30,"Unknown",-1)</f>
        <v>Alone</v>
      </c>
      <c r="O258" s="37" t="s">
        <v>389</v>
      </c>
      <c r="P258" s="37">
        <v>79.2</v>
      </c>
      <c r="Q258" s="37" t="str">
        <f t="shared" si="15"/>
        <v>High</v>
      </c>
      <c r="R258" s="37" t="s">
        <v>1236</v>
      </c>
      <c r="S258" s="37" t="s">
        <v>20</v>
      </c>
      <c r="T258" s="41" t="str">
        <f t="shared" ref="T258:T321" si="17">IF(S258="Q","Queenstown",IF(S258="C","Cherbourg",IF(S258="S","Southampton","Unknown")))</f>
        <v>Cherbourg</v>
      </c>
    </row>
    <row r="259" spans="1:20">
      <c r="A259" s="37">
        <v>258</v>
      </c>
      <c r="B259" s="37">
        <v>1</v>
      </c>
      <c r="C259" s="37">
        <v>1</v>
      </c>
      <c r="D259" s="37" t="s">
        <v>1717</v>
      </c>
      <c r="E259" s="37" t="s">
        <v>1718</v>
      </c>
      <c r="F259" s="37" t="s">
        <v>1242</v>
      </c>
      <c r="G259" s="37" t="str">
        <f>_xlfn.XLOOKUP(F259,notes!$B$12:$B$18,notes!$C$12:$C$18,"Unknown")</f>
        <v>Female</v>
      </c>
      <c r="H259" s="38">
        <v>30</v>
      </c>
      <c r="I259" s="39" t="str">
        <f>_xlfn.XLOOKUP(H259,notes!$B$4:$B$8,notes!$C$4:$C$8,"Invalid",-1)</f>
        <v>Adult</v>
      </c>
      <c r="J259" s="37">
        <v>0</v>
      </c>
      <c r="K259" s="37">
        <v>0</v>
      </c>
      <c r="L259" s="37">
        <f t="shared" ref="L259:L322" si="18">(J259+K259)+1</f>
        <v>1</v>
      </c>
      <c r="M259" s="40" t="str">
        <f t="shared" si="16"/>
        <v>Survived</v>
      </c>
      <c r="N259" s="37" t="str">
        <f>_xlfn.XLOOKUP(L259,notes!$B$28:$B$30,notes!$C$28:$C$30,"Unknown",-1)</f>
        <v>Alone</v>
      </c>
      <c r="O259" s="37">
        <v>110152</v>
      </c>
      <c r="P259" s="37">
        <v>86.5</v>
      </c>
      <c r="Q259" s="37" t="str">
        <f t="shared" ref="Q259:Q322" si="19">IF(P259&gt;=50,"High",IF(P259&gt;=10,"Mid",IF(P259&lt;10,"Low","invalid")))</f>
        <v>High</v>
      </c>
      <c r="R259" s="37" t="s">
        <v>391</v>
      </c>
      <c r="S259" s="37" t="s">
        <v>15</v>
      </c>
      <c r="T259" s="41" t="str">
        <f t="shared" si="17"/>
        <v>Southampton</v>
      </c>
    </row>
    <row r="260" spans="1:20">
      <c r="A260" s="37">
        <v>259</v>
      </c>
      <c r="B260" s="37">
        <v>1</v>
      </c>
      <c r="C260" s="37">
        <v>1</v>
      </c>
      <c r="D260" s="37" t="s">
        <v>1719</v>
      </c>
      <c r="E260" s="37" t="s">
        <v>1482</v>
      </c>
      <c r="F260" s="37" t="s">
        <v>1242</v>
      </c>
      <c r="G260" s="37" t="str">
        <f>_xlfn.XLOOKUP(F260,notes!$B$12:$B$18,notes!$C$12:$C$18,"Unknown")</f>
        <v>Female</v>
      </c>
      <c r="H260" s="38">
        <v>35</v>
      </c>
      <c r="I260" s="39" t="str">
        <f>_xlfn.XLOOKUP(H260,notes!$B$4:$B$8,notes!$C$4:$C$8,"Invalid",-1)</f>
        <v>Adult</v>
      </c>
      <c r="J260" s="37">
        <v>0</v>
      </c>
      <c r="K260" s="37">
        <v>0</v>
      </c>
      <c r="L260" s="37">
        <f t="shared" si="18"/>
        <v>1</v>
      </c>
      <c r="M260" s="40" t="str">
        <f t="shared" si="16"/>
        <v>Survived</v>
      </c>
      <c r="N260" s="37" t="str">
        <f>_xlfn.XLOOKUP(L260,notes!$B$28:$B$30,notes!$C$28:$C$30,"Unknown",-1)</f>
        <v>Alone</v>
      </c>
      <c r="O260" s="37" t="s">
        <v>393</v>
      </c>
      <c r="P260" s="37">
        <v>512.3292</v>
      </c>
      <c r="Q260" s="37" t="str">
        <f t="shared" si="19"/>
        <v>High</v>
      </c>
      <c r="R260" s="37" t="s">
        <v>1236</v>
      </c>
      <c r="S260" s="37" t="s">
        <v>20</v>
      </c>
      <c r="T260" s="41" t="str">
        <f t="shared" si="17"/>
        <v>Cherbourg</v>
      </c>
    </row>
    <row r="261" spans="1:20">
      <c r="A261" s="37">
        <v>260</v>
      </c>
      <c r="B261" s="37">
        <v>1</v>
      </c>
      <c r="C261" s="37">
        <v>2</v>
      </c>
      <c r="D261" s="37" t="s">
        <v>1720</v>
      </c>
      <c r="E261" s="37" t="s">
        <v>1721</v>
      </c>
      <c r="F261" s="37" t="s">
        <v>1239</v>
      </c>
      <c r="G261" s="37" t="str">
        <f>_xlfn.XLOOKUP(F261,notes!$B$12:$B$18,notes!$C$12:$C$18,"Unknown")</f>
        <v>Female</v>
      </c>
      <c r="H261" s="38">
        <v>50</v>
      </c>
      <c r="I261" s="39" t="str">
        <f>_xlfn.XLOOKUP(H261,notes!$B$4:$B$8,notes!$C$4:$C$8,"Invalid",-1)</f>
        <v>Adult</v>
      </c>
      <c r="J261" s="37">
        <v>0</v>
      </c>
      <c r="K261" s="37">
        <v>1</v>
      </c>
      <c r="L261" s="37">
        <f t="shared" si="18"/>
        <v>2</v>
      </c>
      <c r="M261" s="40" t="str">
        <f t="shared" si="16"/>
        <v>Survived</v>
      </c>
      <c r="N261" s="37" t="str">
        <f>_xlfn.XLOOKUP(L261,notes!$B$28:$B$30,notes!$C$28:$C$30,"Unknown",-1)</f>
        <v>Small Family</v>
      </c>
      <c r="O261" s="37">
        <v>230433</v>
      </c>
      <c r="P261" s="37">
        <v>26</v>
      </c>
      <c r="Q261" s="37" t="str">
        <f t="shared" si="19"/>
        <v>Mid</v>
      </c>
      <c r="R261" s="37" t="s">
        <v>1236</v>
      </c>
      <c r="S261" s="37" t="s">
        <v>15</v>
      </c>
      <c r="T261" s="41" t="str">
        <f t="shared" si="17"/>
        <v>Southampton</v>
      </c>
    </row>
    <row r="262" spans="1:20">
      <c r="A262" s="37">
        <v>261</v>
      </c>
      <c r="B262" s="37">
        <v>0</v>
      </c>
      <c r="C262" s="37">
        <v>3</v>
      </c>
      <c r="D262" s="37" t="s">
        <v>1565</v>
      </c>
      <c r="E262" s="37" t="s">
        <v>1722</v>
      </c>
      <c r="F262" s="37" t="s">
        <v>1235</v>
      </c>
      <c r="G262" s="37" t="str">
        <f>_xlfn.XLOOKUP(F262,notes!$B$12:$B$18,notes!$C$12:$C$18,"Unknown")</f>
        <v>Male</v>
      </c>
      <c r="H262" s="38" t="s">
        <v>1236</v>
      </c>
      <c r="I262" s="39" t="str">
        <f>_xlfn.XLOOKUP(H262,notes!$B$4:$B$8,notes!$C$4:$C$8,"Invalid",-1)</f>
        <v>Unknown</v>
      </c>
      <c r="J262" s="37">
        <v>0</v>
      </c>
      <c r="K262" s="37">
        <v>0</v>
      </c>
      <c r="L262" s="37">
        <f t="shared" si="18"/>
        <v>1</v>
      </c>
      <c r="M262" s="40" t="str">
        <f t="shared" si="16"/>
        <v>Not Survived</v>
      </c>
      <c r="N262" s="37" t="str">
        <f>_xlfn.XLOOKUP(L262,notes!$B$28:$B$30,notes!$C$28:$C$30,"Unknown",-1)</f>
        <v>Alone</v>
      </c>
      <c r="O262" s="37">
        <v>384461</v>
      </c>
      <c r="P262" s="37">
        <v>7.75</v>
      </c>
      <c r="Q262" s="37" t="str">
        <f t="shared" si="19"/>
        <v>Low</v>
      </c>
      <c r="R262" s="37" t="s">
        <v>1236</v>
      </c>
      <c r="S262" s="37" t="s">
        <v>28</v>
      </c>
      <c r="T262" s="41" t="str">
        <f t="shared" si="17"/>
        <v>Queenstown</v>
      </c>
    </row>
    <row r="263" spans="1:20">
      <c r="A263" s="37">
        <v>262</v>
      </c>
      <c r="B263" s="37">
        <v>1</v>
      </c>
      <c r="C263" s="37">
        <v>3</v>
      </c>
      <c r="D263" s="37" t="s">
        <v>1286</v>
      </c>
      <c r="E263" s="37" t="s">
        <v>1723</v>
      </c>
      <c r="F263" s="37" t="s">
        <v>1253</v>
      </c>
      <c r="G263" s="37" t="str">
        <f>_xlfn.XLOOKUP(F263,notes!$B$12:$B$18,notes!$C$12:$C$18,"Unknown")</f>
        <v>Male</v>
      </c>
      <c r="H263" s="38">
        <v>3</v>
      </c>
      <c r="I263" s="39" t="str">
        <f>_xlfn.XLOOKUP(H263,notes!$B$4:$B$8,notes!$C$4:$C$8,"Invalid",-1)</f>
        <v>Kid</v>
      </c>
      <c r="J263" s="37">
        <v>4</v>
      </c>
      <c r="K263" s="37">
        <v>2</v>
      </c>
      <c r="L263" s="37">
        <f t="shared" si="18"/>
        <v>7</v>
      </c>
      <c r="M263" s="40" t="str">
        <f t="shared" si="16"/>
        <v>Survived</v>
      </c>
      <c r="N263" s="37" t="str">
        <f>_xlfn.XLOOKUP(L263,notes!$B$28:$B$30,notes!$C$28:$C$30,"Unknown",-1)</f>
        <v>Large Family</v>
      </c>
      <c r="O263" s="37">
        <v>347077</v>
      </c>
      <c r="P263" s="37">
        <v>31.3875</v>
      </c>
      <c r="Q263" s="37" t="str">
        <f t="shared" si="19"/>
        <v>Mid</v>
      </c>
      <c r="R263" s="37" t="s">
        <v>1236</v>
      </c>
      <c r="S263" s="37" t="s">
        <v>15</v>
      </c>
      <c r="T263" s="41" t="str">
        <f t="shared" si="17"/>
        <v>Southampton</v>
      </c>
    </row>
    <row r="264" spans="1:20">
      <c r="A264" s="37">
        <v>263</v>
      </c>
      <c r="B264" s="37">
        <v>0</v>
      </c>
      <c r="C264" s="37">
        <v>1</v>
      </c>
      <c r="D264" s="37" t="s">
        <v>1724</v>
      </c>
      <c r="E264" s="37" t="s">
        <v>1413</v>
      </c>
      <c r="F264" s="37" t="s">
        <v>1235</v>
      </c>
      <c r="G264" s="37" t="str">
        <f>_xlfn.XLOOKUP(F264,notes!$B$12:$B$18,notes!$C$12:$C$18,"Unknown")</f>
        <v>Male</v>
      </c>
      <c r="H264" s="38">
        <v>52</v>
      </c>
      <c r="I264" s="39" t="str">
        <f>_xlfn.XLOOKUP(H264,notes!$B$4:$B$8,notes!$C$4:$C$8,"Invalid",-1)</f>
        <v>Adult</v>
      </c>
      <c r="J264" s="37">
        <v>1</v>
      </c>
      <c r="K264" s="37">
        <v>1</v>
      </c>
      <c r="L264" s="37">
        <f t="shared" si="18"/>
        <v>3</v>
      </c>
      <c r="M264" s="40" t="str">
        <f t="shared" si="16"/>
        <v>Not Survived</v>
      </c>
      <c r="N264" s="37" t="str">
        <f>_xlfn.XLOOKUP(L264,notes!$B$28:$B$30,notes!$C$28:$C$30,"Unknown",-1)</f>
        <v>Small Family</v>
      </c>
      <c r="O264" s="37">
        <v>110413</v>
      </c>
      <c r="P264" s="37">
        <v>79.65</v>
      </c>
      <c r="Q264" s="37" t="str">
        <f t="shared" si="19"/>
        <v>High</v>
      </c>
      <c r="R264" s="37" t="s">
        <v>398</v>
      </c>
      <c r="S264" s="37" t="s">
        <v>15</v>
      </c>
      <c r="T264" s="41" t="str">
        <f t="shared" si="17"/>
        <v>Southampton</v>
      </c>
    </row>
    <row r="265" spans="1:20">
      <c r="A265" s="37">
        <v>264</v>
      </c>
      <c r="B265" s="37">
        <v>0</v>
      </c>
      <c r="C265" s="37">
        <v>1</v>
      </c>
      <c r="D265" s="37" t="s">
        <v>1725</v>
      </c>
      <c r="E265" s="37" t="s">
        <v>1598</v>
      </c>
      <c r="F265" s="37" t="s">
        <v>1235</v>
      </c>
      <c r="G265" s="37" t="str">
        <f>_xlfn.XLOOKUP(F265,notes!$B$12:$B$18,notes!$C$12:$C$18,"Unknown")</f>
        <v>Male</v>
      </c>
      <c r="H265" s="38">
        <v>40</v>
      </c>
      <c r="I265" s="39" t="str">
        <f>_xlfn.XLOOKUP(H265,notes!$B$4:$B$8,notes!$C$4:$C$8,"Invalid",-1)</f>
        <v>Adult</v>
      </c>
      <c r="J265" s="37">
        <v>0</v>
      </c>
      <c r="K265" s="37">
        <v>0</v>
      </c>
      <c r="L265" s="37">
        <f t="shared" si="18"/>
        <v>1</v>
      </c>
      <c r="M265" s="40" t="str">
        <f t="shared" si="16"/>
        <v>Not Survived</v>
      </c>
      <c r="N265" s="37" t="str">
        <f>_xlfn.XLOOKUP(L265,notes!$B$28:$B$30,notes!$C$28:$C$30,"Unknown",-1)</f>
        <v>Alone</v>
      </c>
      <c r="O265" s="37">
        <v>112059</v>
      </c>
      <c r="P265" s="37">
        <v>0</v>
      </c>
      <c r="Q265" s="37" t="str">
        <f t="shared" si="19"/>
        <v>Low</v>
      </c>
      <c r="R265" s="37" t="s">
        <v>400</v>
      </c>
      <c r="S265" s="37" t="s">
        <v>15</v>
      </c>
      <c r="T265" s="41" t="str">
        <f t="shared" si="17"/>
        <v>Southampton</v>
      </c>
    </row>
    <row r="266" spans="1:20">
      <c r="A266" s="37">
        <v>265</v>
      </c>
      <c r="B266" s="37">
        <v>0</v>
      </c>
      <c r="C266" s="37">
        <v>3</v>
      </c>
      <c r="D266" s="37" t="s">
        <v>1726</v>
      </c>
      <c r="E266" s="37" t="s">
        <v>1727</v>
      </c>
      <c r="F266" s="37" t="s">
        <v>1242</v>
      </c>
      <c r="G266" s="37" t="str">
        <f>_xlfn.XLOOKUP(F266,notes!$B$12:$B$18,notes!$C$12:$C$18,"Unknown")</f>
        <v>Female</v>
      </c>
      <c r="H266" s="38" t="s">
        <v>1236</v>
      </c>
      <c r="I266" s="39" t="str">
        <f>_xlfn.XLOOKUP(H266,notes!$B$4:$B$8,notes!$C$4:$C$8,"Invalid",-1)</f>
        <v>Unknown</v>
      </c>
      <c r="J266" s="37">
        <v>0</v>
      </c>
      <c r="K266" s="37">
        <v>0</v>
      </c>
      <c r="L266" s="37">
        <f t="shared" si="18"/>
        <v>1</v>
      </c>
      <c r="M266" s="40" t="str">
        <f t="shared" si="16"/>
        <v>Not Survived</v>
      </c>
      <c r="N266" s="37" t="str">
        <f>_xlfn.XLOOKUP(L266,notes!$B$28:$B$30,notes!$C$28:$C$30,"Unknown",-1)</f>
        <v>Alone</v>
      </c>
      <c r="O266" s="37">
        <v>382649</v>
      </c>
      <c r="P266" s="37">
        <v>7.75</v>
      </c>
      <c r="Q266" s="37" t="str">
        <f t="shared" si="19"/>
        <v>Low</v>
      </c>
      <c r="R266" s="37" t="s">
        <v>1236</v>
      </c>
      <c r="S266" s="37" t="s">
        <v>28</v>
      </c>
      <c r="T266" s="41" t="str">
        <f t="shared" si="17"/>
        <v>Queenstown</v>
      </c>
    </row>
    <row r="267" spans="1:20">
      <c r="A267" s="37">
        <v>266</v>
      </c>
      <c r="B267" s="37">
        <v>0</v>
      </c>
      <c r="C267" s="37">
        <v>2</v>
      </c>
      <c r="D267" s="37" t="s">
        <v>1728</v>
      </c>
      <c r="E267" s="37" t="s">
        <v>1729</v>
      </c>
      <c r="F267" s="37" t="s">
        <v>1235</v>
      </c>
      <c r="G267" s="37" t="str">
        <f>_xlfn.XLOOKUP(F267,notes!$B$12:$B$18,notes!$C$12:$C$18,"Unknown")</f>
        <v>Male</v>
      </c>
      <c r="H267" s="38">
        <v>36</v>
      </c>
      <c r="I267" s="39" t="str">
        <f>_xlfn.XLOOKUP(H267,notes!$B$4:$B$8,notes!$C$4:$C$8,"Invalid",-1)</f>
        <v>Adult</v>
      </c>
      <c r="J267" s="37">
        <v>0</v>
      </c>
      <c r="K267" s="37">
        <v>0</v>
      </c>
      <c r="L267" s="37">
        <f t="shared" si="18"/>
        <v>1</v>
      </c>
      <c r="M267" s="40" t="str">
        <f t="shared" si="16"/>
        <v>Not Survived</v>
      </c>
      <c r="N267" s="37" t="str">
        <f>_xlfn.XLOOKUP(L267,notes!$B$28:$B$30,notes!$C$28:$C$30,"Unknown",-1)</f>
        <v>Alone</v>
      </c>
      <c r="O267" s="37" t="s">
        <v>403</v>
      </c>
      <c r="P267" s="37">
        <v>10.5</v>
      </c>
      <c r="Q267" s="37" t="str">
        <f t="shared" si="19"/>
        <v>Mid</v>
      </c>
      <c r="R267" s="37" t="s">
        <v>1236</v>
      </c>
      <c r="S267" s="37" t="s">
        <v>15</v>
      </c>
      <c r="T267" s="41" t="str">
        <f t="shared" si="17"/>
        <v>Southampton</v>
      </c>
    </row>
    <row r="268" spans="1:20">
      <c r="A268" s="37">
        <v>267</v>
      </c>
      <c r="B268" s="37">
        <v>0</v>
      </c>
      <c r="C268" s="37">
        <v>3</v>
      </c>
      <c r="D268" s="37" t="s">
        <v>1336</v>
      </c>
      <c r="E268" s="37" t="s">
        <v>1730</v>
      </c>
      <c r="F268" s="37" t="s">
        <v>1235</v>
      </c>
      <c r="G268" s="37" t="str">
        <f>_xlfn.XLOOKUP(F268,notes!$B$12:$B$18,notes!$C$12:$C$18,"Unknown")</f>
        <v>Male</v>
      </c>
      <c r="H268" s="38">
        <v>16</v>
      </c>
      <c r="I268" s="39" t="str">
        <f>_xlfn.XLOOKUP(H268,notes!$B$4:$B$8,notes!$C$4:$C$8,"Invalid",-1)</f>
        <v>Teenager</v>
      </c>
      <c r="J268" s="37">
        <v>4</v>
      </c>
      <c r="K268" s="37">
        <v>1</v>
      </c>
      <c r="L268" s="37">
        <f t="shared" si="18"/>
        <v>6</v>
      </c>
      <c r="M268" s="40" t="str">
        <f t="shared" si="16"/>
        <v>Not Survived</v>
      </c>
      <c r="N268" s="37" t="str">
        <f>_xlfn.XLOOKUP(L268,notes!$B$28:$B$30,notes!$C$28:$C$30,"Unknown",-1)</f>
        <v>Large Family</v>
      </c>
      <c r="O268" s="37">
        <v>3101295</v>
      </c>
      <c r="P268" s="37">
        <v>39.6875</v>
      </c>
      <c r="Q268" s="37" t="str">
        <f t="shared" si="19"/>
        <v>Mid</v>
      </c>
      <c r="R268" s="37" t="s">
        <v>1236</v>
      </c>
      <c r="S268" s="37" t="s">
        <v>15</v>
      </c>
      <c r="T268" s="41" t="str">
        <f t="shared" si="17"/>
        <v>Southampton</v>
      </c>
    </row>
    <row r="269" spans="1:20">
      <c r="A269" s="37">
        <v>268</v>
      </c>
      <c r="B269" s="37">
        <v>1</v>
      </c>
      <c r="C269" s="37">
        <v>3</v>
      </c>
      <c r="D269" s="37" t="s">
        <v>1731</v>
      </c>
      <c r="E269" s="37" t="s">
        <v>1732</v>
      </c>
      <c r="F269" s="37" t="s">
        <v>1235</v>
      </c>
      <c r="G269" s="37" t="str">
        <f>_xlfn.XLOOKUP(F269,notes!$B$12:$B$18,notes!$C$12:$C$18,"Unknown")</f>
        <v>Male</v>
      </c>
      <c r="H269" s="38">
        <v>25</v>
      </c>
      <c r="I269" s="39" t="str">
        <f>_xlfn.XLOOKUP(H269,notes!$B$4:$B$8,notes!$C$4:$C$8,"Invalid",-1)</f>
        <v>Adult</v>
      </c>
      <c r="J269" s="37">
        <v>1</v>
      </c>
      <c r="K269" s="37">
        <v>0</v>
      </c>
      <c r="L269" s="37">
        <f t="shared" si="18"/>
        <v>2</v>
      </c>
      <c r="M269" s="40" t="str">
        <f t="shared" si="16"/>
        <v>Survived</v>
      </c>
      <c r="N269" s="37" t="str">
        <f>_xlfn.XLOOKUP(L269,notes!$B$28:$B$30,notes!$C$28:$C$30,"Unknown",-1)</f>
        <v>Small Family</v>
      </c>
      <c r="O269" s="37">
        <v>347083</v>
      </c>
      <c r="P269" s="37">
        <v>7.775</v>
      </c>
      <c r="Q269" s="37" t="str">
        <f t="shared" si="19"/>
        <v>Low</v>
      </c>
      <c r="R269" s="37" t="s">
        <v>1236</v>
      </c>
      <c r="S269" s="37" t="s">
        <v>15</v>
      </c>
      <c r="T269" s="41" t="str">
        <f t="shared" si="17"/>
        <v>Southampton</v>
      </c>
    </row>
    <row r="270" spans="1:20">
      <c r="A270" s="37">
        <v>269</v>
      </c>
      <c r="B270" s="37">
        <v>1</v>
      </c>
      <c r="C270" s="37">
        <v>1</v>
      </c>
      <c r="D270" s="37" t="s">
        <v>1733</v>
      </c>
      <c r="E270" s="37" t="s">
        <v>1734</v>
      </c>
      <c r="F270" s="37" t="s">
        <v>1239</v>
      </c>
      <c r="G270" s="37" t="str">
        <f>_xlfn.XLOOKUP(F270,notes!$B$12:$B$18,notes!$C$12:$C$18,"Unknown")</f>
        <v>Female</v>
      </c>
      <c r="H270" s="38">
        <v>58</v>
      </c>
      <c r="I270" s="39" t="str">
        <f>_xlfn.XLOOKUP(H270,notes!$B$4:$B$8,notes!$C$4:$C$8,"Invalid",-1)</f>
        <v>Adult</v>
      </c>
      <c r="J270" s="37">
        <v>0</v>
      </c>
      <c r="K270" s="37">
        <v>1</v>
      </c>
      <c r="L270" s="37">
        <f t="shared" si="18"/>
        <v>2</v>
      </c>
      <c r="M270" s="40" t="str">
        <f t="shared" si="16"/>
        <v>Survived</v>
      </c>
      <c r="N270" s="37" t="str">
        <f>_xlfn.XLOOKUP(L270,notes!$B$28:$B$30,notes!$C$28:$C$30,"Unknown",-1)</f>
        <v>Small Family</v>
      </c>
      <c r="O270" s="37" t="s">
        <v>407</v>
      </c>
      <c r="P270" s="37">
        <v>153.4625</v>
      </c>
      <c r="Q270" s="37" t="str">
        <f t="shared" si="19"/>
        <v>High</v>
      </c>
      <c r="R270" s="37" t="s">
        <v>408</v>
      </c>
      <c r="S270" s="37" t="s">
        <v>15</v>
      </c>
      <c r="T270" s="41" t="str">
        <f t="shared" si="17"/>
        <v>Southampton</v>
      </c>
    </row>
    <row r="271" spans="1:20">
      <c r="A271" s="37">
        <v>270</v>
      </c>
      <c r="B271" s="37">
        <v>1</v>
      </c>
      <c r="C271" s="37">
        <v>1</v>
      </c>
      <c r="D271" s="37" t="s">
        <v>1735</v>
      </c>
      <c r="E271" s="37" t="s">
        <v>1736</v>
      </c>
      <c r="F271" s="37" t="s">
        <v>1242</v>
      </c>
      <c r="G271" s="37" t="str">
        <f>_xlfn.XLOOKUP(F271,notes!$B$12:$B$18,notes!$C$12:$C$18,"Unknown")</f>
        <v>Female</v>
      </c>
      <c r="H271" s="38">
        <v>35</v>
      </c>
      <c r="I271" s="39" t="str">
        <f>_xlfn.XLOOKUP(H271,notes!$B$4:$B$8,notes!$C$4:$C$8,"Invalid",-1)</f>
        <v>Adult</v>
      </c>
      <c r="J271" s="37">
        <v>0</v>
      </c>
      <c r="K271" s="37">
        <v>0</v>
      </c>
      <c r="L271" s="37">
        <f t="shared" si="18"/>
        <v>1</v>
      </c>
      <c r="M271" s="40" t="str">
        <f t="shared" si="16"/>
        <v>Survived</v>
      </c>
      <c r="N271" s="37" t="str">
        <f>_xlfn.XLOOKUP(L271,notes!$B$28:$B$30,notes!$C$28:$C$30,"Unknown",-1)</f>
        <v>Alone</v>
      </c>
      <c r="O271" s="37" t="s">
        <v>410</v>
      </c>
      <c r="P271" s="37">
        <v>135.6333</v>
      </c>
      <c r="Q271" s="37" t="str">
        <f t="shared" si="19"/>
        <v>High</v>
      </c>
      <c r="R271" s="37" t="s">
        <v>411</v>
      </c>
      <c r="S271" s="37" t="s">
        <v>15</v>
      </c>
      <c r="T271" s="41" t="str">
        <f t="shared" si="17"/>
        <v>Southampton</v>
      </c>
    </row>
    <row r="272" spans="1:20">
      <c r="A272" s="37">
        <v>271</v>
      </c>
      <c r="B272" s="37">
        <v>0</v>
      </c>
      <c r="C272" s="37">
        <v>1</v>
      </c>
      <c r="D272" s="37" t="s">
        <v>1737</v>
      </c>
      <c r="E272" s="37" t="s">
        <v>1738</v>
      </c>
      <c r="F272" s="37" t="s">
        <v>1235</v>
      </c>
      <c r="G272" s="37" t="str">
        <f>_xlfn.XLOOKUP(F272,notes!$B$12:$B$18,notes!$C$12:$C$18,"Unknown")</f>
        <v>Male</v>
      </c>
      <c r="H272" s="38" t="s">
        <v>1236</v>
      </c>
      <c r="I272" s="39" t="str">
        <f>_xlfn.XLOOKUP(H272,notes!$B$4:$B$8,notes!$C$4:$C$8,"Invalid",-1)</f>
        <v>Unknown</v>
      </c>
      <c r="J272" s="37">
        <v>0</v>
      </c>
      <c r="K272" s="37">
        <v>0</v>
      </c>
      <c r="L272" s="37">
        <f t="shared" si="18"/>
        <v>1</v>
      </c>
      <c r="M272" s="40" t="str">
        <f t="shared" si="16"/>
        <v>Not Survived</v>
      </c>
      <c r="N272" s="37" t="str">
        <f>_xlfn.XLOOKUP(L272,notes!$B$28:$B$30,notes!$C$28:$C$30,"Unknown",-1)</f>
        <v>Alone</v>
      </c>
      <c r="O272" s="37">
        <v>113798</v>
      </c>
      <c r="P272" s="37">
        <v>31</v>
      </c>
      <c r="Q272" s="37" t="str">
        <f t="shared" si="19"/>
        <v>Mid</v>
      </c>
      <c r="R272" s="37" t="s">
        <v>1236</v>
      </c>
      <c r="S272" s="37" t="s">
        <v>15</v>
      </c>
      <c r="T272" s="41" t="str">
        <f t="shared" si="17"/>
        <v>Southampton</v>
      </c>
    </row>
    <row r="273" spans="1:20">
      <c r="A273" s="37">
        <v>272</v>
      </c>
      <c r="B273" s="37">
        <v>1</v>
      </c>
      <c r="C273" s="37">
        <v>3</v>
      </c>
      <c r="D273" s="37" t="s">
        <v>1739</v>
      </c>
      <c r="E273" s="37" t="s">
        <v>1246</v>
      </c>
      <c r="F273" s="37" t="s">
        <v>1235</v>
      </c>
      <c r="G273" s="37" t="str">
        <f>_xlfn.XLOOKUP(F273,notes!$B$12:$B$18,notes!$C$12:$C$18,"Unknown")</f>
        <v>Male</v>
      </c>
      <c r="H273" s="38">
        <v>25</v>
      </c>
      <c r="I273" s="39" t="str">
        <f>_xlfn.XLOOKUP(H273,notes!$B$4:$B$8,notes!$C$4:$C$8,"Invalid",-1)</f>
        <v>Adult</v>
      </c>
      <c r="J273" s="37">
        <v>0</v>
      </c>
      <c r="K273" s="37">
        <v>0</v>
      </c>
      <c r="L273" s="37">
        <f t="shared" si="18"/>
        <v>1</v>
      </c>
      <c r="M273" s="40" t="str">
        <f t="shared" si="16"/>
        <v>Survived</v>
      </c>
      <c r="N273" s="37" t="str">
        <f>_xlfn.XLOOKUP(L273,notes!$B$28:$B$30,notes!$C$28:$C$30,"Unknown",-1)</f>
        <v>Alone</v>
      </c>
      <c r="O273" s="37" t="s">
        <v>281</v>
      </c>
      <c r="P273" s="37">
        <v>0</v>
      </c>
      <c r="Q273" s="37" t="str">
        <f t="shared" si="19"/>
        <v>Low</v>
      </c>
      <c r="R273" s="37" t="s">
        <v>1236</v>
      </c>
      <c r="S273" s="37" t="s">
        <v>15</v>
      </c>
      <c r="T273" s="41" t="str">
        <f t="shared" si="17"/>
        <v>Southampton</v>
      </c>
    </row>
    <row r="274" spans="1:20">
      <c r="A274" s="37">
        <v>273</v>
      </c>
      <c r="B274" s="37">
        <v>1</v>
      </c>
      <c r="C274" s="37">
        <v>2</v>
      </c>
      <c r="D274" s="37" t="s">
        <v>1740</v>
      </c>
      <c r="E274" s="37" t="s">
        <v>1741</v>
      </c>
      <c r="F274" s="37" t="s">
        <v>1239</v>
      </c>
      <c r="G274" s="37" t="str">
        <f>_xlfn.XLOOKUP(F274,notes!$B$12:$B$18,notes!$C$12:$C$18,"Unknown")</f>
        <v>Female</v>
      </c>
      <c r="H274" s="38">
        <v>41</v>
      </c>
      <c r="I274" s="39" t="str">
        <f>_xlfn.XLOOKUP(H274,notes!$B$4:$B$8,notes!$C$4:$C$8,"Invalid",-1)</f>
        <v>Adult</v>
      </c>
      <c r="J274" s="37">
        <v>0</v>
      </c>
      <c r="K274" s="37">
        <v>1</v>
      </c>
      <c r="L274" s="37">
        <f t="shared" si="18"/>
        <v>2</v>
      </c>
      <c r="M274" s="40" t="str">
        <f t="shared" si="16"/>
        <v>Survived</v>
      </c>
      <c r="N274" s="37" t="str">
        <f>_xlfn.XLOOKUP(L274,notes!$B$28:$B$30,notes!$C$28:$C$30,"Unknown",-1)</f>
        <v>Small Family</v>
      </c>
      <c r="O274" s="37">
        <v>250644</v>
      </c>
      <c r="P274" s="37">
        <v>19.5</v>
      </c>
      <c r="Q274" s="37" t="str">
        <f t="shared" si="19"/>
        <v>Mid</v>
      </c>
      <c r="R274" s="37" t="s">
        <v>1236</v>
      </c>
      <c r="S274" s="37" t="s">
        <v>15</v>
      </c>
      <c r="T274" s="41" t="str">
        <f t="shared" si="17"/>
        <v>Southampton</v>
      </c>
    </row>
    <row r="275" spans="1:20">
      <c r="A275" s="37">
        <v>274</v>
      </c>
      <c r="B275" s="37">
        <v>0</v>
      </c>
      <c r="C275" s="37">
        <v>1</v>
      </c>
      <c r="D275" s="37" t="s">
        <v>1742</v>
      </c>
      <c r="E275" s="37" t="s">
        <v>1743</v>
      </c>
      <c r="F275" s="37" t="s">
        <v>1235</v>
      </c>
      <c r="G275" s="37" t="str">
        <f>_xlfn.XLOOKUP(F275,notes!$B$12:$B$18,notes!$C$12:$C$18,"Unknown")</f>
        <v>Male</v>
      </c>
      <c r="H275" s="38">
        <v>37</v>
      </c>
      <c r="I275" s="39" t="str">
        <f>_xlfn.XLOOKUP(H275,notes!$B$4:$B$8,notes!$C$4:$C$8,"Invalid",-1)</f>
        <v>Adult</v>
      </c>
      <c r="J275" s="37">
        <v>0</v>
      </c>
      <c r="K275" s="37">
        <v>1</v>
      </c>
      <c r="L275" s="37">
        <f t="shared" si="18"/>
        <v>2</v>
      </c>
      <c r="M275" s="40" t="str">
        <f t="shared" si="16"/>
        <v>Not Survived</v>
      </c>
      <c r="N275" s="37" t="str">
        <f>_xlfn.XLOOKUP(L275,notes!$B$28:$B$30,notes!$C$28:$C$30,"Unknown",-1)</f>
        <v>Small Family</v>
      </c>
      <c r="O275" s="37" t="s">
        <v>416</v>
      </c>
      <c r="P275" s="37">
        <v>29.7</v>
      </c>
      <c r="Q275" s="37" t="str">
        <f t="shared" si="19"/>
        <v>Mid</v>
      </c>
      <c r="R275" s="37" t="s">
        <v>417</v>
      </c>
      <c r="S275" s="37" t="s">
        <v>20</v>
      </c>
      <c r="T275" s="41" t="str">
        <f t="shared" si="17"/>
        <v>Cherbourg</v>
      </c>
    </row>
    <row r="276" spans="1:20">
      <c r="A276" s="37">
        <v>275</v>
      </c>
      <c r="B276" s="37">
        <v>1</v>
      </c>
      <c r="C276" s="37">
        <v>3</v>
      </c>
      <c r="D276" s="37" t="s">
        <v>1744</v>
      </c>
      <c r="E276" s="37" t="s">
        <v>1745</v>
      </c>
      <c r="F276" s="37" t="s">
        <v>1242</v>
      </c>
      <c r="G276" s="37" t="str">
        <f>_xlfn.XLOOKUP(F276,notes!$B$12:$B$18,notes!$C$12:$C$18,"Unknown")</f>
        <v>Female</v>
      </c>
      <c r="H276" s="38" t="s">
        <v>1236</v>
      </c>
      <c r="I276" s="39" t="str">
        <f>_xlfn.XLOOKUP(H276,notes!$B$4:$B$8,notes!$C$4:$C$8,"Invalid",-1)</f>
        <v>Unknown</v>
      </c>
      <c r="J276" s="37">
        <v>0</v>
      </c>
      <c r="K276" s="37">
        <v>0</v>
      </c>
      <c r="L276" s="37">
        <f t="shared" si="18"/>
        <v>1</v>
      </c>
      <c r="M276" s="40" t="str">
        <f t="shared" si="16"/>
        <v>Survived</v>
      </c>
      <c r="N276" s="37" t="str">
        <f>_xlfn.XLOOKUP(L276,notes!$B$28:$B$30,notes!$C$28:$C$30,"Unknown",-1)</f>
        <v>Alone</v>
      </c>
      <c r="O276" s="37">
        <v>370375</v>
      </c>
      <c r="P276" s="37">
        <v>7.75</v>
      </c>
      <c r="Q276" s="37" t="str">
        <f t="shared" si="19"/>
        <v>Low</v>
      </c>
      <c r="R276" s="37" t="s">
        <v>1236</v>
      </c>
      <c r="S276" s="37" t="s">
        <v>28</v>
      </c>
      <c r="T276" s="41" t="str">
        <f t="shared" si="17"/>
        <v>Queenstown</v>
      </c>
    </row>
    <row r="277" spans="1:20">
      <c r="A277" s="37">
        <v>276</v>
      </c>
      <c r="B277" s="37">
        <v>1</v>
      </c>
      <c r="C277" s="37">
        <v>1</v>
      </c>
      <c r="D277" s="37" t="s">
        <v>1746</v>
      </c>
      <c r="E277" s="37" t="s">
        <v>1747</v>
      </c>
      <c r="F277" s="37" t="s">
        <v>1242</v>
      </c>
      <c r="G277" s="37" t="str">
        <f>_xlfn.XLOOKUP(F277,notes!$B$12:$B$18,notes!$C$12:$C$18,"Unknown")</f>
        <v>Female</v>
      </c>
      <c r="H277" s="38">
        <v>63</v>
      </c>
      <c r="I277" s="39" t="str">
        <f>_xlfn.XLOOKUP(H277,notes!$B$4:$B$8,notes!$C$4:$C$8,"Invalid",-1)</f>
        <v>Elderly</v>
      </c>
      <c r="J277" s="37">
        <v>1</v>
      </c>
      <c r="K277" s="37">
        <v>0</v>
      </c>
      <c r="L277" s="37">
        <f t="shared" si="18"/>
        <v>2</v>
      </c>
      <c r="M277" s="40" t="str">
        <f t="shared" si="16"/>
        <v>Survived</v>
      </c>
      <c r="N277" s="37" t="str">
        <f>_xlfn.XLOOKUP(L277,notes!$B$28:$B$30,notes!$C$28:$C$30,"Unknown",-1)</f>
        <v>Small Family</v>
      </c>
      <c r="O277" s="37">
        <v>13502</v>
      </c>
      <c r="P277" s="37">
        <v>77.9583</v>
      </c>
      <c r="Q277" s="37" t="str">
        <f t="shared" si="19"/>
        <v>High</v>
      </c>
      <c r="R277" s="37" t="s">
        <v>420</v>
      </c>
      <c r="S277" s="37" t="s">
        <v>15</v>
      </c>
      <c r="T277" s="41" t="str">
        <f t="shared" si="17"/>
        <v>Southampton</v>
      </c>
    </row>
    <row r="278" spans="1:20">
      <c r="A278" s="37">
        <v>277</v>
      </c>
      <c r="B278" s="37">
        <v>0</v>
      </c>
      <c r="C278" s="37">
        <v>3</v>
      </c>
      <c r="D278" s="37" t="s">
        <v>1748</v>
      </c>
      <c r="E278" s="37" t="s">
        <v>1749</v>
      </c>
      <c r="F278" s="37" t="s">
        <v>1242</v>
      </c>
      <c r="G278" s="37" t="str">
        <f>_xlfn.XLOOKUP(F278,notes!$B$12:$B$18,notes!$C$12:$C$18,"Unknown")</f>
        <v>Female</v>
      </c>
      <c r="H278" s="38">
        <v>45</v>
      </c>
      <c r="I278" s="39" t="str">
        <f>_xlfn.XLOOKUP(H278,notes!$B$4:$B$8,notes!$C$4:$C$8,"Invalid",-1)</f>
        <v>Adult</v>
      </c>
      <c r="J278" s="37">
        <v>0</v>
      </c>
      <c r="K278" s="37">
        <v>0</v>
      </c>
      <c r="L278" s="37">
        <f t="shared" si="18"/>
        <v>1</v>
      </c>
      <c r="M278" s="40" t="str">
        <f t="shared" si="16"/>
        <v>Not Survived</v>
      </c>
      <c r="N278" s="37" t="str">
        <f>_xlfn.XLOOKUP(L278,notes!$B$28:$B$30,notes!$C$28:$C$30,"Unknown",-1)</f>
        <v>Alone</v>
      </c>
      <c r="O278" s="37">
        <v>347073</v>
      </c>
      <c r="P278" s="37">
        <v>7.75</v>
      </c>
      <c r="Q278" s="37" t="str">
        <f t="shared" si="19"/>
        <v>Low</v>
      </c>
      <c r="R278" s="37" t="s">
        <v>1236</v>
      </c>
      <c r="S278" s="37" t="s">
        <v>15</v>
      </c>
      <c r="T278" s="41" t="str">
        <f t="shared" si="17"/>
        <v>Southampton</v>
      </c>
    </row>
    <row r="279" spans="1:20">
      <c r="A279" s="37">
        <v>278</v>
      </c>
      <c r="B279" s="37">
        <v>0</v>
      </c>
      <c r="C279" s="37">
        <v>2</v>
      </c>
      <c r="D279" s="37" t="s">
        <v>1750</v>
      </c>
      <c r="E279" s="37" t="s">
        <v>1751</v>
      </c>
      <c r="F279" s="37" t="s">
        <v>1235</v>
      </c>
      <c r="G279" s="37" t="str">
        <f>_xlfn.XLOOKUP(F279,notes!$B$12:$B$18,notes!$C$12:$C$18,"Unknown")</f>
        <v>Male</v>
      </c>
      <c r="H279" s="38" t="s">
        <v>1236</v>
      </c>
      <c r="I279" s="39" t="str">
        <f>_xlfn.XLOOKUP(H279,notes!$B$4:$B$8,notes!$C$4:$C$8,"Invalid",-1)</f>
        <v>Unknown</v>
      </c>
      <c r="J279" s="37">
        <v>0</v>
      </c>
      <c r="K279" s="37">
        <v>0</v>
      </c>
      <c r="L279" s="37">
        <f t="shared" si="18"/>
        <v>1</v>
      </c>
      <c r="M279" s="40" t="str">
        <f t="shared" si="16"/>
        <v>Not Survived</v>
      </c>
      <c r="N279" s="37" t="str">
        <f>_xlfn.XLOOKUP(L279,notes!$B$28:$B$30,notes!$C$28:$C$30,"Unknown",-1)</f>
        <v>Alone</v>
      </c>
      <c r="O279" s="37">
        <v>239853</v>
      </c>
      <c r="P279" s="37">
        <v>0</v>
      </c>
      <c r="Q279" s="37" t="str">
        <f t="shared" si="19"/>
        <v>Low</v>
      </c>
      <c r="R279" s="37" t="s">
        <v>1236</v>
      </c>
      <c r="S279" s="37" t="s">
        <v>15</v>
      </c>
      <c r="T279" s="41" t="str">
        <f t="shared" si="17"/>
        <v>Southampton</v>
      </c>
    </row>
    <row r="280" spans="1:20">
      <c r="A280" s="37">
        <v>279</v>
      </c>
      <c r="B280" s="37">
        <v>0</v>
      </c>
      <c r="C280" s="37">
        <v>3</v>
      </c>
      <c r="D280" s="37" t="s">
        <v>1269</v>
      </c>
      <c r="E280" s="37" t="s">
        <v>1752</v>
      </c>
      <c r="F280" s="37" t="s">
        <v>1253</v>
      </c>
      <c r="G280" s="37" t="str">
        <f>_xlfn.XLOOKUP(F280,notes!$B$12:$B$18,notes!$C$12:$C$18,"Unknown")</f>
        <v>Male</v>
      </c>
      <c r="H280" s="38">
        <v>7</v>
      </c>
      <c r="I280" s="39" t="str">
        <f>_xlfn.XLOOKUP(H280,notes!$B$4:$B$8,notes!$C$4:$C$8,"Invalid",-1)</f>
        <v>Kid</v>
      </c>
      <c r="J280" s="37">
        <v>4</v>
      </c>
      <c r="K280" s="37">
        <v>1</v>
      </c>
      <c r="L280" s="37">
        <f t="shared" si="18"/>
        <v>6</v>
      </c>
      <c r="M280" s="40" t="str">
        <f t="shared" si="16"/>
        <v>Not Survived</v>
      </c>
      <c r="N280" s="37" t="str">
        <f>_xlfn.XLOOKUP(L280,notes!$B$28:$B$30,notes!$C$28:$C$30,"Unknown",-1)</f>
        <v>Large Family</v>
      </c>
      <c r="O280" s="37">
        <v>382652</v>
      </c>
      <c r="P280" s="37">
        <v>29.125</v>
      </c>
      <c r="Q280" s="37" t="str">
        <f t="shared" si="19"/>
        <v>Mid</v>
      </c>
      <c r="R280" s="37" t="s">
        <v>1236</v>
      </c>
      <c r="S280" s="37" t="s">
        <v>28</v>
      </c>
      <c r="T280" s="41" t="str">
        <f t="shared" si="17"/>
        <v>Queenstown</v>
      </c>
    </row>
    <row r="281" spans="1:20">
      <c r="A281" s="37">
        <v>280</v>
      </c>
      <c r="B281" s="37">
        <v>1</v>
      </c>
      <c r="C281" s="37">
        <v>3</v>
      </c>
      <c r="D281" s="37" t="s">
        <v>1753</v>
      </c>
      <c r="E281" s="37" t="s">
        <v>1754</v>
      </c>
      <c r="F281" s="37" t="s">
        <v>1239</v>
      </c>
      <c r="G281" s="37" t="str">
        <f>_xlfn.XLOOKUP(F281,notes!$B$12:$B$18,notes!$C$12:$C$18,"Unknown")</f>
        <v>Female</v>
      </c>
      <c r="H281" s="38">
        <v>35</v>
      </c>
      <c r="I281" s="39" t="str">
        <f>_xlfn.XLOOKUP(H281,notes!$B$4:$B$8,notes!$C$4:$C$8,"Invalid",-1)</f>
        <v>Adult</v>
      </c>
      <c r="J281" s="37">
        <v>1</v>
      </c>
      <c r="K281" s="37">
        <v>1</v>
      </c>
      <c r="L281" s="37">
        <f t="shared" si="18"/>
        <v>3</v>
      </c>
      <c r="M281" s="40" t="str">
        <f t="shared" si="16"/>
        <v>Survived</v>
      </c>
      <c r="N281" s="37" t="str">
        <f>_xlfn.XLOOKUP(L281,notes!$B$28:$B$30,notes!$C$28:$C$30,"Unknown",-1)</f>
        <v>Small Family</v>
      </c>
      <c r="O281" s="37" t="s">
        <v>425</v>
      </c>
      <c r="P281" s="37">
        <v>20.25</v>
      </c>
      <c r="Q281" s="37" t="str">
        <f t="shared" si="19"/>
        <v>Mid</v>
      </c>
      <c r="R281" s="37" t="s">
        <v>1236</v>
      </c>
      <c r="S281" s="37" t="s">
        <v>15</v>
      </c>
      <c r="T281" s="41" t="str">
        <f t="shared" si="17"/>
        <v>Southampton</v>
      </c>
    </row>
    <row r="282" spans="1:20">
      <c r="A282" s="37">
        <v>281</v>
      </c>
      <c r="B282" s="37">
        <v>0</v>
      </c>
      <c r="C282" s="37">
        <v>3</v>
      </c>
      <c r="D282" s="37" t="s">
        <v>1755</v>
      </c>
      <c r="E282" s="37" t="s">
        <v>1756</v>
      </c>
      <c r="F282" s="37" t="s">
        <v>1235</v>
      </c>
      <c r="G282" s="37" t="str">
        <f>_xlfn.XLOOKUP(F282,notes!$B$12:$B$18,notes!$C$12:$C$18,"Unknown")</f>
        <v>Male</v>
      </c>
      <c r="H282" s="38">
        <v>65</v>
      </c>
      <c r="I282" s="39" t="str">
        <f>_xlfn.XLOOKUP(H282,notes!$B$4:$B$8,notes!$C$4:$C$8,"Invalid",-1)</f>
        <v>Elderly</v>
      </c>
      <c r="J282" s="37">
        <v>0</v>
      </c>
      <c r="K282" s="37">
        <v>0</v>
      </c>
      <c r="L282" s="37">
        <f t="shared" si="18"/>
        <v>1</v>
      </c>
      <c r="M282" s="40" t="str">
        <f t="shared" si="16"/>
        <v>Not Survived</v>
      </c>
      <c r="N282" s="37" t="str">
        <f>_xlfn.XLOOKUP(L282,notes!$B$28:$B$30,notes!$C$28:$C$30,"Unknown",-1)</f>
        <v>Alone</v>
      </c>
      <c r="O282" s="37">
        <v>336439</v>
      </c>
      <c r="P282" s="37">
        <v>7.75</v>
      </c>
      <c r="Q282" s="37" t="str">
        <f t="shared" si="19"/>
        <v>Low</v>
      </c>
      <c r="R282" s="37" t="s">
        <v>1236</v>
      </c>
      <c r="S282" s="37" t="s">
        <v>28</v>
      </c>
      <c r="T282" s="41" t="str">
        <f t="shared" si="17"/>
        <v>Queenstown</v>
      </c>
    </row>
    <row r="283" spans="1:20">
      <c r="A283" s="37">
        <v>282</v>
      </c>
      <c r="B283" s="37">
        <v>0</v>
      </c>
      <c r="C283" s="37">
        <v>3</v>
      </c>
      <c r="D283" s="37" t="s">
        <v>1757</v>
      </c>
      <c r="E283" s="37" t="s">
        <v>1758</v>
      </c>
      <c r="F283" s="37" t="s">
        <v>1235</v>
      </c>
      <c r="G283" s="37" t="str">
        <f>_xlfn.XLOOKUP(F283,notes!$B$12:$B$18,notes!$C$12:$C$18,"Unknown")</f>
        <v>Male</v>
      </c>
      <c r="H283" s="38">
        <v>28</v>
      </c>
      <c r="I283" s="39" t="str">
        <f>_xlfn.XLOOKUP(H283,notes!$B$4:$B$8,notes!$C$4:$C$8,"Invalid",-1)</f>
        <v>Adult</v>
      </c>
      <c r="J283" s="37">
        <v>0</v>
      </c>
      <c r="K283" s="37">
        <v>0</v>
      </c>
      <c r="L283" s="37">
        <f t="shared" si="18"/>
        <v>1</v>
      </c>
      <c r="M283" s="40" t="str">
        <f t="shared" si="16"/>
        <v>Not Survived</v>
      </c>
      <c r="N283" s="37" t="str">
        <f>_xlfn.XLOOKUP(L283,notes!$B$28:$B$30,notes!$C$28:$C$30,"Unknown",-1)</f>
        <v>Alone</v>
      </c>
      <c r="O283" s="37">
        <v>347464</v>
      </c>
      <c r="P283" s="37">
        <v>7.8542</v>
      </c>
      <c r="Q283" s="37" t="str">
        <f t="shared" si="19"/>
        <v>Low</v>
      </c>
      <c r="R283" s="37" t="s">
        <v>1236</v>
      </c>
      <c r="S283" s="37" t="s">
        <v>15</v>
      </c>
      <c r="T283" s="41" t="str">
        <f t="shared" si="17"/>
        <v>Southampton</v>
      </c>
    </row>
    <row r="284" spans="1:20">
      <c r="A284" s="37">
        <v>283</v>
      </c>
      <c r="B284" s="37">
        <v>0</v>
      </c>
      <c r="C284" s="37">
        <v>3</v>
      </c>
      <c r="D284" s="37" t="s">
        <v>1759</v>
      </c>
      <c r="E284" s="37" t="s">
        <v>1760</v>
      </c>
      <c r="F284" s="37" t="s">
        <v>1235</v>
      </c>
      <c r="G284" s="37" t="str">
        <f>_xlfn.XLOOKUP(F284,notes!$B$12:$B$18,notes!$C$12:$C$18,"Unknown")</f>
        <v>Male</v>
      </c>
      <c r="H284" s="38">
        <v>16</v>
      </c>
      <c r="I284" s="39" t="str">
        <f>_xlfn.XLOOKUP(H284,notes!$B$4:$B$8,notes!$C$4:$C$8,"Invalid",-1)</f>
        <v>Teenager</v>
      </c>
      <c r="J284" s="37">
        <v>0</v>
      </c>
      <c r="K284" s="37">
        <v>0</v>
      </c>
      <c r="L284" s="37">
        <f t="shared" si="18"/>
        <v>1</v>
      </c>
      <c r="M284" s="40" t="str">
        <f t="shared" si="16"/>
        <v>Not Survived</v>
      </c>
      <c r="N284" s="37" t="str">
        <f>_xlfn.XLOOKUP(L284,notes!$B$28:$B$30,notes!$C$28:$C$30,"Unknown",-1)</f>
        <v>Alone</v>
      </c>
      <c r="O284" s="37">
        <v>345778</v>
      </c>
      <c r="P284" s="37">
        <v>9.5</v>
      </c>
      <c r="Q284" s="37" t="str">
        <f t="shared" si="19"/>
        <v>Low</v>
      </c>
      <c r="R284" s="37" t="s">
        <v>1236</v>
      </c>
      <c r="S284" s="37" t="s">
        <v>15</v>
      </c>
      <c r="T284" s="41" t="str">
        <f t="shared" si="17"/>
        <v>Southampton</v>
      </c>
    </row>
    <row r="285" spans="1:20">
      <c r="A285" s="37">
        <v>284</v>
      </c>
      <c r="B285" s="37">
        <v>1</v>
      </c>
      <c r="C285" s="37">
        <v>3</v>
      </c>
      <c r="D285" s="37" t="s">
        <v>1761</v>
      </c>
      <c r="E285" s="37" t="s">
        <v>1762</v>
      </c>
      <c r="F285" s="37" t="s">
        <v>1235</v>
      </c>
      <c r="G285" s="37" t="str">
        <f>_xlfn.XLOOKUP(F285,notes!$B$12:$B$18,notes!$C$12:$C$18,"Unknown")</f>
        <v>Male</v>
      </c>
      <c r="H285" s="38">
        <v>19</v>
      </c>
      <c r="I285" s="39" t="str">
        <f>_xlfn.XLOOKUP(H285,notes!$B$4:$B$8,notes!$C$4:$C$8,"Invalid",-1)</f>
        <v>Teenager</v>
      </c>
      <c r="J285" s="37">
        <v>0</v>
      </c>
      <c r="K285" s="37">
        <v>0</v>
      </c>
      <c r="L285" s="37">
        <f t="shared" si="18"/>
        <v>1</v>
      </c>
      <c r="M285" s="40" t="str">
        <f t="shared" si="16"/>
        <v>Survived</v>
      </c>
      <c r="N285" s="37" t="str">
        <f>_xlfn.XLOOKUP(L285,notes!$B$28:$B$30,notes!$C$28:$C$30,"Unknown",-1)</f>
        <v>Alone</v>
      </c>
      <c r="O285" s="37" t="s">
        <v>430</v>
      </c>
      <c r="P285" s="37">
        <v>8.05</v>
      </c>
      <c r="Q285" s="37" t="str">
        <f t="shared" si="19"/>
        <v>Low</v>
      </c>
      <c r="R285" s="37" t="s">
        <v>1236</v>
      </c>
      <c r="S285" s="37" t="s">
        <v>15</v>
      </c>
      <c r="T285" s="41" t="str">
        <f t="shared" si="17"/>
        <v>Southampton</v>
      </c>
    </row>
    <row r="286" spans="1:20">
      <c r="A286" s="37">
        <v>285</v>
      </c>
      <c r="B286" s="37">
        <v>0</v>
      </c>
      <c r="C286" s="37">
        <v>1</v>
      </c>
      <c r="D286" s="37" t="s">
        <v>1565</v>
      </c>
      <c r="E286" s="37" t="s">
        <v>1763</v>
      </c>
      <c r="F286" s="37" t="s">
        <v>1235</v>
      </c>
      <c r="G286" s="37" t="str">
        <f>_xlfn.XLOOKUP(F286,notes!$B$12:$B$18,notes!$C$12:$C$18,"Unknown")</f>
        <v>Male</v>
      </c>
      <c r="H286" s="38" t="s">
        <v>1236</v>
      </c>
      <c r="I286" s="39" t="str">
        <f>_xlfn.XLOOKUP(H286,notes!$B$4:$B$8,notes!$C$4:$C$8,"Invalid",-1)</f>
        <v>Unknown</v>
      </c>
      <c r="J286" s="37">
        <v>0</v>
      </c>
      <c r="K286" s="37">
        <v>0</v>
      </c>
      <c r="L286" s="37">
        <f t="shared" si="18"/>
        <v>1</v>
      </c>
      <c r="M286" s="40" t="str">
        <f t="shared" si="16"/>
        <v>Not Survived</v>
      </c>
      <c r="N286" s="37" t="str">
        <f>_xlfn.XLOOKUP(L286,notes!$B$28:$B$30,notes!$C$28:$C$30,"Unknown",-1)</f>
        <v>Alone</v>
      </c>
      <c r="O286" s="37">
        <v>113056</v>
      </c>
      <c r="P286" s="37">
        <v>26</v>
      </c>
      <c r="Q286" s="37" t="str">
        <f t="shared" si="19"/>
        <v>Mid</v>
      </c>
      <c r="R286" s="37" t="s">
        <v>432</v>
      </c>
      <c r="S286" s="37" t="s">
        <v>15</v>
      </c>
      <c r="T286" s="41" t="str">
        <f t="shared" si="17"/>
        <v>Southampton</v>
      </c>
    </row>
    <row r="287" spans="1:20">
      <c r="A287" s="37">
        <v>286</v>
      </c>
      <c r="B287" s="37">
        <v>0</v>
      </c>
      <c r="C287" s="37">
        <v>3</v>
      </c>
      <c r="D287" s="37" t="s">
        <v>1764</v>
      </c>
      <c r="E287" s="37" t="s">
        <v>1387</v>
      </c>
      <c r="F287" s="37" t="s">
        <v>1235</v>
      </c>
      <c r="G287" s="37" t="str">
        <f>_xlfn.XLOOKUP(F287,notes!$B$12:$B$18,notes!$C$12:$C$18,"Unknown")</f>
        <v>Male</v>
      </c>
      <c r="H287" s="38">
        <v>33</v>
      </c>
      <c r="I287" s="39" t="str">
        <f>_xlfn.XLOOKUP(H287,notes!$B$4:$B$8,notes!$C$4:$C$8,"Invalid",-1)</f>
        <v>Adult</v>
      </c>
      <c r="J287" s="37">
        <v>0</v>
      </c>
      <c r="K287" s="37">
        <v>0</v>
      </c>
      <c r="L287" s="37">
        <f t="shared" si="18"/>
        <v>1</v>
      </c>
      <c r="M287" s="40" t="str">
        <f t="shared" si="16"/>
        <v>Not Survived</v>
      </c>
      <c r="N287" s="37" t="str">
        <f>_xlfn.XLOOKUP(L287,notes!$B$28:$B$30,notes!$C$28:$C$30,"Unknown",-1)</f>
        <v>Alone</v>
      </c>
      <c r="O287" s="37">
        <v>349239</v>
      </c>
      <c r="P287" s="37">
        <v>8.6625</v>
      </c>
      <c r="Q287" s="37" t="str">
        <f t="shared" si="19"/>
        <v>Low</v>
      </c>
      <c r="R287" s="37" t="s">
        <v>1236</v>
      </c>
      <c r="S287" s="37" t="s">
        <v>20</v>
      </c>
      <c r="T287" s="41" t="str">
        <f t="shared" si="17"/>
        <v>Cherbourg</v>
      </c>
    </row>
    <row r="288" spans="1:20">
      <c r="A288" s="37">
        <v>287</v>
      </c>
      <c r="B288" s="37">
        <v>1</v>
      </c>
      <c r="C288" s="37">
        <v>3</v>
      </c>
      <c r="D288" s="37" t="s">
        <v>1765</v>
      </c>
      <c r="E288" s="37" t="s">
        <v>1766</v>
      </c>
      <c r="F288" s="37" t="s">
        <v>1235</v>
      </c>
      <c r="G288" s="37" t="str">
        <f>_xlfn.XLOOKUP(F288,notes!$B$12:$B$18,notes!$C$12:$C$18,"Unknown")</f>
        <v>Male</v>
      </c>
      <c r="H288" s="38">
        <v>30</v>
      </c>
      <c r="I288" s="39" t="str">
        <f>_xlfn.XLOOKUP(H288,notes!$B$4:$B$8,notes!$C$4:$C$8,"Invalid",-1)</f>
        <v>Adult</v>
      </c>
      <c r="J288" s="37">
        <v>0</v>
      </c>
      <c r="K288" s="37">
        <v>0</v>
      </c>
      <c r="L288" s="37">
        <f t="shared" si="18"/>
        <v>1</v>
      </c>
      <c r="M288" s="40" t="str">
        <f t="shared" si="16"/>
        <v>Survived</v>
      </c>
      <c r="N288" s="37" t="str">
        <f>_xlfn.XLOOKUP(L288,notes!$B$28:$B$30,notes!$C$28:$C$30,"Unknown",-1)</f>
        <v>Alone</v>
      </c>
      <c r="O288" s="37">
        <v>345774</v>
      </c>
      <c r="P288" s="37">
        <v>9.5</v>
      </c>
      <c r="Q288" s="37" t="str">
        <f t="shared" si="19"/>
        <v>Low</v>
      </c>
      <c r="R288" s="37" t="s">
        <v>1236</v>
      </c>
      <c r="S288" s="37" t="s">
        <v>15</v>
      </c>
      <c r="T288" s="41" t="str">
        <f t="shared" si="17"/>
        <v>Southampton</v>
      </c>
    </row>
    <row r="289" spans="1:20">
      <c r="A289" s="37">
        <v>288</v>
      </c>
      <c r="B289" s="37">
        <v>0</v>
      </c>
      <c r="C289" s="37">
        <v>3</v>
      </c>
      <c r="D289" s="37" t="s">
        <v>1767</v>
      </c>
      <c r="E289" s="37" t="s">
        <v>1768</v>
      </c>
      <c r="F289" s="37" t="s">
        <v>1235</v>
      </c>
      <c r="G289" s="37" t="str">
        <f>_xlfn.XLOOKUP(F289,notes!$B$12:$B$18,notes!$C$12:$C$18,"Unknown")</f>
        <v>Male</v>
      </c>
      <c r="H289" s="38">
        <v>22</v>
      </c>
      <c r="I289" s="39" t="str">
        <f>_xlfn.XLOOKUP(H289,notes!$B$4:$B$8,notes!$C$4:$C$8,"Invalid",-1)</f>
        <v>Adult</v>
      </c>
      <c r="J289" s="37">
        <v>0</v>
      </c>
      <c r="K289" s="37">
        <v>0</v>
      </c>
      <c r="L289" s="37">
        <f t="shared" si="18"/>
        <v>1</v>
      </c>
      <c r="M289" s="40" t="str">
        <f t="shared" si="16"/>
        <v>Not Survived</v>
      </c>
      <c r="N289" s="37" t="str">
        <f>_xlfn.XLOOKUP(L289,notes!$B$28:$B$30,notes!$C$28:$C$30,"Unknown",-1)</f>
        <v>Alone</v>
      </c>
      <c r="O289" s="37">
        <v>349206</v>
      </c>
      <c r="P289" s="37">
        <v>7.8958</v>
      </c>
      <c r="Q289" s="37" t="str">
        <f t="shared" si="19"/>
        <v>Low</v>
      </c>
      <c r="R289" s="37" t="s">
        <v>1236</v>
      </c>
      <c r="S289" s="37" t="s">
        <v>15</v>
      </c>
      <c r="T289" s="41" t="str">
        <f t="shared" si="17"/>
        <v>Southampton</v>
      </c>
    </row>
    <row r="290" spans="1:20">
      <c r="A290" s="37">
        <v>289</v>
      </c>
      <c r="B290" s="37">
        <v>1</v>
      </c>
      <c r="C290" s="37">
        <v>2</v>
      </c>
      <c r="D290" s="37" t="s">
        <v>1769</v>
      </c>
      <c r="E290" s="37" t="s">
        <v>1770</v>
      </c>
      <c r="F290" s="37" t="s">
        <v>1235</v>
      </c>
      <c r="G290" s="37" t="str">
        <f>_xlfn.XLOOKUP(F290,notes!$B$12:$B$18,notes!$C$12:$C$18,"Unknown")</f>
        <v>Male</v>
      </c>
      <c r="H290" s="38">
        <v>42</v>
      </c>
      <c r="I290" s="39" t="str">
        <f>_xlfn.XLOOKUP(H290,notes!$B$4:$B$8,notes!$C$4:$C$8,"Invalid",-1)</f>
        <v>Adult</v>
      </c>
      <c r="J290" s="37">
        <v>0</v>
      </c>
      <c r="K290" s="37">
        <v>0</v>
      </c>
      <c r="L290" s="37">
        <f t="shared" si="18"/>
        <v>1</v>
      </c>
      <c r="M290" s="40" t="str">
        <f t="shared" si="16"/>
        <v>Survived</v>
      </c>
      <c r="N290" s="37" t="str">
        <f>_xlfn.XLOOKUP(L290,notes!$B$28:$B$30,notes!$C$28:$C$30,"Unknown",-1)</f>
        <v>Alone</v>
      </c>
      <c r="O290" s="37">
        <v>237798</v>
      </c>
      <c r="P290" s="37">
        <v>13</v>
      </c>
      <c r="Q290" s="37" t="str">
        <f t="shared" si="19"/>
        <v>Mid</v>
      </c>
      <c r="R290" s="37" t="s">
        <v>1236</v>
      </c>
      <c r="S290" s="37" t="s">
        <v>15</v>
      </c>
      <c r="T290" s="41" t="str">
        <f t="shared" si="17"/>
        <v>Southampton</v>
      </c>
    </row>
    <row r="291" spans="1:20">
      <c r="A291" s="37">
        <v>290</v>
      </c>
      <c r="B291" s="37">
        <v>1</v>
      </c>
      <c r="C291" s="37">
        <v>3</v>
      </c>
      <c r="D291" s="37" t="s">
        <v>1771</v>
      </c>
      <c r="E291" s="37" t="s">
        <v>1772</v>
      </c>
      <c r="F291" s="37" t="s">
        <v>1242</v>
      </c>
      <c r="G291" s="37" t="str">
        <f>_xlfn.XLOOKUP(F291,notes!$B$12:$B$18,notes!$C$12:$C$18,"Unknown")</f>
        <v>Female</v>
      </c>
      <c r="H291" s="38">
        <v>22</v>
      </c>
      <c r="I291" s="39" t="str">
        <f>_xlfn.XLOOKUP(H291,notes!$B$4:$B$8,notes!$C$4:$C$8,"Invalid",-1)</f>
        <v>Adult</v>
      </c>
      <c r="J291" s="37">
        <v>0</v>
      </c>
      <c r="K291" s="37">
        <v>0</v>
      </c>
      <c r="L291" s="37">
        <f t="shared" si="18"/>
        <v>1</v>
      </c>
      <c r="M291" s="40" t="str">
        <f t="shared" si="16"/>
        <v>Survived</v>
      </c>
      <c r="N291" s="37" t="str">
        <f>_xlfn.XLOOKUP(L291,notes!$B$28:$B$30,notes!$C$28:$C$30,"Unknown",-1)</f>
        <v>Alone</v>
      </c>
      <c r="O291" s="37">
        <v>370373</v>
      </c>
      <c r="P291" s="37">
        <v>7.75</v>
      </c>
      <c r="Q291" s="37" t="str">
        <f t="shared" si="19"/>
        <v>Low</v>
      </c>
      <c r="R291" s="37" t="s">
        <v>1236</v>
      </c>
      <c r="S291" s="37" t="s">
        <v>28</v>
      </c>
      <c r="T291" s="41" t="str">
        <f t="shared" si="17"/>
        <v>Queenstown</v>
      </c>
    </row>
    <row r="292" spans="1:20">
      <c r="A292" s="37">
        <v>291</v>
      </c>
      <c r="B292" s="37">
        <v>1</v>
      </c>
      <c r="C292" s="37">
        <v>1</v>
      </c>
      <c r="D292" s="37" t="s">
        <v>1773</v>
      </c>
      <c r="E292" s="37" t="s">
        <v>1293</v>
      </c>
      <c r="F292" s="37" t="s">
        <v>1242</v>
      </c>
      <c r="G292" s="37" t="str">
        <f>_xlfn.XLOOKUP(F292,notes!$B$12:$B$18,notes!$C$12:$C$18,"Unknown")</f>
        <v>Female</v>
      </c>
      <c r="H292" s="38">
        <v>26</v>
      </c>
      <c r="I292" s="39" t="str">
        <f>_xlfn.XLOOKUP(H292,notes!$B$4:$B$8,notes!$C$4:$C$8,"Invalid",-1)</f>
        <v>Adult</v>
      </c>
      <c r="J292" s="37">
        <v>0</v>
      </c>
      <c r="K292" s="37">
        <v>0</v>
      </c>
      <c r="L292" s="37">
        <f t="shared" si="18"/>
        <v>1</v>
      </c>
      <c r="M292" s="40" t="str">
        <f t="shared" si="16"/>
        <v>Survived</v>
      </c>
      <c r="N292" s="37" t="str">
        <f>_xlfn.XLOOKUP(L292,notes!$B$28:$B$30,notes!$C$28:$C$30,"Unknown",-1)</f>
        <v>Alone</v>
      </c>
      <c r="O292" s="37">
        <v>19877</v>
      </c>
      <c r="P292" s="37">
        <v>78.85</v>
      </c>
      <c r="Q292" s="37" t="str">
        <f t="shared" si="19"/>
        <v>High</v>
      </c>
      <c r="R292" s="37" t="s">
        <v>1236</v>
      </c>
      <c r="S292" s="37" t="s">
        <v>15</v>
      </c>
      <c r="T292" s="41" t="str">
        <f t="shared" si="17"/>
        <v>Southampton</v>
      </c>
    </row>
    <row r="293" spans="1:20">
      <c r="A293" s="37">
        <v>292</v>
      </c>
      <c r="B293" s="37">
        <v>1</v>
      </c>
      <c r="C293" s="37">
        <v>1</v>
      </c>
      <c r="D293" s="37" t="s">
        <v>1774</v>
      </c>
      <c r="E293" s="37" t="s">
        <v>1775</v>
      </c>
      <c r="F293" s="37" t="s">
        <v>1239</v>
      </c>
      <c r="G293" s="37" t="str">
        <f>_xlfn.XLOOKUP(F293,notes!$B$12:$B$18,notes!$C$12:$C$18,"Unknown")</f>
        <v>Female</v>
      </c>
      <c r="H293" s="38">
        <v>19</v>
      </c>
      <c r="I293" s="39" t="str">
        <f>_xlfn.XLOOKUP(H293,notes!$B$4:$B$8,notes!$C$4:$C$8,"Invalid",-1)</f>
        <v>Teenager</v>
      </c>
      <c r="J293" s="37">
        <v>1</v>
      </c>
      <c r="K293" s="37">
        <v>0</v>
      </c>
      <c r="L293" s="37">
        <f t="shared" si="18"/>
        <v>2</v>
      </c>
      <c r="M293" s="40" t="str">
        <f t="shared" si="16"/>
        <v>Survived</v>
      </c>
      <c r="N293" s="37" t="str">
        <f>_xlfn.XLOOKUP(L293,notes!$B$28:$B$30,notes!$C$28:$C$30,"Unknown",-1)</f>
        <v>Small Family</v>
      </c>
      <c r="O293" s="37">
        <v>11967</v>
      </c>
      <c r="P293" s="37">
        <v>91.0792</v>
      </c>
      <c r="Q293" s="37" t="str">
        <f t="shared" si="19"/>
        <v>High</v>
      </c>
      <c r="R293" s="37" t="s">
        <v>440</v>
      </c>
      <c r="S293" s="37" t="s">
        <v>20</v>
      </c>
      <c r="T293" s="41" t="str">
        <f t="shared" si="17"/>
        <v>Cherbourg</v>
      </c>
    </row>
    <row r="294" spans="1:20">
      <c r="A294" s="37">
        <v>293</v>
      </c>
      <c r="B294" s="37">
        <v>0</v>
      </c>
      <c r="C294" s="37">
        <v>2</v>
      </c>
      <c r="D294" s="37" t="s">
        <v>1776</v>
      </c>
      <c r="E294" s="37" t="s">
        <v>1777</v>
      </c>
      <c r="F294" s="37" t="s">
        <v>1235</v>
      </c>
      <c r="G294" s="37" t="str">
        <f>_xlfn.XLOOKUP(F294,notes!$B$12:$B$18,notes!$C$12:$C$18,"Unknown")</f>
        <v>Male</v>
      </c>
      <c r="H294" s="38">
        <v>36</v>
      </c>
      <c r="I294" s="39" t="str">
        <f>_xlfn.XLOOKUP(H294,notes!$B$4:$B$8,notes!$C$4:$C$8,"Invalid",-1)</f>
        <v>Adult</v>
      </c>
      <c r="J294" s="37">
        <v>0</v>
      </c>
      <c r="K294" s="37">
        <v>0</v>
      </c>
      <c r="L294" s="37">
        <f t="shared" si="18"/>
        <v>1</v>
      </c>
      <c r="M294" s="40" t="str">
        <f t="shared" si="16"/>
        <v>Not Survived</v>
      </c>
      <c r="N294" s="37" t="str">
        <f>_xlfn.XLOOKUP(L294,notes!$B$28:$B$30,notes!$C$28:$C$30,"Unknown",-1)</f>
        <v>Alone</v>
      </c>
      <c r="O294" s="37" t="s">
        <v>442</v>
      </c>
      <c r="P294" s="37">
        <v>12.875</v>
      </c>
      <c r="Q294" s="37" t="str">
        <f t="shared" si="19"/>
        <v>Mid</v>
      </c>
      <c r="R294" s="37" t="s">
        <v>443</v>
      </c>
      <c r="S294" s="37" t="s">
        <v>20</v>
      </c>
      <c r="T294" s="41" t="str">
        <f t="shared" si="17"/>
        <v>Cherbourg</v>
      </c>
    </row>
    <row r="295" spans="1:20">
      <c r="A295" s="37">
        <v>294</v>
      </c>
      <c r="B295" s="37">
        <v>0</v>
      </c>
      <c r="C295" s="37">
        <v>3</v>
      </c>
      <c r="D295" s="37" t="s">
        <v>1778</v>
      </c>
      <c r="E295" s="37" t="s">
        <v>1779</v>
      </c>
      <c r="F295" s="37" t="s">
        <v>1242</v>
      </c>
      <c r="G295" s="37" t="str">
        <f>_xlfn.XLOOKUP(F295,notes!$B$12:$B$18,notes!$C$12:$C$18,"Unknown")</f>
        <v>Female</v>
      </c>
      <c r="H295" s="38">
        <v>24</v>
      </c>
      <c r="I295" s="39" t="str">
        <f>_xlfn.XLOOKUP(H295,notes!$B$4:$B$8,notes!$C$4:$C$8,"Invalid",-1)</f>
        <v>Adult</v>
      </c>
      <c r="J295" s="37">
        <v>0</v>
      </c>
      <c r="K295" s="37">
        <v>0</v>
      </c>
      <c r="L295" s="37">
        <f t="shared" si="18"/>
        <v>1</v>
      </c>
      <c r="M295" s="40" t="str">
        <f t="shared" si="16"/>
        <v>Not Survived</v>
      </c>
      <c r="N295" s="37" t="str">
        <f>_xlfn.XLOOKUP(L295,notes!$B$28:$B$30,notes!$C$28:$C$30,"Unknown",-1)</f>
        <v>Alone</v>
      </c>
      <c r="O295" s="37">
        <v>349236</v>
      </c>
      <c r="P295" s="37">
        <v>8.85</v>
      </c>
      <c r="Q295" s="37" t="str">
        <f t="shared" si="19"/>
        <v>Low</v>
      </c>
      <c r="R295" s="37" t="s">
        <v>1236</v>
      </c>
      <c r="S295" s="37" t="s">
        <v>15</v>
      </c>
      <c r="T295" s="41" t="str">
        <f t="shared" si="17"/>
        <v>Southampton</v>
      </c>
    </row>
    <row r="296" spans="1:20">
      <c r="A296" s="37">
        <v>295</v>
      </c>
      <c r="B296" s="37">
        <v>0</v>
      </c>
      <c r="C296" s="37">
        <v>3</v>
      </c>
      <c r="D296" s="37" t="s">
        <v>1780</v>
      </c>
      <c r="E296" s="37" t="s">
        <v>1387</v>
      </c>
      <c r="F296" s="37" t="s">
        <v>1235</v>
      </c>
      <c r="G296" s="37" t="str">
        <f>_xlfn.XLOOKUP(F296,notes!$B$12:$B$18,notes!$C$12:$C$18,"Unknown")</f>
        <v>Male</v>
      </c>
      <c r="H296" s="38">
        <v>24</v>
      </c>
      <c r="I296" s="39" t="str">
        <f>_xlfn.XLOOKUP(H296,notes!$B$4:$B$8,notes!$C$4:$C$8,"Invalid",-1)</f>
        <v>Adult</v>
      </c>
      <c r="J296" s="37">
        <v>0</v>
      </c>
      <c r="K296" s="37">
        <v>0</v>
      </c>
      <c r="L296" s="37">
        <f t="shared" si="18"/>
        <v>1</v>
      </c>
      <c r="M296" s="40" t="str">
        <f t="shared" si="16"/>
        <v>Not Survived</v>
      </c>
      <c r="N296" s="37" t="str">
        <f>_xlfn.XLOOKUP(L296,notes!$B$28:$B$30,notes!$C$28:$C$30,"Unknown",-1)</f>
        <v>Alone</v>
      </c>
      <c r="O296" s="37">
        <v>349233</v>
      </c>
      <c r="P296" s="37">
        <v>7.8958</v>
      </c>
      <c r="Q296" s="37" t="str">
        <f t="shared" si="19"/>
        <v>Low</v>
      </c>
      <c r="R296" s="37" t="s">
        <v>1236</v>
      </c>
      <c r="S296" s="37" t="s">
        <v>15</v>
      </c>
      <c r="T296" s="41" t="str">
        <f t="shared" si="17"/>
        <v>Southampton</v>
      </c>
    </row>
    <row r="297" spans="1:20">
      <c r="A297" s="37">
        <v>296</v>
      </c>
      <c r="B297" s="37">
        <v>0</v>
      </c>
      <c r="C297" s="37">
        <v>1</v>
      </c>
      <c r="D297" s="37" t="s">
        <v>1781</v>
      </c>
      <c r="E297" s="37" t="s">
        <v>1782</v>
      </c>
      <c r="F297" s="37" t="s">
        <v>1235</v>
      </c>
      <c r="G297" s="37" t="str">
        <f>_xlfn.XLOOKUP(F297,notes!$B$12:$B$18,notes!$C$12:$C$18,"Unknown")</f>
        <v>Male</v>
      </c>
      <c r="H297" s="38" t="s">
        <v>1236</v>
      </c>
      <c r="I297" s="39" t="str">
        <f>_xlfn.XLOOKUP(H297,notes!$B$4:$B$8,notes!$C$4:$C$8,"Invalid",-1)</f>
        <v>Unknown</v>
      </c>
      <c r="J297" s="37">
        <v>0</v>
      </c>
      <c r="K297" s="37">
        <v>0</v>
      </c>
      <c r="L297" s="37">
        <f t="shared" si="18"/>
        <v>1</v>
      </c>
      <c r="M297" s="40" t="str">
        <f t="shared" si="16"/>
        <v>Not Survived</v>
      </c>
      <c r="N297" s="37" t="str">
        <f>_xlfn.XLOOKUP(L297,notes!$B$28:$B$30,notes!$C$28:$C$30,"Unknown",-1)</f>
        <v>Alone</v>
      </c>
      <c r="O297" s="37" t="s">
        <v>447</v>
      </c>
      <c r="P297" s="37">
        <v>27.7208</v>
      </c>
      <c r="Q297" s="37" t="str">
        <f t="shared" si="19"/>
        <v>Mid</v>
      </c>
      <c r="R297" s="37" t="s">
        <v>1236</v>
      </c>
      <c r="S297" s="37" t="s">
        <v>20</v>
      </c>
      <c r="T297" s="41" t="str">
        <f t="shared" si="17"/>
        <v>Cherbourg</v>
      </c>
    </row>
    <row r="298" spans="1:20">
      <c r="A298" s="37">
        <v>297</v>
      </c>
      <c r="B298" s="37">
        <v>0</v>
      </c>
      <c r="C298" s="37">
        <v>3</v>
      </c>
      <c r="D298" s="37" t="s">
        <v>1783</v>
      </c>
      <c r="E298" s="37" t="s">
        <v>1784</v>
      </c>
      <c r="F298" s="37" t="s">
        <v>1235</v>
      </c>
      <c r="G298" s="37" t="str">
        <f>_xlfn.XLOOKUP(F298,notes!$B$12:$B$18,notes!$C$12:$C$18,"Unknown")</f>
        <v>Male</v>
      </c>
      <c r="H298" s="38">
        <v>23.5</v>
      </c>
      <c r="I298" s="39" t="str">
        <f>_xlfn.XLOOKUP(H298,notes!$B$4:$B$8,notes!$C$4:$C$8,"Invalid",-1)</f>
        <v>Adult</v>
      </c>
      <c r="J298" s="37">
        <v>0</v>
      </c>
      <c r="K298" s="37">
        <v>0</v>
      </c>
      <c r="L298" s="37">
        <f t="shared" si="18"/>
        <v>1</v>
      </c>
      <c r="M298" s="40" t="str">
        <f t="shared" si="16"/>
        <v>Not Survived</v>
      </c>
      <c r="N298" s="37" t="str">
        <f>_xlfn.XLOOKUP(L298,notes!$B$28:$B$30,notes!$C$28:$C$30,"Unknown",-1)</f>
        <v>Alone</v>
      </c>
      <c r="O298" s="37">
        <v>2693</v>
      </c>
      <c r="P298" s="37">
        <v>7.2292</v>
      </c>
      <c r="Q298" s="37" t="str">
        <f t="shared" si="19"/>
        <v>Low</v>
      </c>
      <c r="R298" s="37" t="s">
        <v>1236</v>
      </c>
      <c r="S298" s="37" t="s">
        <v>20</v>
      </c>
      <c r="T298" s="41" t="str">
        <f t="shared" si="17"/>
        <v>Cherbourg</v>
      </c>
    </row>
    <row r="299" spans="1:20">
      <c r="A299" s="37">
        <v>298</v>
      </c>
      <c r="B299" s="37">
        <v>0</v>
      </c>
      <c r="C299" s="37">
        <v>1</v>
      </c>
      <c r="D299" s="37" t="s">
        <v>1785</v>
      </c>
      <c r="E299" s="37" t="s">
        <v>1786</v>
      </c>
      <c r="F299" s="37" t="s">
        <v>1242</v>
      </c>
      <c r="G299" s="37" t="str">
        <f>_xlfn.XLOOKUP(F299,notes!$B$12:$B$18,notes!$C$12:$C$18,"Unknown")</f>
        <v>Female</v>
      </c>
      <c r="H299" s="38">
        <v>2</v>
      </c>
      <c r="I299" s="39" t="str">
        <f>_xlfn.XLOOKUP(H299,notes!$B$4:$B$8,notes!$C$4:$C$8,"Invalid",-1)</f>
        <v>Kid</v>
      </c>
      <c r="J299" s="37">
        <v>1</v>
      </c>
      <c r="K299" s="37">
        <v>2</v>
      </c>
      <c r="L299" s="37">
        <f t="shared" si="18"/>
        <v>4</v>
      </c>
      <c r="M299" s="40" t="str">
        <f t="shared" si="16"/>
        <v>Not Survived</v>
      </c>
      <c r="N299" s="37" t="str">
        <f>_xlfn.XLOOKUP(L299,notes!$B$28:$B$30,notes!$C$28:$C$30,"Unknown",-1)</f>
        <v>Large Family</v>
      </c>
      <c r="O299" s="37">
        <v>113781</v>
      </c>
      <c r="P299" s="37">
        <v>151.55</v>
      </c>
      <c r="Q299" s="37" t="str">
        <f t="shared" si="19"/>
        <v>High</v>
      </c>
      <c r="R299" s="37" t="s">
        <v>450</v>
      </c>
      <c r="S299" s="37" t="s">
        <v>15</v>
      </c>
      <c r="T299" s="41" t="str">
        <f t="shared" si="17"/>
        <v>Southampton</v>
      </c>
    </row>
    <row r="300" spans="1:20">
      <c r="A300" s="37">
        <v>299</v>
      </c>
      <c r="B300" s="37">
        <v>1</v>
      </c>
      <c r="C300" s="37">
        <v>1</v>
      </c>
      <c r="D300" s="37" t="s">
        <v>1787</v>
      </c>
      <c r="E300" s="37" t="s">
        <v>1788</v>
      </c>
      <c r="F300" s="37" t="s">
        <v>1235</v>
      </c>
      <c r="G300" s="37" t="str">
        <f>_xlfn.XLOOKUP(F300,notes!$B$12:$B$18,notes!$C$12:$C$18,"Unknown")</f>
        <v>Male</v>
      </c>
      <c r="H300" s="38" t="s">
        <v>1236</v>
      </c>
      <c r="I300" s="39" t="str">
        <f>_xlfn.XLOOKUP(H300,notes!$B$4:$B$8,notes!$C$4:$C$8,"Invalid",-1)</f>
        <v>Unknown</v>
      </c>
      <c r="J300" s="37">
        <v>0</v>
      </c>
      <c r="K300" s="37">
        <v>0</v>
      </c>
      <c r="L300" s="37">
        <f t="shared" si="18"/>
        <v>1</v>
      </c>
      <c r="M300" s="40" t="str">
        <f t="shared" si="16"/>
        <v>Survived</v>
      </c>
      <c r="N300" s="37" t="str">
        <f>_xlfn.XLOOKUP(L300,notes!$B$28:$B$30,notes!$C$28:$C$30,"Unknown",-1)</f>
        <v>Alone</v>
      </c>
      <c r="O300" s="37">
        <v>19988</v>
      </c>
      <c r="P300" s="37">
        <v>30.5</v>
      </c>
      <c r="Q300" s="37" t="str">
        <f t="shared" si="19"/>
        <v>Mid</v>
      </c>
      <c r="R300" s="37" t="s">
        <v>452</v>
      </c>
      <c r="S300" s="37" t="s">
        <v>15</v>
      </c>
      <c r="T300" s="41" t="str">
        <f t="shared" si="17"/>
        <v>Southampton</v>
      </c>
    </row>
    <row r="301" spans="1:20">
      <c r="A301" s="37">
        <v>300</v>
      </c>
      <c r="B301" s="37">
        <v>1</v>
      </c>
      <c r="C301" s="37">
        <v>1</v>
      </c>
      <c r="D301" s="37" t="s">
        <v>1465</v>
      </c>
      <c r="E301" s="37" t="s">
        <v>1789</v>
      </c>
      <c r="F301" s="37" t="s">
        <v>1239</v>
      </c>
      <c r="G301" s="37" t="str">
        <f>_xlfn.XLOOKUP(F301,notes!$B$12:$B$18,notes!$C$12:$C$18,"Unknown")</f>
        <v>Female</v>
      </c>
      <c r="H301" s="38">
        <v>50</v>
      </c>
      <c r="I301" s="39" t="str">
        <f>_xlfn.XLOOKUP(H301,notes!$B$4:$B$8,notes!$C$4:$C$8,"Invalid",-1)</f>
        <v>Adult</v>
      </c>
      <c r="J301" s="37">
        <v>0</v>
      </c>
      <c r="K301" s="37">
        <v>1</v>
      </c>
      <c r="L301" s="37">
        <f t="shared" si="18"/>
        <v>2</v>
      </c>
      <c r="M301" s="40" t="str">
        <f t="shared" si="16"/>
        <v>Survived</v>
      </c>
      <c r="N301" s="37" t="str">
        <f>_xlfn.XLOOKUP(L301,notes!$B$28:$B$30,notes!$C$28:$C$30,"Unknown",-1)</f>
        <v>Small Family</v>
      </c>
      <c r="O301" s="37" t="s">
        <v>188</v>
      </c>
      <c r="P301" s="37">
        <v>247.5208</v>
      </c>
      <c r="Q301" s="37" t="str">
        <f t="shared" si="19"/>
        <v>High</v>
      </c>
      <c r="R301" s="37" t="s">
        <v>189</v>
      </c>
      <c r="S301" s="37" t="s">
        <v>20</v>
      </c>
      <c r="T301" s="41" t="str">
        <f t="shared" si="17"/>
        <v>Cherbourg</v>
      </c>
    </row>
    <row r="302" spans="1:20">
      <c r="A302" s="37">
        <v>301</v>
      </c>
      <c r="B302" s="37">
        <v>1</v>
      </c>
      <c r="C302" s="37">
        <v>3</v>
      </c>
      <c r="D302" s="37" t="s">
        <v>1790</v>
      </c>
      <c r="E302" s="37" t="s">
        <v>1791</v>
      </c>
      <c r="F302" s="37" t="s">
        <v>1242</v>
      </c>
      <c r="G302" s="37" t="str">
        <f>_xlfn.XLOOKUP(F302,notes!$B$12:$B$18,notes!$C$12:$C$18,"Unknown")</f>
        <v>Female</v>
      </c>
      <c r="H302" s="38" t="s">
        <v>1236</v>
      </c>
      <c r="I302" s="39" t="str">
        <f>_xlfn.XLOOKUP(H302,notes!$B$4:$B$8,notes!$C$4:$C$8,"Invalid",-1)</f>
        <v>Unknown</v>
      </c>
      <c r="J302" s="37">
        <v>0</v>
      </c>
      <c r="K302" s="37">
        <v>0</v>
      </c>
      <c r="L302" s="37">
        <f t="shared" si="18"/>
        <v>1</v>
      </c>
      <c r="M302" s="40" t="str">
        <f t="shared" si="16"/>
        <v>Survived</v>
      </c>
      <c r="N302" s="37" t="str">
        <f>_xlfn.XLOOKUP(L302,notes!$B$28:$B$30,notes!$C$28:$C$30,"Unknown",-1)</f>
        <v>Alone</v>
      </c>
      <c r="O302" s="37">
        <v>9234</v>
      </c>
      <c r="P302" s="37">
        <v>7.75</v>
      </c>
      <c r="Q302" s="37" t="str">
        <f t="shared" si="19"/>
        <v>Low</v>
      </c>
      <c r="R302" s="37" t="s">
        <v>1236</v>
      </c>
      <c r="S302" s="37" t="s">
        <v>28</v>
      </c>
      <c r="T302" s="41" t="str">
        <f t="shared" si="17"/>
        <v>Queenstown</v>
      </c>
    </row>
    <row r="303" spans="1:20">
      <c r="A303" s="37">
        <v>302</v>
      </c>
      <c r="B303" s="37">
        <v>1</v>
      </c>
      <c r="C303" s="37">
        <v>3</v>
      </c>
      <c r="D303" s="37" t="s">
        <v>1792</v>
      </c>
      <c r="E303" s="37" t="s">
        <v>1793</v>
      </c>
      <c r="F303" s="37" t="s">
        <v>1235</v>
      </c>
      <c r="G303" s="37" t="str">
        <f>_xlfn.XLOOKUP(F303,notes!$B$12:$B$18,notes!$C$12:$C$18,"Unknown")</f>
        <v>Male</v>
      </c>
      <c r="H303" s="38" t="s">
        <v>1236</v>
      </c>
      <c r="I303" s="39" t="str">
        <f>_xlfn.XLOOKUP(H303,notes!$B$4:$B$8,notes!$C$4:$C$8,"Invalid",-1)</f>
        <v>Unknown</v>
      </c>
      <c r="J303" s="37">
        <v>2</v>
      </c>
      <c r="K303" s="37">
        <v>0</v>
      </c>
      <c r="L303" s="37">
        <f t="shared" si="18"/>
        <v>3</v>
      </c>
      <c r="M303" s="40" t="str">
        <f t="shared" si="16"/>
        <v>Survived</v>
      </c>
      <c r="N303" s="37" t="str">
        <f>_xlfn.XLOOKUP(L303,notes!$B$28:$B$30,notes!$C$28:$C$30,"Unknown",-1)</f>
        <v>Small Family</v>
      </c>
      <c r="O303" s="37">
        <v>367226</v>
      </c>
      <c r="P303" s="37">
        <v>23.25</v>
      </c>
      <c r="Q303" s="37" t="str">
        <f t="shared" si="19"/>
        <v>Mid</v>
      </c>
      <c r="R303" s="37" t="s">
        <v>1236</v>
      </c>
      <c r="S303" s="37" t="s">
        <v>28</v>
      </c>
      <c r="T303" s="41" t="str">
        <f t="shared" si="17"/>
        <v>Queenstown</v>
      </c>
    </row>
    <row r="304" spans="1:20">
      <c r="A304" s="37">
        <v>303</v>
      </c>
      <c r="B304" s="37">
        <v>0</v>
      </c>
      <c r="C304" s="37">
        <v>3</v>
      </c>
      <c r="D304" s="37" t="s">
        <v>1254</v>
      </c>
      <c r="E304" s="37" t="s">
        <v>1794</v>
      </c>
      <c r="F304" s="37" t="s">
        <v>1235</v>
      </c>
      <c r="G304" s="37" t="str">
        <f>_xlfn.XLOOKUP(F304,notes!$B$12:$B$18,notes!$C$12:$C$18,"Unknown")</f>
        <v>Male</v>
      </c>
      <c r="H304" s="38">
        <v>19</v>
      </c>
      <c r="I304" s="39" t="str">
        <f>_xlfn.XLOOKUP(H304,notes!$B$4:$B$8,notes!$C$4:$C$8,"Invalid",-1)</f>
        <v>Teenager</v>
      </c>
      <c r="J304" s="37">
        <v>0</v>
      </c>
      <c r="K304" s="37">
        <v>0</v>
      </c>
      <c r="L304" s="37">
        <f t="shared" si="18"/>
        <v>1</v>
      </c>
      <c r="M304" s="40" t="str">
        <f t="shared" si="16"/>
        <v>Not Survived</v>
      </c>
      <c r="N304" s="37" t="str">
        <f>_xlfn.XLOOKUP(L304,notes!$B$28:$B$30,notes!$C$28:$C$30,"Unknown",-1)</f>
        <v>Alone</v>
      </c>
      <c r="O304" s="37" t="s">
        <v>281</v>
      </c>
      <c r="P304" s="37">
        <v>0</v>
      </c>
      <c r="Q304" s="37" t="str">
        <f t="shared" si="19"/>
        <v>Low</v>
      </c>
      <c r="R304" s="37" t="s">
        <v>1236</v>
      </c>
      <c r="S304" s="37" t="s">
        <v>15</v>
      </c>
      <c r="T304" s="41" t="str">
        <f t="shared" si="17"/>
        <v>Southampton</v>
      </c>
    </row>
    <row r="305" spans="1:20">
      <c r="A305" s="37">
        <v>304</v>
      </c>
      <c r="B305" s="37">
        <v>1</v>
      </c>
      <c r="C305" s="37">
        <v>2</v>
      </c>
      <c r="D305" s="37" t="s">
        <v>1795</v>
      </c>
      <c r="E305" s="37" t="s">
        <v>1796</v>
      </c>
      <c r="F305" s="37" t="s">
        <v>1242</v>
      </c>
      <c r="G305" s="37" t="str">
        <f>_xlfn.XLOOKUP(F305,notes!$B$12:$B$18,notes!$C$12:$C$18,"Unknown")</f>
        <v>Female</v>
      </c>
      <c r="H305" s="38" t="s">
        <v>1236</v>
      </c>
      <c r="I305" s="39" t="str">
        <f>_xlfn.XLOOKUP(H305,notes!$B$4:$B$8,notes!$C$4:$C$8,"Invalid",-1)</f>
        <v>Unknown</v>
      </c>
      <c r="J305" s="37">
        <v>0</v>
      </c>
      <c r="K305" s="37">
        <v>0</v>
      </c>
      <c r="L305" s="37">
        <f t="shared" si="18"/>
        <v>1</v>
      </c>
      <c r="M305" s="40" t="str">
        <f t="shared" si="16"/>
        <v>Survived</v>
      </c>
      <c r="N305" s="37" t="str">
        <f>_xlfn.XLOOKUP(L305,notes!$B$28:$B$30,notes!$C$28:$C$30,"Unknown",-1)</f>
        <v>Alone</v>
      </c>
      <c r="O305" s="37">
        <v>226593</v>
      </c>
      <c r="P305" s="37">
        <v>12.35</v>
      </c>
      <c r="Q305" s="37" t="str">
        <f t="shared" si="19"/>
        <v>Mid</v>
      </c>
      <c r="R305" s="37" t="s">
        <v>196</v>
      </c>
      <c r="S305" s="37" t="s">
        <v>28</v>
      </c>
      <c r="T305" s="41" t="str">
        <f t="shared" si="17"/>
        <v>Queenstown</v>
      </c>
    </row>
    <row r="306" spans="1:20">
      <c r="A306" s="37">
        <v>305</v>
      </c>
      <c r="B306" s="37">
        <v>0</v>
      </c>
      <c r="C306" s="37">
        <v>3</v>
      </c>
      <c r="D306" s="37" t="s">
        <v>1271</v>
      </c>
      <c r="E306" s="37" t="s">
        <v>1797</v>
      </c>
      <c r="F306" s="37" t="s">
        <v>1235</v>
      </c>
      <c r="G306" s="37" t="str">
        <f>_xlfn.XLOOKUP(F306,notes!$B$12:$B$18,notes!$C$12:$C$18,"Unknown")</f>
        <v>Male</v>
      </c>
      <c r="H306" s="38" t="s">
        <v>1236</v>
      </c>
      <c r="I306" s="39" t="str">
        <f>_xlfn.XLOOKUP(H306,notes!$B$4:$B$8,notes!$C$4:$C$8,"Invalid",-1)</f>
        <v>Unknown</v>
      </c>
      <c r="J306" s="37">
        <v>0</v>
      </c>
      <c r="K306" s="37">
        <v>0</v>
      </c>
      <c r="L306" s="37">
        <f t="shared" si="18"/>
        <v>1</v>
      </c>
      <c r="M306" s="40" t="str">
        <f t="shared" si="16"/>
        <v>Not Survived</v>
      </c>
      <c r="N306" s="37" t="str">
        <f>_xlfn.XLOOKUP(L306,notes!$B$28:$B$30,notes!$C$28:$C$30,"Unknown",-1)</f>
        <v>Alone</v>
      </c>
      <c r="O306" s="37" t="s">
        <v>459</v>
      </c>
      <c r="P306" s="37">
        <v>8.05</v>
      </c>
      <c r="Q306" s="37" t="str">
        <f t="shared" si="19"/>
        <v>Low</v>
      </c>
      <c r="R306" s="37" t="s">
        <v>1236</v>
      </c>
      <c r="S306" s="37" t="s">
        <v>15</v>
      </c>
      <c r="T306" s="41" t="str">
        <f t="shared" si="17"/>
        <v>Southampton</v>
      </c>
    </row>
    <row r="307" spans="1:20">
      <c r="A307" s="37">
        <v>306</v>
      </c>
      <c r="B307" s="37">
        <v>1</v>
      </c>
      <c r="C307" s="37">
        <v>1</v>
      </c>
      <c r="D307" s="37" t="s">
        <v>1785</v>
      </c>
      <c r="E307" s="37" t="s">
        <v>1798</v>
      </c>
      <c r="F307" s="37" t="s">
        <v>1253</v>
      </c>
      <c r="G307" s="37" t="str">
        <f>_xlfn.XLOOKUP(F307,notes!$B$12:$B$18,notes!$C$12:$C$18,"Unknown")</f>
        <v>Male</v>
      </c>
      <c r="H307" s="38">
        <v>0.92</v>
      </c>
      <c r="I307" s="39" t="str">
        <f>_xlfn.XLOOKUP(H307,notes!$B$4:$B$8,notes!$C$4:$C$8,"Invalid",-1)</f>
        <v>Kid</v>
      </c>
      <c r="J307" s="37">
        <v>1</v>
      </c>
      <c r="K307" s="37">
        <v>2</v>
      </c>
      <c r="L307" s="37">
        <f t="shared" si="18"/>
        <v>4</v>
      </c>
      <c r="M307" s="40" t="str">
        <f t="shared" si="16"/>
        <v>Survived</v>
      </c>
      <c r="N307" s="37" t="str">
        <f>_xlfn.XLOOKUP(L307,notes!$B$28:$B$30,notes!$C$28:$C$30,"Unknown",-1)</f>
        <v>Large Family</v>
      </c>
      <c r="O307" s="37">
        <v>113781</v>
      </c>
      <c r="P307" s="37">
        <v>151.55</v>
      </c>
      <c r="Q307" s="37" t="str">
        <f t="shared" si="19"/>
        <v>High</v>
      </c>
      <c r="R307" s="37" t="s">
        <v>450</v>
      </c>
      <c r="S307" s="37" t="s">
        <v>15</v>
      </c>
      <c r="T307" s="41" t="str">
        <f t="shared" si="17"/>
        <v>Southampton</v>
      </c>
    </row>
    <row r="308" spans="1:20">
      <c r="A308" s="37">
        <v>307</v>
      </c>
      <c r="B308" s="37">
        <v>1</v>
      </c>
      <c r="C308" s="37">
        <v>1</v>
      </c>
      <c r="D308" s="37" t="s">
        <v>1799</v>
      </c>
      <c r="E308" s="37" t="s">
        <v>1800</v>
      </c>
      <c r="F308" s="37" t="s">
        <v>1242</v>
      </c>
      <c r="G308" s="37" t="str">
        <f>_xlfn.XLOOKUP(F308,notes!$B$12:$B$18,notes!$C$12:$C$18,"Unknown")</f>
        <v>Female</v>
      </c>
      <c r="H308" s="38" t="s">
        <v>1236</v>
      </c>
      <c r="I308" s="39" t="str">
        <f>_xlfn.XLOOKUP(H308,notes!$B$4:$B$8,notes!$C$4:$C$8,"Invalid",-1)</f>
        <v>Unknown</v>
      </c>
      <c r="J308" s="37">
        <v>0</v>
      </c>
      <c r="K308" s="37">
        <v>0</v>
      </c>
      <c r="L308" s="37">
        <f t="shared" si="18"/>
        <v>1</v>
      </c>
      <c r="M308" s="40" t="str">
        <f t="shared" si="16"/>
        <v>Survived</v>
      </c>
      <c r="N308" s="37" t="str">
        <f>_xlfn.XLOOKUP(L308,notes!$B$28:$B$30,notes!$C$28:$C$30,"Unknown",-1)</f>
        <v>Alone</v>
      </c>
      <c r="O308" s="37">
        <v>17421</v>
      </c>
      <c r="P308" s="37">
        <v>110.8833</v>
      </c>
      <c r="Q308" s="37" t="str">
        <f t="shared" si="19"/>
        <v>High</v>
      </c>
      <c r="R308" s="37" t="s">
        <v>1236</v>
      </c>
      <c r="S308" s="37" t="s">
        <v>20</v>
      </c>
      <c r="T308" s="41" t="str">
        <f t="shared" si="17"/>
        <v>Cherbourg</v>
      </c>
    </row>
    <row r="309" spans="1:20">
      <c r="A309" s="37">
        <v>308</v>
      </c>
      <c r="B309" s="37">
        <v>1</v>
      </c>
      <c r="C309" s="37">
        <v>1</v>
      </c>
      <c r="D309" s="37" t="s">
        <v>1801</v>
      </c>
      <c r="E309" s="37" t="s">
        <v>1802</v>
      </c>
      <c r="F309" s="37" t="s">
        <v>1239</v>
      </c>
      <c r="G309" s="37" t="str">
        <f>_xlfn.XLOOKUP(F309,notes!$B$12:$B$18,notes!$C$12:$C$18,"Unknown")</f>
        <v>Female</v>
      </c>
      <c r="H309" s="38">
        <v>17</v>
      </c>
      <c r="I309" s="39" t="str">
        <f>_xlfn.XLOOKUP(H309,notes!$B$4:$B$8,notes!$C$4:$C$8,"Invalid",-1)</f>
        <v>Teenager</v>
      </c>
      <c r="J309" s="37">
        <v>1</v>
      </c>
      <c r="K309" s="37">
        <v>0</v>
      </c>
      <c r="L309" s="37">
        <f t="shared" si="18"/>
        <v>2</v>
      </c>
      <c r="M309" s="40" t="str">
        <f t="shared" si="16"/>
        <v>Survived</v>
      </c>
      <c r="N309" s="37" t="str">
        <f>_xlfn.XLOOKUP(L309,notes!$B$28:$B$30,notes!$C$28:$C$30,"Unknown",-1)</f>
        <v>Small Family</v>
      </c>
      <c r="O309" s="37" t="s">
        <v>463</v>
      </c>
      <c r="P309" s="37">
        <v>108.9</v>
      </c>
      <c r="Q309" s="37" t="str">
        <f t="shared" si="19"/>
        <v>High</v>
      </c>
      <c r="R309" s="37" t="s">
        <v>464</v>
      </c>
      <c r="S309" s="37" t="s">
        <v>20</v>
      </c>
      <c r="T309" s="41" t="str">
        <f t="shared" si="17"/>
        <v>Cherbourg</v>
      </c>
    </row>
    <row r="310" spans="1:20">
      <c r="A310" s="37">
        <v>309</v>
      </c>
      <c r="B310" s="37">
        <v>0</v>
      </c>
      <c r="C310" s="37">
        <v>2</v>
      </c>
      <c r="D310" s="37" t="s">
        <v>1803</v>
      </c>
      <c r="E310" s="37" t="s">
        <v>1804</v>
      </c>
      <c r="F310" s="37" t="s">
        <v>1235</v>
      </c>
      <c r="G310" s="37" t="str">
        <f>_xlfn.XLOOKUP(F310,notes!$B$12:$B$18,notes!$C$12:$C$18,"Unknown")</f>
        <v>Male</v>
      </c>
      <c r="H310" s="38">
        <v>30</v>
      </c>
      <c r="I310" s="39" t="str">
        <f>_xlfn.XLOOKUP(H310,notes!$B$4:$B$8,notes!$C$4:$C$8,"Invalid",-1)</f>
        <v>Adult</v>
      </c>
      <c r="J310" s="37">
        <v>1</v>
      </c>
      <c r="K310" s="37">
        <v>0</v>
      </c>
      <c r="L310" s="37">
        <f t="shared" si="18"/>
        <v>2</v>
      </c>
      <c r="M310" s="40" t="str">
        <f t="shared" si="16"/>
        <v>Not Survived</v>
      </c>
      <c r="N310" s="37" t="str">
        <f>_xlfn.XLOOKUP(L310,notes!$B$28:$B$30,notes!$C$28:$C$30,"Unknown",-1)</f>
        <v>Small Family</v>
      </c>
      <c r="O310" s="37" t="s">
        <v>466</v>
      </c>
      <c r="P310" s="37">
        <v>24</v>
      </c>
      <c r="Q310" s="37" t="str">
        <f t="shared" si="19"/>
        <v>Mid</v>
      </c>
      <c r="R310" s="37" t="s">
        <v>1236</v>
      </c>
      <c r="S310" s="37" t="s">
        <v>20</v>
      </c>
      <c r="T310" s="41" t="str">
        <f t="shared" si="17"/>
        <v>Cherbourg</v>
      </c>
    </row>
    <row r="311" spans="1:20">
      <c r="A311" s="37">
        <v>310</v>
      </c>
      <c r="B311" s="37">
        <v>1</v>
      </c>
      <c r="C311" s="37">
        <v>1</v>
      </c>
      <c r="D311" s="37" t="s">
        <v>1805</v>
      </c>
      <c r="E311" s="37" t="s">
        <v>1806</v>
      </c>
      <c r="F311" s="37" t="s">
        <v>1242</v>
      </c>
      <c r="G311" s="37" t="str">
        <f>_xlfn.XLOOKUP(F311,notes!$B$12:$B$18,notes!$C$12:$C$18,"Unknown")</f>
        <v>Female</v>
      </c>
      <c r="H311" s="38">
        <v>30</v>
      </c>
      <c r="I311" s="39" t="str">
        <f>_xlfn.XLOOKUP(H311,notes!$B$4:$B$8,notes!$C$4:$C$8,"Invalid",-1)</f>
        <v>Adult</v>
      </c>
      <c r="J311" s="37">
        <v>0</v>
      </c>
      <c r="K311" s="37">
        <v>0</v>
      </c>
      <c r="L311" s="37">
        <f t="shared" si="18"/>
        <v>1</v>
      </c>
      <c r="M311" s="40" t="str">
        <f t="shared" si="16"/>
        <v>Survived</v>
      </c>
      <c r="N311" s="37" t="str">
        <f>_xlfn.XLOOKUP(L311,notes!$B$28:$B$30,notes!$C$28:$C$30,"Unknown",-1)</f>
        <v>Alone</v>
      </c>
      <c r="O311" s="37" t="s">
        <v>468</v>
      </c>
      <c r="P311" s="37">
        <v>56.9292</v>
      </c>
      <c r="Q311" s="37" t="str">
        <f t="shared" si="19"/>
        <v>High</v>
      </c>
      <c r="R311" s="37" t="s">
        <v>469</v>
      </c>
      <c r="S311" s="37" t="s">
        <v>20</v>
      </c>
      <c r="T311" s="41" t="str">
        <f t="shared" si="17"/>
        <v>Cherbourg</v>
      </c>
    </row>
    <row r="312" spans="1:20">
      <c r="A312" s="37">
        <v>311</v>
      </c>
      <c r="B312" s="37">
        <v>1</v>
      </c>
      <c r="C312" s="37">
        <v>1</v>
      </c>
      <c r="D312" s="37" t="s">
        <v>1807</v>
      </c>
      <c r="E312" s="37" t="s">
        <v>1808</v>
      </c>
      <c r="F312" s="37" t="s">
        <v>1242</v>
      </c>
      <c r="G312" s="37" t="str">
        <f>_xlfn.XLOOKUP(F312,notes!$B$12:$B$18,notes!$C$12:$C$18,"Unknown")</f>
        <v>Female</v>
      </c>
      <c r="H312" s="38">
        <v>24</v>
      </c>
      <c r="I312" s="39" t="str">
        <f>_xlfn.XLOOKUP(H312,notes!$B$4:$B$8,notes!$C$4:$C$8,"Invalid",-1)</f>
        <v>Adult</v>
      </c>
      <c r="J312" s="37">
        <v>0</v>
      </c>
      <c r="K312" s="37">
        <v>0</v>
      </c>
      <c r="L312" s="37">
        <f t="shared" si="18"/>
        <v>1</v>
      </c>
      <c r="M312" s="40" t="str">
        <f t="shared" si="16"/>
        <v>Survived</v>
      </c>
      <c r="N312" s="37" t="str">
        <f>_xlfn.XLOOKUP(L312,notes!$B$28:$B$30,notes!$C$28:$C$30,"Unknown",-1)</f>
        <v>Alone</v>
      </c>
      <c r="O312" s="37">
        <v>11767</v>
      </c>
      <c r="P312" s="37">
        <v>83.1583</v>
      </c>
      <c r="Q312" s="37" t="str">
        <f t="shared" si="19"/>
        <v>High</v>
      </c>
      <c r="R312" s="37" t="s">
        <v>471</v>
      </c>
      <c r="S312" s="37" t="s">
        <v>20</v>
      </c>
      <c r="T312" s="41" t="str">
        <f t="shared" si="17"/>
        <v>Cherbourg</v>
      </c>
    </row>
    <row r="313" spans="1:20">
      <c r="A313" s="37">
        <v>312</v>
      </c>
      <c r="B313" s="37">
        <v>1</v>
      </c>
      <c r="C313" s="37">
        <v>1</v>
      </c>
      <c r="D313" s="37" t="s">
        <v>1809</v>
      </c>
      <c r="E313" s="37" t="s">
        <v>1810</v>
      </c>
      <c r="F313" s="37" t="s">
        <v>1242</v>
      </c>
      <c r="G313" s="37" t="str">
        <f>_xlfn.XLOOKUP(F313,notes!$B$12:$B$18,notes!$C$12:$C$18,"Unknown")</f>
        <v>Female</v>
      </c>
      <c r="H313" s="38">
        <v>18</v>
      </c>
      <c r="I313" s="39" t="str">
        <f>_xlfn.XLOOKUP(H313,notes!$B$4:$B$8,notes!$C$4:$C$8,"Invalid",-1)</f>
        <v>Teenager</v>
      </c>
      <c r="J313" s="37">
        <v>2</v>
      </c>
      <c r="K313" s="37">
        <v>2</v>
      </c>
      <c r="L313" s="37">
        <f t="shared" si="18"/>
        <v>5</v>
      </c>
      <c r="M313" s="40" t="str">
        <f t="shared" si="16"/>
        <v>Survived</v>
      </c>
      <c r="N313" s="37" t="str">
        <f>_xlfn.XLOOKUP(L313,notes!$B$28:$B$30,notes!$C$28:$C$30,"Unknown",-1)</f>
        <v>Large Family</v>
      </c>
      <c r="O313" s="37" t="s">
        <v>473</v>
      </c>
      <c r="P313" s="37">
        <v>262.375</v>
      </c>
      <c r="Q313" s="37" t="str">
        <f t="shared" si="19"/>
        <v>High</v>
      </c>
      <c r="R313" s="37" t="s">
        <v>474</v>
      </c>
      <c r="S313" s="37" t="s">
        <v>20</v>
      </c>
      <c r="T313" s="41" t="str">
        <f t="shared" si="17"/>
        <v>Cherbourg</v>
      </c>
    </row>
    <row r="314" spans="1:20">
      <c r="A314" s="37">
        <v>313</v>
      </c>
      <c r="B314" s="37">
        <v>0</v>
      </c>
      <c r="C314" s="37">
        <v>2</v>
      </c>
      <c r="D314" s="37" t="s">
        <v>1811</v>
      </c>
      <c r="E314" s="37" t="s">
        <v>1812</v>
      </c>
      <c r="F314" s="37" t="s">
        <v>1239</v>
      </c>
      <c r="G314" s="37" t="str">
        <f>_xlfn.XLOOKUP(F314,notes!$B$12:$B$18,notes!$C$12:$C$18,"Unknown")</f>
        <v>Female</v>
      </c>
      <c r="H314" s="38">
        <v>26</v>
      </c>
      <c r="I314" s="39" t="str">
        <f>_xlfn.XLOOKUP(H314,notes!$B$4:$B$8,notes!$C$4:$C$8,"Invalid",-1)</f>
        <v>Adult</v>
      </c>
      <c r="J314" s="37">
        <v>1</v>
      </c>
      <c r="K314" s="37">
        <v>1</v>
      </c>
      <c r="L314" s="37">
        <f t="shared" si="18"/>
        <v>3</v>
      </c>
      <c r="M314" s="40" t="str">
        <f t="shared" si="16"/>
        <v>Not Survived</v>
      </c>
      <c r="N314" s="37" t="str">
        <f>_xlfn.XLOOKUP(L314,notes!$B$28:$B$30,notes!$C$28:$C$30,"Unknown",-1)</f>
        <v>Small Family</v>
      </c>
      <c r="O314" s="37">
        <v>250651</v>
      </c>
      <c r="P314" s="37">
        <v>26</v>
      </c>
      <c r="Q314" s="37" t="str">
        <f t="shared" si="19"/>
        <v>Mid</v>
      </c>
      <c r="R314" s="37" t="s">
        <v>1236</v>
      </c>
      <c r="S314" s="37" t="s">
        <v>15</v>
      </c>
      <c r="T314" s="41" t="str">
        <f t="shared" si="17"/>
        <v>Southampton</v>
      </c>
    </row>
    <row r="315" spans="1:20">
      <c r="A315" s="37">
        <v>314</v>
      </c>
      <c r="B315" s="37">
        <v>0</v>
      </c>
      <c r="C315" s="37">
        <v>3</v>
      </c>
      <c r="D315" s="37" t="s">
        <v>1813</v>
      </c>
      <c r="E315" s="37" t="s">
        <v>1814</v>
      </c>
      <c r="F315" s="37" t="s">
        <v>1235</v>
      </c>
      <c r="G315" s="37" t="str">
        <f>_xlfn.XLOOKUP(F315,notes!$B$12:$B$18,notes!$C$12:$C$18,"Unknown")</f>
        <v>Male</v>
      </c>
      <c r="H315" s="38">
        <v>28</v>
      </c>
      <c r="I315" s="39" t="str">
        <f>_xlfn.XLOOKUP(H315,notes!$B$4:$B$8,notes!$C$4:$C$8,"Invalid",-1)</f>
        <v>Adult</v>
      </c>
      <c r="J315" s="37">
        <v>0</v>
      </c>
      <c r="K315" s="37">
        <v>0</v>
      </c>
      <c r="L315" s="37">
        <f t="shared" si="18"/>
        <v>1</v>
      </c>
      <c r="M315" s="40" t="str">
        <f t="shared" si="16"/>
        <v>Not Survived</v>
      </c>
      <c r="N315" s="37" t="str">
        <f>_xlfn.XLOOKUP(L315,notes!$B$28:$B$30,notes!$C$28:$C$30,"Unknown",-1)</f>
        <v>Alone</v>
      </c>
      <c r="O315" s="37">
        <v>349243</v>
      </c>
      <c r="P315" s="37">
        <v>7.8958</v>
      </c>
      <c r="Q315" s="37" t="str">
        <f t="shared" si="19"/>
        <v>Low</v>
      </c>
      <c r="R315" s="37" t="s">
        <v>1236</v>
      </c>
      <c r="S315" s="37" t="s">
        <v>15</v>
      </c>
      <c r="T315" s="41" t="str">
        <f t="shared" si="17"/>
        <v>Southampton</v>
      </c>
    </row>
    <row r="316" spans="1:20">
      <c r="A316" s="37">
        <v>315</v>
      </c>
      <c r="B316" s="37">
        <v>0</v>
      </c>
      <c r="C316" s="37">
        <v>2</v>
      </c>
      <c r="D316" s="37" t="s">
        <v>1815</v>
      </c>
      <c r="E316" s="37" t="s">
        <v>1816</v>
      </c>
      <c r="F316" s="37" t="s">
        <v>1235</v>
      </c>
      <c r="G316" s="37" t="str">
        <f>_xlfn.XLOOKUP(F316,notes!$B$12:$B$18,notes!$C$12:$C$18,"Unknown")</f>
        <v>Male</v>
      </c>
      <c r="H316" s="38">
        <v>43</v>
      </c>
      <c r="I316" s="39" t="str">
        <f>_xlfn.XLOOKUP(H316,notes!$B$4:$B$8,notes!$C$4:$C$8,"Invalid",-1)</f>
        <v>Adult</v>
      </c>
      <c r="J316" s="37">
        <v>1</v>
      </c>
      <c r="K316" s="37">
        <v>1</v>
      </c>
      <c r="L316" s="37">
        <f t="shared" si="18"/>
        <v>3</v>
      </c>
      <c r="M316" s="40" t="str">
        <f t="shared" si="16"/>
        <v>Not Survived</v>
      </c>
      <c r="N316" s="37" t="str">
        <f>_xlfn.XLOOKUP(L316,notes!$B$28:$B$30,notes!$C$28:$C$30,"Unknown",-1)</f>
        <v>Small Family</v>
      </c>
      <c r="O316" s="37" t="s">
        <v>478</v>
      </c>
      <c r="P316" s="37">
        <v>26.25</v>
      </c>
      <c r="Q316" s="37" t="str">
        <f t="shared" si="19"/>
        <v>Mid</v>
      </c>
      <c r="R316" s="37" t="s">
        <v>1236</v>
      </c>
      <c r="S316" s="37" t="s">
        <v>15</v>
      </c>
      <c r="T316" s="41" t="str">
        <f t="shared" si="17"/>
        <v>Southampton</v>
      </c>
    </row>
    <row r="317" spans="1:20">
      <c r="A317" s="37">
        <v>316</v>
      </c>
      <c r="B317" s="37">
        <v>1</v>
      </c>
      <c r="C317" s="37">
        <v>3</v>
      </c>
      <c r="D317" s="37" t="s">
        <v>1817</v>
      </c>
      <c r="E317" s="37" t="s">
        <v>1818</v>
      </c>
      <c r="F317" s="37" t="s">
        <v>1242</v>
      </c>
      <c r="G317" s="37" t="str">
        <f>_xlfn.XLOOKUP(F317,notes!$B$12:$B$18,notes!$C$12:$C$18,"Unknown")</f>
        <v>Female</v>
      </c>
      <c r="H317" s="38">
        <v>26</v>
      </c>
      <c r="I317" s="39" t="str">
        <f>_xlfn.XLOOKUP(H317,notes!$B$4:$B$8,notes!$C$4:$C$8,"Invalid",-1)</f>
        <v>Adult</v>
      </c>
      <c r="J317" s="37">
        <v>0</v>
      </c>
      <c r="K317" s="37">
        <v>0</v>
      </c>
      <c r="L317" s="37">
        <f t="shared" si="18"/>
        <v>1</v>
      </c>
      <c r="M317" s="40" t="str">
        <f t="shared" si="16"/>
        <v>Survived</v>
      </c>
      <c r="N317" s="37" t="str">
        <f>_xlfn.XLOOKUP(L317,notes!$B$28:$B$30,notes!$C$28:$C$30,"Unknown",-1)</f>
        <v>Alone</v>
      </c>
      <c r="O317" s="37">
        <v>347470</v>
      </c>
      <c r="P317" s="37">
        <v>7.8542</v>
      </c>
      <c r="Q317" s="37" t="str">
        <f t="shared" si="19"/>
        <v>Low</v>
      </c>
      <c r="R317" s="37" t="s">
        <v>1236</v>
      </c>
      <c r="S317" s="37" t="s">
        <v>15</v>
      </c>
      <c r="T317" s="41" t="str">
        <f t="shared" si="17"/>
        <v>Southampton</v>
      </c>
    </row>
    <row r="318" spans="1:20">
      <c r="A318" s="37">
        <v>317</v>
      </c>
      <c r="B318" s="37">
        <v>1</v>
      </c>
      <c r="C318" s="37">
        <v>2</v>
      </c>
      <c r="D318" s="37" t="s">
        <v>1430</v>
      </c>
      <c r="E318" s="37" t="s">
        <v>1819</v>
      </c>
      <c r="F318" s="37" t="s">
        <v>1239</v>
      </c>
      <c r="G318" s="37" t="str">
        <f>_xlfn.XLOOKUP(F318,notes!$B$12:$B$18,notes!$C$12:$C$18,"Unknown")</f>
        <v>Female</v>
      </c>
      <c r="H318" s="38">
        <v>24</v>
      </c>
      <c r="I318" s="39" t="str">
        <f>_xlfn.XLOOKUP(H318,notes!$B$4:$B$8,notes!$C$4:$C$8,"Invalid",-1)</f>
        <v>Adult</v>
      </c>
      <c r="J318" s="37">
        <v>1</v>
      </c>
      <c r="K318" s="37">
        <v>0</v>
      </c>
      <c r="L318" s="37">
        <f t="shared" si="18"/>
        <v>2</v>
      </c>
      <c r="M318" s="40" t="str">
        <f t="shared" si="16"/>
        <v>Survived</v>
      </c>
      <c r="N318" s="37" t="str">
        <f>_xlfn.XLOOKUP(L318,notes!$B$28:$B$30,notes!$C$28:$C$30,"Unknown",-1)</f>
        <v>Small Family</v>
      </c>
      <c r="O318" s="37">
        <v>244367</v>
      </c>
      <c r="P318" s="37">
        <v>26</v>
      </c>
      <c r="Q318" s="37" t="str">
        <f t="shared" si="19"/>
        <v>Mid</v>
      </c>
      <c r="R318" s="37" t="s">
        <v>1236</v>
      </c>
      <c r="S318" s="37" t="s">
        <v>15</v>
      </c>
      <c r="T318" s="41" t="str">
        <f t="shared" si="17"/>
        <v>Southampton</v>
      </c>
    </row>
    <row r="319" spans="1:20">
      <c r="A319" s="37">
        <v>318</v>
      </c>
      <c r="B319" s="37">
        <v>0</v>
      </c>
      <c r="C319" s="37">
        <v>2</v>
      </c>
      <c r="D319" s="37" t="s">
        <v>1820</v>
      </c>
      <c r="E319" s="37" t="s">
        <v>1821</v>
      </c>
      <c r="F319" s="37" t="s">
        <v>1695</v>
      </c>
      <c r="G319" s="37" t="str">
        <f>_xlfn.XLOOKUP(F319,notes!$B$12:$B$18,notes!$C$12:$C$18,"Unknown")</f>
        <v>Male</v>
      </c>
      <c r="H319" s="38">
        <v>54</v>
      </c>
      <c r="I319" s="39" t="str">
        <f>_xlfn.XLOOKUP(H319,notes!$B$4:$B$8,notes!$C$4:$C$8,"Invalid",-1)</f>
        <v>Adult</v>
      </c>
      <c r="J319" s="37">
        <v>0</v>
      </c>
      <c r="K319" s="37">
        <v>0</v>
      </c>
      <c r="L319" s="37">
        <f t="shared" si="18"/>
        <v>1</v>
      </c>
      <c r="M319" s="40" t="str">
        <f t="shared" si="16"/>
        <v>Not Survived</v>
      </c>
      <c r="N319" s="37" t="str">
        <f>_xlfn.XLOOKUP(L319,notes!$B$28:$B$30,notes!$C$28:$C$30,"Unknown",-1)</f>
        <v>Alone</v>
      </c>
      <c r="O319" s="37">
        <v>29011</v>
      </c>
      <c r="P319" s="37">
        <v>14</v>
      </c>
      <c r="Q319" s="37" t="str">
        <f t="shared" si="19"/>
        <v>Mid</v>
      </c>
      <c r="R319" s="37" t="s">
        <v>1236</v>
      </c>
      <c r="S319" s="37" t="s">
        <v>15</v>
      </c>
      <c r="T319" s="41" t="str">
        <f t="shared" si="17"/>
        <v>Southampton</v>
      </c>
    </row>
    <row r="320" spans="1:20">
      <c r="A320" s="37">
        <v>319</v>
      </c>
      <c r="B320" s="37">
        <v>1</v>
      </c>
      <c r="C320" s="37">
        <v>1</v>
      </c>
      <c r="D320" s="37" t="s">
        <v>1822</v>
      </c>
      <c r="E320" s="37" t="s">
        <v>1823</v>
      </c>
      <c r="F320" s="37" t="s">
        <v>1242</v>
      </c>
      <c r="G320" s="37" t="str">
        <f>_xlfn.XLOOKUP(F320,notes!$B$12:$B$18,notes!$C$12:$C$18,"Unknown")</f>
        <v>Female</v>
      </c>
      <c r="H320" s="38">
        <v>31</v>
      </c>
      <c r="I320" s="39" t="str">
        <f>_xlfn.XLOOKUP(H320,notes!$B$4:$B$8,notes!$C$4:$C$8,"Invalid",-1)</f>
        <v>Adult</v>
      </c>
      <c r="J320" s="37">
        <v>0</v>
      </c>
      <c r="K320" s="37">
        <v>2</v>
      </c>
      <c r="L320" s="37">
        <f t="shared" si="18"/>
        <v>3</v>
      </c>
      <c r="M320" s="40" t="str">
        <f t="shared" si="16"/>
        <v>Survived</v>
      </c>
      <c r="N320" s="37" t="str">
        <f>_xlfn.XLOOKUP(L320,notes!$B$28:$B$30,notes!$C$28:$C$30,"Unknown",-1)</f>
        <v>Small Family</v>
      </c>
      <c r="O320" s="37">
        <v>36928</v>
      </c>
      <c r="P320" s="37">
        <v>164.8667</v>
      </c>
      <c r="Q320" s="37" t="str">
        <f t="shared" si="19"/>
        <v>High</v>
      </c>
      <c r="R320" s="37" t="s">
        <v>483</v>
      </c>
      <c r="S320" s="37" t="s">
        <v>15</v>
      </c>
      <c r="T320" s="41" t="str">
        <f t="shared" si="17"/>
        <v>Southampton</v>
      </c>
    </row>
    <row r="321" spans="1:20">
      <c r="A321" s="37">
        <v>320</v>
      </c>
      <c r="B321" s="37">
        <v>1</v>
      </c>
      <c r="C321" s="37">
        <v>1</v>
      </c>
      <c r="D321" s="37" t="s">
        <v>1824</v>
      </c>
      <c r="E321" s="37" t="s">
        <v>1825</v>
      </c>
      <c r="F321" s="37" t="s">
        <v>1239</v>
      </c>
      <c r="G321" s="37" t="str">
        <f>_xlfn.XLOOKUP(F321,notes!$B$12:$B$18,notes!$C$12:$C$18,"Unknown")</f>
        <v>Female</v>
      </c>
      <c r="H321" s="38">
        <v>40</v>
      </c>
      <c r="I321" s="39" t="str">
        <f>_xlfn.XLOOKUP(H321,notes!$B$4:$B$8,notes!$C$4:$C$8,"Invalid",-1)</f>
        <v>Adult</v>
      </c>
      <c r="J321" s="37">
        <v>1</v>
      </c>
      <c r="K321" s="37">
        <v>1</v>
      </c>
      <c r="L321" s="37">
        <f t="shared" si="18"/>
        <v>3</v>
      </c>
      <c r="M321" s="40" t="str">
        <f t="shared" si="16"/>
        <v>Survived</v>
      </c>
      <c r="N321" s="37" t="str">
        <f>_xlfn.XLOOKUP(L321,notes!$B$28:$B$30,notes!$C$28:$C$30,"Unknown",-1)</f>
        <v>Small Family</v>
      </c>
      <c r="O321" s="37">
        <v>16966</v>
      </c>
      <c r="P321" s="37">
        <v>134.5</v>
      </c>
      <c r="Q321" s="37" t="str">
        <f t="shared" si="19"/>
        <v>High</v>
      </c>
      <c r="R321" s="37" t="s">
        <v>485</v>
      </c>
      <c r="S321" s="37" t="s">
        <v>20</v>
      </c>
      <c r="T321" s="41" t="str">
        <f t="shared" si="17"/>
        <v>Cherbourg</v>
      </c>
    </row>
    <row r="322" spans="1:20">
      <c r="A322" s="37">
        <v>321</v>
      </c>
      <c r="B322" s="37">
        <v>0</v>
      </c>
      <c r="C322" s="37">
        <v>3</v>
      </c>
      <c r="D322" s="37" t="s">
        <v>1826</v>
      </c>
      <c r="E322" s="37" t="s">
        <v>1804</v>
      </c>
      <c r="F322" s="37" t="s">
        <v>1235</v>
      </c>
      <c r="G322" s="37" t="str">
        <f>_xlfn.XLOOKUP(F322,notes!$B$12:$B$18,notes!$C$12:$C$18,"Unknown")</f>
        <v>Male</v>
      </c>
      <c r="H322" s="38">
        <v>22</v>
      </c>
      <c r="I322" s="39" t="str">
        <f>_xlfn.XLOOKUP(H322,notes!$B$4:$B$8,notes!$C$4:$C$8,"Invalid",-1)</f>
        <v>Adult</v>
      </c>
      <c r="J322" s="37">
        <v>0</v>
      </c>
      <c r="K322" s="37">
        <v>0</v>
      </c>
      <c r="L322" s="37">
        <f t="shared" si="18"/>
        <v>1</v>
      </c>
      <c r="M322" s="40" t="str">
        <f t="shared" ref="M322:M385" si="20">IF(B322=1,"Survived","Not Survived")</f>
        <v>Not Survived</v>
      </c>
      <c r="N322" s="37" t="str">
        <f>_xlfn.XLOOKUP(L322,notes!$B$28:$B$30,notes!$C$28:$C$30,"Unknown",-1)</f>
        <v>Alone</v>
      </c>
      <c r="O322" s="37" t="s">
        <v>487</v>
      </c>
      <c r="P322" s="37">
        <v>7.25</v>
      </c>
      <c r="Q322" s="37" t="str">
        <f t="shared" si="19"/>
        <v>Low</v>
      </c>
      <c r="R322" s="37" t="s">
        <v>1236</v>
      </c>
      <c r="S322" s="37" t="s">
        <v>15</v>
      </c>
      <c r="T322" s="41" t="str">
        <f t="shared" ref="T322:T385" si="21">IF(S322="Q","Queenstown",IF(S322="C","Cherbourg",IF(S322="S","Southampton","Unknown")))</f>
        <v>Southampton</v>
      </c>
    </row>
    <row r="323" spans="1:20">
      <c r="A323" s="37">
        <v>322</v>
      </c>
      <c r="B323" s="37">
        <v>0</v>
      </c>
      <c r="C323" s="37">
        <v>3</v>
      </c>
      <c r="D323" s="37" t="s">
        <v>1827</v>
      </c>
      <c r="E323" s="37" t="s">
        <v>1828</v>
      </c>
      <c r="F323" s="37" t="s">
        <v>1235</v>
      </c>
      <c r="G323" s="37" t="str">
        <f>_xlfn.XLOOKUP(F323,notes!$B$12:$B$18,notes!$C$12:$C$18,"Unknown")</f>
        <v>Male</v>
      </c>
      <c r="H323" s="38">
        <v>27</v>
      </c>
      <c r="I323" s="39" t="str">
        <f>_xlfn.XLOOKUP(H323,notes!$B$4:$B$8,notes!$C$4:$C$8,"Invalid",-1)</f>
        <v>Adult</v>
      </c>
      <c r="J323" s="37">
        <v>0</v>
      </c>
      <c r="K323" s="37">
        <v>0</v>
      </c>
      <c r="L323" s="37">
        <f t="shared" ref="L323:L386" si="22">(J323+K323)+1</f>
        <v>1</v>
      </c>
      <c r="M323" s="40" t="str">
        <f t="shared" si="20"/>
        <v>Not Survived</v>
      </c>
      <c r="N323" s="37" t="str">
        <f>_xlfn.XLOOKUP(L323,notes!$B$28:$B$30,notes!$C$28:$C$30,"Unknown",-1)</f>
        <v>Alone</v>
      </c>
      <c r="O323" s="37">
        <v>349219</v>
      </c>
      <c r="P323" s="37">
        <v>7.8958</v>
      </c>
      <c r="Q323" s="37" t="str">
        <f t="shared" ref="Q323:Q386" si="23">IF(P323&gt;=50,"High",IF(P323&gt;=10,"Mid",IF(P323&lt;10,"Low","invalid")))</f>
        <v>Low</v>
      </c>
      <c r="R323" s="37" t="s">
        <v>1236</v>
      </c>
      <c r="S323" s="37" t="s">
        <v>15</v>
      </c>
      <c r="T323" s="41" t="str">
        <f t="shared" si="21"/>
        <v>Southampton</v>
      </c>
    </row>
    <row r="324" spans="1:20">
      <c r="A324" s="37">
        <v>323</v>
      </c>
      <c r="B324" s="37">
        <v>1</v>
      </c>
      <c r="C324" s="37">
        <v>2</v>
      </c>
      <c r="D324" s="37" t="s">
        <v>1829</v>
      </c>
      <c r="E324" s="37" t="s">
        <v>1830</v>
      </c>
      <c r="F324" s="37" t="s">
        <v>1242</v>
      </c>
      <c r="G324" s="37" t="str">
        <f>_xlfn.XLOOKUP(F324,notes!$B$12:$B$18,notes!$C$12:$C$18,"Unknown")</f>
        <v>Female</v>
      </c>
      <c r="H324" s="38">
        <v>30</v>
      </c>
      <c r="I324" s="39" t="str">
        <f>_xlfn.XLOOKUP(H324,notes!$B$4:$B$8,notes!$C$4:$C$8,"Invalid",-1)</f>
        <v>Adult</v>
      </c>
      <c r="J324" s="37">
        <v>0</v>
      </c>
      <c r="K324" s="37">
        <v>0</v>
      </c>
      <c r="L324" s="37">
        <f t="shared" si="22"/>
        <v>1</v>
      </c>
      <c r="M324" s="40" t="str">
        <f t="shared" si="20"/>
        <v>Survived</v>
      </c>
      <c r="N324" s="37" t="str">
        <f>_xlfn.XLOOKUP(L324,notes!$B$28:$B$30,notes!$C$28:$C$30,"Unknown",-1)</f>
        <v>Alone</v>
      </c>
      <c r="O324" s="37">
        <v>234818</v>
      </c>
      <c r="P324" s="37">
        <v>12.35</v>
      </c>
      <c r="Q324" s="37" t="str">
        <f t="shared" si="23"/>
        <v>Mid</v>
      </c>
      <c r="R324" s="37" t="s">
        <v>1236</v>
      </c>
      <c r="S324" s="37" t="s">
        <v>28</v>
      </c>
      <c r="T324" s="41" t="str">
        <f t="shared" si="21"/>
        <v>Queenstown</v>
      </c>
    </row>
    <row r="325" spans="1:20">
      <c r="A325" s="37">
        <v>324</v>
      </c>
      <c r="B325" s="37">
        <v>1</v>
      </c>
      <c r="C325" s="37">
        <v>2</v>
      </c>
      <c r="D325" s="37" t="s">
        <v>1390</v>
      </c>
      <c r="E325" s="37" t="s">
        <v>1831</v>
      </c>
      <c r="F325" s="37" t="s">
        <v>1239</v>
      </c>
      <c r="G325" s="37" t="str">
        <f>_xlfn.XLOOKUP(F325,notes!$B$12:$B$18,notes!$C$12:$C$18,"Unknown")</f>
        <v>Female</v>
      </c>
      <c r="H325" s="38">
        <v>22</v>
      </c>
      <c r="I325" s="39" t="str">
        <f>_xlfn.XLOOKUP(H325,notes!$B$4:$B$8,notes!$C$4:$C$8,"Invalid",-1)</f>
        <v>Adult</v>
      </c>
      <c r="J325" s="37">
        <v>1</v>
      </c>
      <c r="K325" s="37">
        <v>1</v>
      </c>
      <c r="L325" s="37">
        <f t="shared" si="22"/>
        <v>3</v>
      </c>
      <c r="M325" s="40" t="str">
        <f t="shared" si="20"/>
        <v>Survived</v>
      </c>
      <c r="N325" s="37" t="str">
        <f>_xlfn.XLOOKUP(L325,notes!$B$28:$B$30,notes!$C$28:$C$30,"Unknown",-1)</f>
        <v>Small Family</v>
      </c>
      <c r="O325" s="37">
        <v>248738</v>
      </c>
      <c r="P325" s="37">
        <v>29</v>
      </c>
      <c r="Q325" s="37" t="str">
        <f t="shared" si="23"/>
        <v>Mid</v>
      </c>
      <c r="R325" s="37" t="s">
        <v>1236</v>
      </c>
      <c r="S325" s="37" t="s">
        <v>15</v>
      </c>
      <c r="T325" s="41" t="str">
        <f t="shared" si="21"/>
        <v>Southampton</v>
      </c>
    </row>
    <row r="326" spans="1:20">
      <c r="A326" s="37">
        <v>325</v>
      </c>
      <c r="B326" s="37">
        <v>0</v>
      </c>
      <c r="C326" s="37">
        <v>3</v>
      </c>
      <c r="D326" s="37" t="s">
        <v>1540</v>
      </c>
      <c r="E326" s="37" t="s">
        <v>1832</v>
      </c>
      <c r="F326" s="37" t="s">
        <v>1235</v>
      </c>
      <c r="G326" s="37" t="str">
        <f>_xlfn.XLOOKUP(F326,notes!$B$12:$B$18,notes!$C$12:$C$18,"Unknown")</f>
        <v>Male</v>
      </c>
      <c r="H326" s="38" t="s">
        <v>1236</v>
      </c>
      <c r="I326" s="39" t="str">
        <f>_xlfn.XLOOKUP(H326,notes!$B$4:$B$8,notes!$C$4:$C$8,"Invalid",-1)</f>
        <v>Unknown</v>
      </c>
      <c r="J326" s="37">
        <v>8</v>
      </c>
      <c r="K326" s="37">
        <v>2</v>
      </c>
      <c r="L326" s="37">
        <f t="shared" si="22"/>
        <v>11</v>
      </c>
      <c r="M326" s="40" t="str">
        <f t="shared" si="20"/>
        <v>Not Survived</v>
      </c>
      <c r="N326" s="37" t="str">
        <f>_xlfn.XLOOKUP(L326,notes!$B$28:$B$30,notes!$C$28:$C$30,"Unknown",-1)</f>
        <v>Large Family</v>
      </c>
      <c r="O326" s="37" t="s">
        <v>252</v>
      </c>
      <c r="P326" s="37">
        <v>69.55</v>
      </c>
      <c r="Q326" s="37" t="str">
        <f t="shared" si="23"/>
        <v>High</v>
      </c>
      <c r="R326" s="37" t="s">
        <v>1236</v>
      </c>
      <c r="S326" s="37" t="s">
        <v>15</v>
      </c>
      <c r="T326" s="41" t="str">
        <f t="shared" si="21"/>
        <v>Southampton</v>
      </c>
    </row>
    <row r="327" spans="1:20">
      <c r="A327" s="37">
        <v>326</v>
      </c>
      <c r="B327" s="37">
        <v>1</v>
      </c>
      <c r="C327" s="37">
        <v>1</v>
      </c>
      <c r="D327" s="37" t="s">
        <v>1833</v>
      </c>
      <c r="E327" s="37" t="s">
        <v>1834</v>
      </c>
      <c r="F327" s="37" t="s">
        <v>1242</v>
      </c>
      <c r="G327" s="37" t="str">
        <f>_xlfn.XLOOKUP(F327,notes!$B$12:$B$18,notes!$C$12:$C$18,"Unknown")</f>
        <v>Female</v>
      </c>
      <c r="H327" s="38">
        <v>36</v>
      </c>
      <c r="I327" s="39" t="str">
        <f>_xlfn.XLOOKUP(H327,notes!$B$4:$B$8,notes!$C$4:$C$8,"Invalid",-1)</f>
        <v>Adult</v>
      </c>
      <c r="J327" s="37">
        <v>0</v>
      </c>
      <c r="K327" s="37">
        <v>0</v>
      </c>
      <c r="L327" s="37">
        <f t="shared" si="22"/>
        <v>1</v>
      </c>
      <c r="M327" s="40" t="str">
        <f t="shared" si="20"/>
        <v>Survived</v>
      </c>
      <c r="N327" s="37" t="str">
        <f>_xlfn.XLOOKUP(L327,notes!$B$28:$B$30,notes!$C$28:$C$30,"Unknown",-1)</f>
        <v>Alone</v>
      </c>
      <c r="O327" s="37" t="s">
        <v>410</v>
      </c>
      <c r="P327" s="37">
        <v>135.6333</v>
      </c>
      <c r="Q327" s="37" t="str">
        <f t="shared" si="23"/>
        <v>High</v>
      </c>
      <c r="R327" s="37" t="s">
        <v>493</v>
      </c>
      <c r="S327" s="37" t="s">
        <v>20</v>
      </c>
      <c r="T327" s="41" t="str">
        <f t="shared" si="21"/>
        <v>Cherbourg</v>
      </c>
    </row>
    <row r="328" spans="1:20">
      <c r="A328" s="37">
        <v>327</v>
      </c>
      <c r="B328" s="37">
        <v>0</v>
      </c>
      <c r="C328" s="37">
        <v>3</v>
      </c>
      <c r="D328" s="37" t="s">
        <v>1835</v>
      </c>
      <c r="E328" s="37" t="s">
        <v>1836</v>
      </c>
      <c r="F328" s="37" t="s">
        <v>1235</v>
      </c>
      <c r="G328" s="37" t="str">
        <f>_xlfn.XLOOKUP(F328,notes!$B$12:$B$18,notes!$C$12:$C$18,"Unknown")</f>
        <v>Male</v>
      </c>
      <c r="H328" s="38">
        <v>61</v>
      </c>
      <c r="I328" s="39" t="str">
        <f>_xlfn.XLOOKUP(H328,notes!$B$4:$B$8,notes!$C$4:$C$8,"Invalid",-1)</f>
        <v>Elderly</v>
      </c>
      <c r="J328" s="37">
        <v>0</v>
      </c>
      <c r="K328" s="37">
        <v>0</v>
      </c>
      <c r="L328" s="37">
        <f t="shared" si="22"/>
        <v>1</v>
      </c>
      <c r="M328" s="40" t="str">
        <f t="shared" si="20"/>
        <v>Not Survived</v>
      </c>
      <c r="N328" s="37" t="str">
        <f>_xlfn.XLOOKUP(L328,notes!$B$28:$B$30,notes!$C$28:$C$30,"Unknown",-1)</f>
        <v>Alone</v>
      </c>
      <c r="O328" s="37">
        <v>345364</v>
      </c>
      <c r="P328" s="37">
        <v>6.2375</v>
      </c>
      <c r="Q328" s="37" t="str">
        <f t="shared" si="23"/>
        <v>Low</v>
      </c>
      <c r="R328" s="37" t="s">
        <v>1236</v>
      </c>
      <c r="S328" s="37" t="s">
        <v>15</v>
      </c>
      <c r="T328" s="41" t="str">
        <f t="shared" si="21"/>
        <v>Southampton</v>
      </c>
    </row>
    <row r="329" spans="1:20">
      <c r="A329" s="37">
        <v>328</v>
      </c>
      <c r="B329" s="37">
        <v>1</v>
      </c>
      <c r="C329" s="37">
        <v>2</v>
      </c>
      <c r="D329" s="37" t="s">
        <v>1837</v>
      </c>
      <c r="E329" s="37" t="s">
        <v>1838</v>
      </c>
      <c r="F329" s="37" t="s">
        <v>1239</v>
      </c>
      <c r="G329" s="37" t="str">
        <f>_xlfn.XLOOKUP(F329,notes!$B$12:$B$18,notes!$C$12:$C$18,"Unknown")</f>
        <v>Female</v>
      </c>
      <c r="H329" s="38">
        <v>36</v>
      </c>
      <c r="I329" s="39" t="str">
        <f>_xlfn.XLOOKUP(H329,notes!$B$4:$B$8,notes!$C$4:$C$8,"Invalid",-1)</f>
        <v>Adult</v>
      </c>
      <c r="J329" s="37">
        <v>0</v>
      </c>
      <c r="K329" s="37">
        <v>0</v>
      </c>
      <c r="L329" s="37">
        <f t="shared" si="22"/>
        <v>1</v>
      </c>
      <c r="M329" s="40" t="str">
        <f t="shared" si="20"/>
        <v>Survived</v>
      </c>
      <c r="N329" s="37" t="str">
        <f>_xlfn.XLOOKUP(L329,notes!$B$28:$B$30,notes!$C$28:$C$30,"Unknown",-1)</f>
        <v>Alone</v>
      </c>
      <c r="O329" s="37">
        <v>28551</v>
      </c>
      <c r="P329" s="37">
        <v>13</v>
      </c>
      <c r="Q329" s="37" t="str">
        <f t="shared" si="23"/>
        <v>Mid</v>
      </c>
      <c r="R329" s="37" t="s">
        <v>443</v>
      </c>
      <c r="S329" s="37" t="s">
        <v>15</v>
      </c>
      <c r="T329" s="41" t="str">
        <f t="shared" si="21"/>
        <v>Southampton</v>
      </c>
    </row>
    <row r="330" spans="1:20">
      <c r="A330" s="37">
        <v>329</v>
      </c>
      <c r="B330" s="37">
        <v>1</v>
      </c>
      <c r="C330" s="37">
        <v>3</v>
      </c>
      <c r="D330" s="37" t="s">
        <v>1551</v>
      </c>
      <c r="E330" s="37" t="s">
        <v>1839</v>
      </c>
      <c r="F330" s="37" t="s">
        <v>1239</v>
      </c>
      <c r="G330" s="37" t="str">
        <f>_xlfn.XLOOKUP(F330,notes!$B$12:$B$18,notes!$C$12:$C$18,"Unknown")</f>
        <v>Female</v>
      </c>
      <c r="H330" s="38">
        <v>31</v>
      </c>
      <c r="I330" s="39" t="str">
        <f>_xlfn.XLOOKUP(H330,notes!$B$4:$B$8,notes!$C$4:$C$8,"Invalid",-1)</f>
        <v>Adult</v>
      </c>
      <c r="J330" s="37">
        <v>1</v>
      </c>
      <c r="K330" s="37">
        <v>1</v>
      </c>
      <c r="L330" s="37">
        <f t="shared" si="22"/>
        <v>3</v>
      </c>
      <c r="M330" s="40" t="str">
        <f t="shared" si="20"/>
        <v>Survived</v>
      </c>
      <c r="N330" s="37" t="str">
        <f>_xlfn.XLOOKUP(L330,notes!$B$28:$B$30,notes!$C$28:$C$30,"Unknown",-1)</f>
        <v>Small Family</v>
      </c>
      <c r="O330" s="37">
        <v>363291</v>
      </c>
      <c r="P330" s="37">
        <v>20.525</v>
      </c>
      <c r="Q330" s="37" t="str">
        <f t="shared" si="23"/>
        <v>Mid</v>
      </c>
      <c r="R330" s="37" t="s">
        <v>1236</v>
      </c>
      <c r="S330" s="37" t="s">
        <v>15</v>
      </c>
      <c r="T330" s="41" t="str">
        <f t="shared" si="21"/>
        <v>Southampton</v>
      </c>
    </row>
    <row r="331" spans="1:20">
      <c r="A331" s="37">
        <v>330</v>
      </c>
      <c r="B331" s="37">
        <v>1</v>
      </c>
      <c r="C331" s="37">
        <v>1</v>
      </c>
      <c r="D331" s="37" t="s">
        <v>1840</v>
      </c>
      <c r="E331" s="37" t="s">
        <v>1841</v>
      </c>
      <c r="F331" s="37" t="s">
        <v>1242</v>
      </c>
      <c r="G331" s="37" t="str">
        <f>_xlfn.XLOOKUP(F331,notes!$B$12:$B$18,notes!$C$12:$C$18,"Unknown")</f>
        <v>Female</v>
      </c>
      <c r="H331" s="38">
        <v>16</v>
      </c>
      <c r="I331" s="39" t="str">
        <f>_xlfn.XLOOKUP(H331,notes!$B$4:$B$8,notes!$C$4:$C$8,"Invalid",-1)</f>
        <v>Teenager</v>
      </c>
      <c r="J331" s="37">
        <v>0</v>
      </c>
      <c r="K331" s="37">
        <v>1</v>
      </c>
      <c r="L331" s="37">
        <f t="shared" si="22"/>
        <v>2</v>
      </c>
      <c r="M331" s="40" t="str">
        <f t="shared" si="20"/>
        <v>Survived</v>
      </c>
      <c r="N331" s="37" t="str">
        <f>_xlfn.XLOOKUP(L331,notes!$B$28:$B$30,notes!$C$28:$C$30,"Unknown",-1)</f>
        <v>Small Family</v>
      </c>
      <c r="O331" s="37">
        <v>111361</v>
      </c>
      <c r="P331" s="37">
        <v>57.9792</v>
      </c>
      <c r="Q331" s="37" t="str">
        <f t="shared" si="23"/>
        <v>High</v>
      </c>
      <c r="R331" s="37" t="s">
        <v>498</v>
      </c>
      <c r="S331" s="37" t="s">
        <v>20</v>
      </c>
      <c r="T331" s="41" t="str">
        <f t="shared" si="21"/>
        <v>Cherbourg</v>
      </c>
    </row>
    <row r="332" spans="1:20">
      <c r="A332" s="37">
        <v>331</v>
      </c>
      <c r="B332" s="37">
        <v>1</v>
      </c>
      <c r="C332" s="37">
        <v>3</v>
      </c>
      <c r="D332" s="37" t="s">
        <v>1792</v>
      </c>
      <c r="E332" s="37" t="s">
        <v>1842</v>
      </c>
      <c r="F332" s="37" t="s">
        <v>1242</v>
      </c>
      <c r="G332" s="37" t="str">
        <f>_xlfn.XLOOKUP(F332,notes!$B$12:$B$18,notes!$C$12:$C$18,"Unknown")</f>
        <v>Female</v>
      </c>
      <c r="H332" s="38" t="s">
        <v>1236</v>
      </c>
      <c r="I332" s="39" t="str">
        <f>_xlfn.XLOOKUP(H332,notes!$B$4:$B$8,notes!$C$4:$C$8,"Invalid",-1)</f>
        <v>Unknown</v>
      </c>
      <c r="J332" s="37">
        <v>2</v>
      </c>
      <c r="K332" s="37">
        <v>0</v>
      </c>
      <c r="L332" s="37">
        <f t="shared" si="22"/>
        <v>3</v>
      </c>
      <c r="M332" s="40" t="str">
        <f t="shared" si="20"/>
        <v>Survived</v>
      </c>
      <c r="N332" s="37" t="str">
        <f>_xlfn.XLOOKUP(L332,notes!$B$28:$B$30,notes!$C$28:$C$30,"Unknown",-1)</f>
        <v>Small Family</v>
      </c>
      <c r="O332" s="37">
        <v>367226</v>
      </c>
      <c r="P332" s="37">
        <v>23.25</v>
      </c>
      <c r="Q332" s="37" t="str">
        <f t="shared" si="23"/>
        <v>Mid</v>
      </c>
      <c r="R332" s="37" t="s">
        <v>1236</v>
      </c>
      <c r="S332" s="37" t="s">
        <v>28</v>
      </c>
      <c r="T332" s="41" t="str">
        <f t="shared" si="21"/>
        <v>Queenstown</v>
      </c>
    </row>
    <row r="333" spans="1:20">
      <c r="A333" s="37">
        <v>332</v>
      </c>
      <c r="B333" s="37">
        <v>0</v>
      </c>
      <c r="C333" s="37">
        <v>1</v>
      </c>
      <c r="D333" s="37" t="s">
        <v>1843</v>
      </c>
      <c r="E333" s="37" t="s">
        <v>1844</v>
      </c>
      <c r="F333" s="37" t="s">
        <v>1235</v>
      </c>
      <c r="G333" s="37" t="str">
        <f>_xlfn.XLOOKUP(F333,notes!$B$12:$B$18,notes!$C$12:$C$18,"Unknown")</f>
        <v>Male</v>
      </c>
      <c r="H333" s="38">
        <v>45.5</v>
      </c>
      <c r="I333" s="39" t="str">
        <f>_xlfn.XLOOKUP(H333,notes!$B$4:$B$8,notes!$C$4:$C$8,"Invalid",-1)</f>
        <v>Adult</v>
      </c>
      <c r="J333" s="37">
        <v>0</v>
      </c>
      <c r="K333" s="37">
        <v>0</v>
      </c>
      <c r="L333" s="37">
        <f t="shared" si="22"/>
        <v>1</v>
      </c>
      <c r="M333" s="40" t="str">
        <f t="shared" si="20"/>
        <v>Not Survived</v>
      </c>
      <c r="N333" s="37" t="str">
        <f>_xlfn.XLOOKUP(L333,notes!$B$28:$B$30,notes!$C$28:$C$30,"Unknown",-1)</f>
        <v>Alone</v>
      </c>
      <c r="O333" s="37">
        <v>113043</v>
      </c>
      <c r="P333" s="37">
        <v>28.5</v>
      </c>
      <c r="Q333" s="37" t="str">
        <f t="shared" si="23"/>
        <v>Mid</v>
      </c>
      <c r="R333" s="37" t="s">
        <v>501</v>
      </c>
      <c r="S333" s="37" t="s">
        <v>15</v>
      </c>
      <c r="T333" s="41" t="str">
        <f t="shared" si="21"/>
        <v>Southampton</v>
      </c>
    </row>
    <row r="334" spans="1:20">
      <c r="A334" s="37">
        <v>333</v>
      </c>
      <c r="B334" s="37">
        <v>0</v>
      </c>
      <c r="C334" s="37">
        <v>1</v>
      </c>
      <c r="D334" s="37" t="s">
        <v>1733</v>
      </c>
      <c r="E334" s="37" t="s">
        <v>1845</v>
      </c>
      <c r="F334" s="37" t="s">
        <v>1235</v>
      </c>
      <c r="G334" s="37" t="str">
        <f>_xlfn.XLOOKUP(F334,notes!$B$12:$B$18,notes!$C$12:$C$18,"Unknown")</f>
        <v>Male</v>
      </c>
      <c r="H334" s="38">
        <v>38</v>
      </c>
      <c r="I334" s="39" t="str">
        <f>_xlfn.XLOOKUP(H334,notes!$B$4:$B$8,notes!$C$4:$C$8,"Invalid",-1)</f>
        <v>Adult</v>
      </c>
      <c r="J334" s="37">
        <v>0</v>
      </c>
      <c r="K334" s="37">
        <v>1</v>
      </c>
      <c r="L334" s="37">
        <f t="shared" si="22"/>
        <v>2</v>
      </c>
      <c r="M334" s="40" t="str">
        <f t="shared" si="20"/>
        <v>Not Survived</v>
      </c>
      <c r="N334" s="37" t="str">
        <f>_xlfn.XLOOKUP(L334,notes!$B$28:$B$30,notes!$C$28:$C$30,"Unknown",-1)</f>
        <v>Small Family</v>
      </c>
      <c r="O334" s="37" t="s">
        <v>407</v>
      </c>
      <c r="P334" s="37">
        <v>153.4625</v>
      </c>
      <c r="Q334" s="37" t="str">
        <f t="shared" si="23"/>
        <v>High</v>
      </c>
      <c r="R334" s="37" t="s">
        <v>503</v>
      </c>
      <c r="S334" s="37" t="s">
        <v>15</v>
      </c>
      <c r="T334" s="41" t="str">
        <f t="shared" si="21"/>
        <v>Southampton</v>
      </c>
    </row>
    <row r="335" spans="1:20">
      <c r="A335" s="37">
        <v>334</v>
      </c>
      <c r="B335" s="37">
        <v>0</v>
      </c>
      <c r="C335" s="37">
        <v>3</v>
      </c>
      <c r="D335" s="37" t="s">
        <v>1273</v>
      </c>
      <c r="E335" s="37" t="s">
        <v>1846</v>
      </c>
      <c r="F335" s="37" t="s">
        <v>1235</v>
      </c>
      <c r="G335" s="37" t="str">
        <f>_xlfn.XLOOKUP(F335,notes!$B$12:$B$18,notes!$C$12:$C$18,"Unknown")</f>
        <v>Male</v>
      </c>
      <c r="H335" s="38">
        <v>16</v>
      </c>
      <c r="I335" s="39" t="str">
        <f>_xlfn.XLOOKUP(H335,notes!$B$4:$B$8,notes!$C$4:$C$8,"Invalid",-1)</f>
        <v>Teenager</v>
      </c>
      <c r="J335" s="37">
        <v>2</v>
      </c>
      <c r="K335" s="37">
        <v>0</v>
      </c>
      <c r="L335" s="37">
        <f t="shared" si="22"/>
        <v>3</v>
      </c>
      <c r="M335" s="40" t="str">
        <f t="shared" si="20"/>
        <v>Not Survived</v>
      </c>
      <c r="N335" s="37" t="str">
        <f>_xlfn.XLOOKUP(L335,notes!$B$28:$B$30,notes!$C$28:$C$30,"Unknown",-1)</f>
        <v>Small Family</v>
      </c>
      <c r="O335" s="37">
        <v>345764</v>
      </c>
      <c r="P335" s="37">
        <v>18</v>
      </c>
      <c r="Q335" s="37" t="str">
        <f t="shared" si="23"/>
        <v>Mid</v>
      </c>
      <c r="R335" s="37" t="s">
        <v>1236</v>
      </c>
      <c r="S335" s="37" t="s">
        <v>15</v>
      </c>
      <c r="T335" s="41" t="str">
        <f t="shared" si="21"/>
        <v>Southampton</v>
      </c>
    </row>
    <row r="336" spans="1:20">
      <c r="A336" s="37">
        <v>335</v>
      </c>
      <c r="B336" s="37">
        <v>1</v>
      </c>
      <c r="C336" s="37">
        <v>1</v>
      </c>
      <c r="D336" s="37" t="s">
        <v>1847</v>
      </c>
      <c r="E336" s="37" t="s">
        <v>1848</v>
      </c>
      <c r="F336" s="37" t="s">
        <v>1239</v>
      </c>
      <c r="G336" s="37" t="str">
        <f>_xlfn.XLOOKUP(F336,notes!$B$12:$B$18,notes!$C$12:$C$18,"Unknown")</f>
        <v>Female</v>
      </c>
      <c r="H336" s="38" t="s">
        <v>1236</v>
      </c>
      <c r="I336" s="39" t="str">
        <f>_xlfn.XLOOKUP(H336,notes!$B$4:$B$8,notes!$C$4:$C$8,"Invalid",-1)</f>
        <v>Unknown</v>
      </c>
      <c r="J336" s="37">
        <v>1</v>
      </c>
      <c r="K336" s="37">
        <v>0</v>
      </c>
      <c r="L336" s="37">
        <f t="shared" si="22"/>
        <v>2</v>
      </c>
      <c r="M336" s="40" t="str">
        <f t="shared" si="20"/>
        <v>Survived</v>
      </c>
      <c r="N336" s="37" t="str">
        <f>_xlfn.XLOOKUP(L336,notes!$B$28:$B$30,notes!$C$28:$C$30,"Unknown",-1)</f>
        <v>Small Family</v>
      </c>
      <c r="O336" s="37" t="s">
        <v>506</v>
      </c>
      <c r="P336" s="37">
        <v>133.65</v>
      </c>
      <c r="Q336" s="37" t="str">
        <f t="shared" si="23"/>
        <v>High</v>
      </c>
      <c r="R336" s="37" t="s">
        <v>1236</v>
      </c>
      <c r="S336" s="37" t="s">
        <v>15</v>
      </c>
      <c r="T336" s="41" t="str">
        <f t="shared" si="21"/>
        <v>Southampton</v>
      </c>
    </row>
    <row r="337" spans="1:20">
      <c r="A337" s="37">
        <v>336</v>
      </c>
      <c r="B337" s="37">
        <v>0</v>
      </c>
      <c r="C337" s="37">
        <v>3</v>
      </c>
      <c r="D337" s="37" t="s">
        <v>1849</v>
      </c>
      <c r="E337" s="37" t="s">
        <v>1850</v>
      </c>
      <c r="F337" s="37" t="s">
        <v>1235</v>
      </c>
      <c r="G337" s="37" t="str">
        <f>_xlfn.XLOOKUP(F337,notes!$B$12:$B$18,notes!$C$12:$C$18,"Unknown")</f>
        <v>Male</v>
      </c>
      <c r="H337" s="38" t="s">
        <v>1236</v>
      </c>
      <c r="I337" s="39" t="str">
        <f>_xlfn.XLOOKUP(H337,notes!$B$4:$B$8,notes!$C$4:$C$8,"Invalid",-1)</f>
        <v>Unknown</v>
      </c>
      <c r="J337" s="37">
        <v>0</v>
      </c>
      <c r="K337" s="37">
        <v>0</v>
      </c>
      <c r="L337" s="37">
        <f t="shared" si="22"/>
        <v>1</v>
      </c>
      <c r="M337" s="40" t="str">
        <f t="shared" si="20"/>
        <v>Not Survived</v>
      </c>
      <c r="N337" s="37" t="str">
        <f>_xlfn.XLOOKUP(L337,notes!$B$28:$B$30,notes!$C$28:$C$30,"Unknown",-1)</f>
        <v>Alone</v>
      </c>
      <c r="O337" s="37">
        <v>349225</v>
      </c>
      <c r="P337" s="37">
        <v>7.8958</v>
      </c>
      <c r="Q337" s="37" t="str">
        <f t="shared" si="23"/>
        <v>Low</v>
      </c>
      <c r="R337" s="37" t="s">
        <v>1236</v>
      </c>
      <c r="S337" s="37" t="s">
        <v>15</v>
      </c>
      <c r="T337" s="41" t="str">
        <f t="shared" si="21"/>
        <v>Southampton</v>
      </c>
    </row>
    <row r="338" spans="1:20">
      <c r="A338" s="37">
        <v>337</v>
      </c>
      <c r="B338" s="37">
        <v>0</v>
      </c>
      <c r="C338" s="37">
        <v>1</v>
      </c>
      <c r="D338" s="37" t="s">
        <v>1525</v>
      </c>
      <c r="E338" s="37" t="s">
        <v>1851</v>
      </c>
      <c r="F338" s="37" t="s">
        <v>1235</v>
      </c>
      <c r="G338" s="37" t="str">
        <f>_xlfn.XLOOKUP(F338,notes!$B$12:$B$18,notes!$C$12:$C$18,"Unknown")</f>
        <v>Male</v>
      </c>
      <c r="H338" s="38">
        <v>29</v>
      </c>
      <c r="I338" s="39" t="str">
        <f>_xlfn.XLOOKUP(H338,notes!$B$4:$B$8,notes!$C$4:$C$8,"Invalid",-1)</f>
        <v>Adult</v>
      </c>
      <c r="J338" s="37">
        <v>1</v>
      </c>
      <c r="K338" s="37">
        <v>0</v>
      </c>
      <c r="L338" s="37">
        <f t="shared" si="22"/>
        <v>2</v>
      </c>
      <c r="M338" s="40" t="str">
        <f t="shared" si="20"/>
        <v>Not Survived</v>
      </c>
      <c r="N338" s="37" t="str">
        <f>_xlfn.XLOOKUP(L338,notes!$B$28:$B$30,notes!$C$28:$C$30,"Unknown",-1)</f>
        <v>Small Family</v>
      </c>
      <c r="O338" s="37">
        <v>113776</v>
      </c>
      <c r="P338" s="37">
        <v>66.6</v>
      </c>
      <c r="Q338" s="37" t="str">
        <f t="shared" si="23"/>
        <v>High</v>
      </c>
      <c r="R338" s="37" t="s">
        <v>238</v>
      </c>
      <c r="S338" s="37" t="s">
        <v>15</v>
      </c>
      <c r="T338" s="41" t="str">
        <f t="shared" si="21"/>
        <v>Southampton</v>
      </c>
    </row>
    <row r="339" spans="1:20">
      <c r="A339" s="37">
        <v>338</v>
      </c>
      <c r="B339" s="37">
        <v>1</v>
      </c>
      <c r="C339" s="37">
        <v>1</v>
      </c>
      <c r="D339" s="37" t="s">
        <v>1852</v>
      </c>
      <c r="E339" s="37" t="s">
        <v>1853</v>
      </c>
      <c r="F339" s="37" t="s">
        <v>1242</v>
      </c>
      <c r="G339" s="37" t="str">
        <f>_xlfn.XLOOKUP(F339,notes!$B$12:$B$18,notes!$C$12:$C$18,"Unknown")</f>
        <v>Female</v>
      </c>
      <c r="H339" s="38">
        <v>41</v>
      </c>
      <c r="I339" s="39" t="str">
        <f>_xlfn.XLOOKUP(H339,notes!$B$4:$B$8,notes!$C$4:$C$8,"Invalid",-1)</f>
        <v>Adult</v>
      </c>
      <c r="J339" s="37">
        <v>0</v>
      </c>
      <c r="K339" s="37">
        <v>0</v>
      </c>
      <c r="L339" s="37">
        <f t="shared" si="22"/>
        <v>1</v>
      </c>
      <c r="M339" s="40" t="str">
        <f t="shared" si="20"/>
        <v>Survived</v>
      </c>
      <c r="N339" s="37" t="str">
        <f>_xlfn.XLOOKUP(L339,notes!$B$28:$B$30,notes!$C$28:$C$30,"Unknown",-1)</f>
        <v>Alone</v>
      </c>
      <c r="O339" s="37">
        <v>16966</v>
      </c>
      <c r="P339" s="37">
        <v>134.5</v>
      </c>
      <c r="Q339" s="37" t="str">
        <f t="shared" si="23"/>
        <v>High</v>
      </c>
      <c r="R339" s="37" t="s">
        <v>510</v>
      </c>
      <c r="S339" s="37" t="s">
        <v>20</v>
      </c>
      <c r="T339" s="41" t="str">
        <f t="shared" si="21"/>
        <v>Cherbourg</v>
      </c>
    </row>
    <row r="340" spans="1:20">
      <c r="A340" s="37">
        <v>339</v>
      </c>
      <c r="B340" s="37">
        <v>1</v>
      </c>
      <c r="C340" s="37">
        <v>3</v>
      </c>
      <c r="D340" s="37" t="s">
        <v>1854</v>
      </c>
      <c r="E340" s="37" t="s">
        <v>1855</v>
      </c>
      <c r="F340" s="37" t="s">
        <v>1235</v>
      </c>
      <c r="G340" s="37" t="str">
        <f>_xlfn.XLOOKUP(F340,notes!$B$12:$B$18,notes!$C$12:$C$18,"Unknown")</f>
        <v>Male</v>
      </c>
      <c r="H340" s="38">
        <v>45</v>
      </c>
      <c r="I340" s="39" t="str">
        <f>_xlfn.XLOOKUP(H340,notes!$B$4:$B$8,notes!$C$4:$C$8,"Invalid",-1)</f>
        <v>Adult</v>
      </c>
      <c r="J340" s="37">
        <v>0</v>
      </c>
      <c r="K340" s="37">
        <v>0</v>
      </c>
      <c r="L340" s="37">
        <f t="shared" si="22"/>
        <v>1</v>
      </c>
      <c r="M340" s="40" t="str">
        <f t="shared" si="20"/>
        <v>Survived</v>
      </c>
      <c r="N340" s="37" t="str">
        <f>_xlfn.XLOOKUP(L340,notes!$B$28:$B$30,notes!$C$28:$C$30,"Unknown",-1)</f>
        <v>Alone</v>
      </c>
      <c r="O340" s="37">
        <v>7598</v>
      </c>
      <c r="P340" s="37">
        <v>8.05</v>
      </c>
      <c r="Q340" s="37" t="str">
        <f t="shared" si="23"/>
        <v>Low</v>
      </c>
      <c r="R340" s="37" t="s">
        <v>1236</v>
      </c>
      <c r="S340" s="37" t="s">
        <v>15</v>
      </c>
      <c r="T340" s="41" t="str">
        <f t="shared" si="21"/>
        <v>Southampton</v>
      </c>
    </row>
    <row r="341" spans="1:20">
      <c r="A341" s="37">
        <v>340</v>
      </c>
      <c r="B341" s="37">
        <v>0</v>
      </c>
      <c r="C341" s="37">
        <v>1</v>
      </c>
      <c r="D341" s="37" t="s">
        <v>1856</v>
      </c>
      <c r="E341" s="37" t="s">
        <v>1857</v>
      </c>
      <c r="F341" s="37" t="s">
        <v>1235</v>
      </c>
      <c r="G341" s="37" t="str">
        <f>_xlfn.XLOOKUP(F341,notes!$B$12:$B$18,notes!$C$12:$C$18,"Unknown")</f>
        <v>Male</v>
      </c>
      <c r="H341" s="38">
        <v>45</v>
      </c>
      <c r="I341" s="39" t="str">
        <f>_xlfn.XLOOKUP(H341,notes!$B$4:$B$8,notes!$C$4:$C$8,"Invalid",-1)</f>
        <v>Adult</v>
      </c>
      <c r="J341" s="37">
        <v>0</v>
      </c>
      <c r="K341" s="37">
        <v>0</v>
      </c>
      <c r="L341" s="37">
        <f t="shared" si="22"/>
        <v>1</v>
      </c>
      <c r="M341" s="40" t="str">
        <f t="shared" si="20"/>
        <v>Not Survived</v>
      </c>
      <c r="N341" s="37" t="str">
        <f>_xlfn.XLOOKUP(L341,notes!$B$28:$B$30,notes!$C$28:$C$30,"Unknown",-1)</f>
        <v>Alone</v>
      </c>
      <c r="O341" s="37">
        <v>113784</v>
      </c>
      <c r="P341" s="37">
        <v>35.5</v>
      </c>
      <c r="Q341" s="37" t="str">
        <f t="shared" si="23"/>
        <v>Mid</v>
      </c>
      <c r="R341" s="37" t="s">
        <v>513</v>
      </c>
      <c r="S341" s="37" t="s">
        <v>15</v>
      </c>
      <c r="T341" s="41" t="str">
        <f t="shared" si="21"/>
        <v>Southampton</v>
      </c>
    </row>
    <row r="342" spans="1:20">
      <c r="A342" s="37">
        <v>341</v>
      </c>
      <c r="B342" s="37">
        <v>1</v>
      </c>
      <c r="C342" s="37">
        <v>2</v>
      </c>
      <c r="D342" s="37" t="s">
        <v>1518</v>
      </c>
      <c r="E342" s="37" t="s">
        <v>1858</v>
      </c>
      <c r="F342" s="37" t="s">
        <v>1253</v>
      </c>
      <c r="G342" s="37" t="str">
        <f>_xlfn.XLOOKUP(F342,notes!$B$12:$B$18,notes!$C$12:$C$18,"Unknown")</f>
        <v>Male</v>
      </c>
      <c r="H342" s="38">
        <v>2</v>
      </c>
      <c r="I342" s="39" t="str">
        <f>_xlfn.XLOOKUP(H342,notes!$B$4:$B$8,notes!$C$4:$C$8,"Invalid",-1)</f>
        <v>Kid</v>
      </c>
      <c r="J342" s="37">
        <v>1</v>
      </c>
      <c r="K342" s="37">
        <v>1</v>
      </c>
      <c r="L342" s="37">
        <f t="shared" si="22"/>
        <v>3</v>
      </c>
      <c r="M342" s="40" t="str">
        <f t="shared" si="20"/>
        <v>Survived</v>
      </c>
      <c r="N342" s="37" t="str">
        <f>_xlfn.XLOOKUP(L342,notes!$B$28:$B$30,notes!$C$28:$C$30,"Unknown",-1)</f>
        <v>Small Family</v>
      </c>
      <c r="O342" s="37">
        <v>230080</v>
      </c>
      <c r="P342" s="37">
        <v>26</v>
      </c>
      <c r="Q342" s="37" t="str">
        <f t="shared" si="23"/>
        <v>Mid</v>
      </c>
      <c r="R342" s="37" t="s">
        <v>233</v>
      </c>
      <c r="S342" s="37" t="s">
        <v>15</v>
      </c>
      <c r="T342" s="41" t="str">
        <f t="shared" si="21"/>
        <v>Southampton</v>
      </c>
    </row>
    <row r="343" spans="1:20">
      <c r="A343" s="37">
        <v>342</v>
      </c>
      <c r="B343" s="37">
        <v>1</v>
      </c>
      <c r="C343" s="37">
        <v>1</v>
      </c>
      <c r="D343" s="37" t="s">
        <v>1290</v>
      </c>
      <c r="E343" s="37" t="s">
        <v>1859</v>
      </c>
      <c r="F343" s="37" t="s">
        <v>1242</v>
      </c>
      <c r="G343" s="37" t="str">
        <f>_xlfn.XLOOKUP(F343,notes!$B$12:$B$18,notes!$C$12:$C$18,"Unknown")</f>
        <v>Female</v>
      </c>
      <c r="H343" s="38">
        <v>24</v>
      </c>
      <c r="I343" s="39" t="str">
        <f>_xlfn.XLOOKUP(H343,notes!$B$4:$B$8,notes!$C$4:$C$8,"Invalid",-1)</f>
        <v>Adult</v>
      </c>
      <c r="J343" s="37">
        <v>3</v>
      </c>
      <c r="K343" s="37">
        <v>2</v>
      </c>
      <c r="L343" s="37">
        <f t="shared" si="22"/>
        <v>6</v>
      </c>
      <c r="M343" s="40" t="str">
        <f t="shared" si="20"/>
        <v>Survived</v>
      </c>
      <c r="N343" s="37" t="str">
        <f>_xlfn.XLOOKUP(L343,notes!$B$28:$B$30,notes!$C$28:$C$30,"Unknown",-1)</f>
        <v>Large Family</v>
      </c>
      <c r="O343" s="37">
        <v>19950</v>
      </c>
      <c r="P343" s="37">
        <v>263</v>
      </c>
      <c r="Q343" s="37" t="str">
        <f t="shared" si="23"/>
        <v>High</v>
      </c>
      <c r="R343" s="37" t="s">
        <v>58</v>
      </c>
      <c r="S343" s="37" t="s">
        <v>15</v>
      </c>
      <c r="T343" s="41" t="str">
        <f t="shared" si="21"/>
        <v>Southampton</v>
      </c>
    </row>
    <row r="344" spans="1:20">
      <c r="A344" s="37">
        <v>343</v>
      </c>
      <c r="B344" s="37">
        <v>0</v>
      </c>
      <c r="C344" s="37">
        <v>2</v>
      </c>
      <c r="D344" s="37" t="s">
        <v>1860</v>
      </c>
      <c r="E344" s="37" t="s">
        <v>1861</v>
      </c>
      <c r="F344" s="37" t="s">
        <v>1235</v>
      </c>
      <c r="G344" s="37" t="str">
        <f>_xlfn.XLOOKUP(F344,notes!$B$12:$B$18,notes!$C$12:$C$18,"Unknown")</f>
        <v>Male</v>
      </c>
      <c r="H344" s="38">
        <v>28</v>
      </c>
      <c r="I344" s="39" t="str">
        <f>_xlfn.XLOOKUP(H344,notes!$B$4:$B$8,notes!$C$4:$C$8,"Invalid",-1)</f>
        <v>Adult</v>
      </c>
      <c r="J344" s="37">
        <v>0</v>
      </c>
      <c r="K344" s="37">
        <v>0</v>
      </c>
      <c r="L344" s="37">
        <f t="shared" si="22"/>
        <v>1</v>
      </c>
      <c r="M344" s="40" t="str">
        <f t="shared" si="20"/>
        <v>Not Survived</v>
      </c>
      <c r="N344" s="37" t="str">
        <f>_xlfn.XLOOKUP(L344,notes!$B$28:$B$30,notes!$C$28:$C$30,"Unknown",-1)</f>
        <v>Alone</v>
      </c>
      <c r="O344" s="37">
        <v>248740</v>
      </c>
      <c r="P344" s="37">
        <v>13</v>
      </c>
      <c r="Q344" s="37" t="str">
        <f t="shared" si="23"/>
        <v>Mid</v>
      </c>
      <c r="R344" s="37" t="s">
        <v>1236</v>
      </c>
      <c r="S344" s="37" t="s">
        <v>15</v>
      </c>
      <c r="T344" s="41" t="str">
        <f t="shared" si="21"/>
        <v>Southampton</v>
      </c>
    </row>
    <row r="345" spans="1:20">
      <c r="A345" s="37">
        <v>344</v>
      </c>
      <c r="B345" s="37">
        <v>0</v>
      </c>
      <c r="C345" s="37">
        <v>2</v>
      </c>
      <c r="D345" s="37" t="s">
        <v>1862</v>
      </c>
      <c r="E345" s="37" t="s">
        <v>1863</v>
      </c>
      <c r="F345" s="37" t="s">
        <v>1235</v>
      </c>
      <c r="G345" s="37" t="str">
        <f>_xlfn.XLOOKUP(F345,notes!$B$12:$B$18,notes!$C$12:$C$18,"Unknown")</f>
        <v>Male</v>
      </c>
      <c r="H345" s="38">
        <v>25</v>
      </c>
      <c r="I345" s="39" t="str">
        <f>_xlfn.XLOOKUP(H345,notes!$B$4:$B$8,notes!$C$4:$C$8,"Invalid",-1)</f>
        <v>Adult</v>
      </c>
      <c r="J345" s="37">
        <v>0</v>
      </c>
      <c r="K345" s="37">
        <v>0</v>
      </c>
      <c r="L345" s="37">
        <f t="shared" si="22"/>
        <v>1</v>
      </c>
      <c r="M345" s="40" t="str">
        <f t="shared" si="20"/>
        <v>Not Survived</v>
      </c>
      <c r="N345" s="37" t="str">
        <f>_xlfn.XLOOKUP(L345,notes!$B$28:$B$30,notes!$C$28:$C$30,"Unknown",-1)</f>
        <v>Alone</v>
      </c>
      <c r="O345" s="37">
        <v>244361</v>
      </c>
      <c r="P345" s="37">
        <v>13</v>
      </c>
      <c r="Q345" s="37" t="str">
        <f t="shared" si="23"/>
        <v>Mid</v>
      </c>
      <c r="R345" s="37" t="s">
        <v>1236</v>
      </c>
      <c r="S345" s="37" t="s">
        <v>15</v>
      </c>
      <c r="T345" s="41" t="str">
        <f t="shared" si="21"/>
        <v>Southampton</v>
      </c>
    </row>
    <row r="346" spans="1:20">
      <c r="A346" s="37">
        <v>345</v>
      </c>
      <c r="B346" s="37">
        <v>0</v>
      </c>
      <c r="C346" s="37">
        <v>2</v>
      </c>
      <c r="D346" s="37" t="s">
        <v>1864</v>
      </c>
      <c r="E346" s="37" t="s">
        <v>1865</v>
      </c>
      <c r="F346" s="37" t="s">
        <v>1235</v>
      </c>
      <c r="G346" s="37" t="str">
        <f>_xlfn.XLOOKUP(F346,notes!$B$12:$B$18,notes!$C$12:$C$18,"Unknown")</f>
        <v>Male</v>
      </c>
      <c r="H346" s="38">
        <v>36</v>
      </c>
      <c r="I346" s="39" t="str">
        <f>_xlfn.XLOOKUP(H346,notes!$B$4:$B$8,notes!$C$4:$C$8,"Invalid",-1)</f>
        <v>Adult</v>
      </c>
      <c r="J346" s="37">
        <v>0</v>
      </c>
      <c r="K346" s="37">
        <v>0</v>
      </c>
      <c r="L346" s="37">
        <f t="shared" si="22"/>
        <v>1</v>
      </c>
      <c r="M346" s="40" t="str">
        <f t="shared" si="20"/>
        <v>Not Survived</v>
      </c>
      <c r="N346" s="37" t="str">
        <f>_xlfn.XLOOKUP(L346,notes!$B$28:$B$30,notes!$C$28:$C$30,"Unknown",-1)</f>
        <v>Alone</v>
      </c>
      <c r="O346" s="37">
        <v>229236</v>
      </c>
      <c r="P346" s="37">
        <v>13</v>
      </c>
      <c r="Q346" s="37" t="str">
        <f t="shared" si="23"/>
        <v>Mid</v>
      </c>
      <c r="R346" s="37" t="s">
        <v>1236</v>
      </c>
      <c r="S346" s="37" t="s">
        <v>15</v>
      </c>
      <c r="T346" s="41" t="str">
        <f t="shared" si="21"/>
        <v>Southampton</v>
      </c>
    </row>
    <row r="347" spans="1:20">
      <c r="A347" s="37">
        <v>346</v>
      </c>
      <c r="B347" s="37">
        <v>1</v>
      </c>
      <c r="C347" s="37">
        <v>2</v>
      </c>
      <c r="D347" s="37" t="s">
        <v>1602</v>
      </c>
      <c r="E347" s="37" t="s">
        <v>1866</v>
      </c>
      <c r="F347" s="37" t="s">
        <v>1242</v>
      </c>
      <c r="G347" s="37" t="str">
        <f>_xlfn.XLOOKUP(F347,notes!$B$12:$B$18,notes!$C$12:$C$18,"Unknown")</f>
        <v>Female</v>
      </c>
      <c r="H347" s="38">
        <v>24</v>
      </c>
      <c r="I347" s="39" t="str">
        <f>_xlfn.XLOOKUP(H347,notes!$B$4:$B$8,notes!$C$4:$C$8,"Invalid",-1)</f>
        <v>Adult</v>
      </c>
      <c r="J347" s="37">
        <v>0</v>
      </c>
      <c r="K347" s="37">
        <v>0</v>
      </c>
      <c r="L347" s="37">
        <f t="shared" si="22"/>
        <v>1</v>
      </c>
      <c r="M347" s="40" t="str">
        <f t="shared" si="20"/>
        <v>Survived</v>
      </c>
      <c r="N347" s="37" t="str">
        <f>_xlfn.XLOOKUP(L347,notes!$B$28:$B$30,notes!$C$28:$C$30,"Unknown",-1)</f>
        <v>Alone</v>
      </c>
      <c r="O347" s="37">
        <v>248733</v>
      </c>
      <c r="P347" s="37">
        <v>13</v>
      </c>
      <c r="Q347" s="37" t="str">
        <f t="shared" si="23"/>
        <v>Mid</v>
      </c>
      <c r="R347" s="37" t="s">
        <v>118</v>
      </c>
      <c r="S347" s="37" t="s">
        <v>15</v>
      </c>
      <c r="T347" s="41" t="str">
        <f t="shared" si="21"/>
        <v>Southampton</v>
      </c>
    </row>
    <row r="348" spans="1:20">
      <c r="A348" s="37">
        <v>347</v>
      </c>
      <c r="B348" s="37">
        <v>1</v>
      </c>
      <c r="C348" s="37">
        <v>2</v>
      </c>
      <c r="D348" s="37" t="s">
        <v>1565</v>
      </c>
      <c r="E348" s="37" t="s">
        <v>1867</v>
      </c>
      <c r="F348" s="37" t="s">
        <v>1242</v>
      </c>
      <c r="G348" s="37" t="str">
        <f>_xlfn.XLOOKUP(F348,notes!$B$12:$B$18,notes!$C$12:$C$18,"Unknown")</f>
        <v>Female</v>
      </c>
      <c r="H348" s="38">
        <v>40</v>
      </c>
      <c r="I348" s="39" t="str">
        <f>_xlfn.XLOOKUP(H348,notes!$B$4:$B$8,notes!$C$4:$C$8,"Invalid",-1)</f>
        <v>Adult</v>
      </c>
      <c r="J348" s="37">
        <v>0</v>
      </c>
      <c r="K348" s="37">
        <v>0</v>
      </c>
      <c r="L348" s="37">
        <f t="shared" si="22"/>
        <v>1</v>
      </c>
      <c r="M348" s="40" t="str">
        <f t="shared" si="20"/>
        <v>Survived</v>
      </c>
      <c r="N348" s="37" t="str">
        <f>_xlfn.XLOOKUP(L348,notes!$B$28:$B$30,notes!$C$28:$C$30,"Unknown",-1)</f>
        <v>Alone</v>
      </c>
      <c r="O348" s="37">
        <v>31418</v>
      </c>
      <c r="P348" s="37">
        <v>13</v>
      </c>
      <c r="Q348" s="37" t="str">
        <f t="shared" si="23"/>
        <v>Mid</v>
      </c>
      <c r="R348" s="37" t="s">
        <v>1236</v>
      </c>
      <c r="S348" s="37" t="s">
        <v>15</v>
      </c>
      <c r="T348" s="41" t="str">
        <f t="shared" si="21"/>
        <v>Southampton</v>
      </c>
    </row>
    <row r="349" spans="1:20">
      <c r="A349" s="37">
        <v>348</v>
      </c>
      <c r="B349" s="37">
        <v>1</v>
      </c>
      <c r="C349" s="37">
        <v>3</v>
      </c>
      <c r="D349" s="37" t="s">
        <v>1868</v>
      </c>
      <c r="E349" s="37" t="s">
        <v>1869</v>
      </c>
      <c r="F349" s="37" t="s">
        <v>1239</v>
      </c>
      <c r="G349" s="37" t="str">
        <f>_xlfn.XLOOKUP(F349,notes!$B$12:$B$18,notes!$C$12:$C$18,"Unknown")</f>
        <v>Female</v>
      </c>
      <c r="H349" s="38" t="s">
        <v>1236</v>
      </c>
      <c r="I349" s="39" t="str">
        <f>_xlfn.XLOOKUP(H349,notes!$B$4:$B$8,notes!$C$4:$C$8,"Invalid",-1)</f>
        <v>Unknown</v>
      </c>
      <c r="J349" s="37">
        <v>1</v>
      </c>
      <c r="K349" s="37">
        <v>0</v>
      </c>
      <c r="L349" s="37">
        <f t="shared" si="22"/>
        <v>2</v>
      </c>
      <c r="M349" s="40" t="str">
        <f t="shared" si="20"/>
        <v>Survived</v>
      </c>
      <c r="N349" s="37" t="str">
        <f>_xlfn.XLOOKUP(L349,notes!$B$28:$B$30,notes!$C$28:$C$30,"Unknown",-1)</f>
        <v>Small Family</v>
      </c>
      <c r="O349" s="37">
        <v>386525</v>
      </c>
      <c r="P349" s="37">
        <v>16.1</v>
      </c>
      <c r="Q349" s="37" t="str">
        <f t="shared" si="23"/>
        <v>Mid</v>
      </c>
      <c r="R349" s="37" t="s">
        <v>1236</v>
      </c>
      <c r="S349" s="37" t="s">
        <v>15</v>
      </c>
      <c r="T349" s="41" t="str">
        <f t="shared" si="21"/>
        <v>Southampton</v>
      </c>
    </row>
    <row r="350" spans="1:20">
      <c r="A350" s="37">
        <v>349</v>
      </c>
      <c r="B350" s="37">
        <v>1</v>
      </c>
      <c r="C350" s="37">
        <v>3</v>
      </c>
      <c r="D350" s="37" t="s">
        <v>1870</v>
      </c>
      <c r="E350" s="37" t="s">
        <v>1871</v>
      </c>
      <c r="F350" s="37" t="s">
        <v>1253</v>
      </c>
      <c r="G350" s="37" t="str">
        <f>_xlfn.XLOOKUP(F350,notes!$B$12:$B$18,notes!$C$12:$C$18,"Unknown")</f>
        <v>Male</v>
      </c>
      <c r="H350" s="38">
        <v>3</v>
      </c>
      <c r="I350" s="39" t="str">
        <f>_xlfn.XLOOKUP(H350,notes!$B$4:$B$8,notes!$C$4:$C$8,"Invalid",-1)</f>
        <v>Kid</v>
      </c>
      <c r="J350" s="37">
        <v>1</v>
      </c>
      <c r="K350" s="37">
        <v>1</v>
      </c>
      <c r="L350" s="37">
        <f t="shared" si="22"/>
        <v>3</v>
      </c>
      <c r="M350" s="40" t="str">
        <f t="shared" si="20"/>
        <v>Survived</v>
      </c>
      <c r="N350" s="37" t="str">
        <f>_xlfn.XLOOKUP(L350,notes!$B$28:$B$30,notes!$C$28:$C$30,"Unknown",-1)</f>
        <v>Small Family</v>
      </c>
      <c r="O350" s="37" t="s">
        <v>523</v>
      </c>
      <c r="P350" s="37">
        <v>15.9</v>
      </c>
      <c r="Q350" s="37" t="str">
        <f t="shared" si="23"/>
        <v>Mid</v>
      </c>
      <c r="R350" s="37" t="s">
        <v>1236</v>
      </c>
      <c r="S350" s="37" t="s">
        <v>15</v>
      </c>
      <c r="T350" s="41" t="str">
        <f t="shared" si="21"/>
        <v>Southampton</v>
      </c>
    </row>
    <row r="351" spans="1:20">
      <c r="A351" s="37">
        <v>350</v>
      </c>
      <c r="B351" s="37">
        <v>0</v>
      </c>
      <c r="C351" s="37">
        <v>3</v>
      </c>
      <c r="D351" s="37" t="s">
        <v>1872</v>
      </c>
      <c r="E351" s="37" t="s">
        <v>1873</v>
      </c>
      <c r="F351" s="37" t="s">
        <v>1235</v>
      </c>
      <c r="G351" s="37" t="str">
        <f>_xlfn.XLOOKUP(F351,notes!$B$12:$B$18,notes!$C$12:$C$18,"Unknown")</f>
        <v>Male</v>
      </c>
      <c r="H351" s="38">
        <v>42</v>
      </c>
      <c r="I351" s="39" t="str">
        <f>_xlfn.XLOOKUP(H351,notes!$B$4:$B$8,notes!$C$4:$C$8,"Invalid",-1)</f>
        <v>Adult</v>
      </c>
      <c r="J351" s="37">
        <v>0</v>
      </c>
      <c r="K351" s="37">
        <v>0</v>
      </c>
      <c r="L351" s="37">
        <f t="shared" si="22"/>
        <v>1</v>
      </c>
      <c r="M351" s="40" t="str">
        <f t="shared" si="20"/>
        <v>Not Survived</v>
      </c>
      <c r="N351" s="37" t="str">
        <f>_xlfn.XLOOKUP(L351,notes!$B$28:$B$30,notes!$C$28:$C$30,"Unknown",-1)</f>
        <v>Alone</v>
      </c>
      <c r="O351" s="37">
        <v>315088</v>
      </c>
      <c r="P351" s="37">
        <v>8.6625</v>
      </c>
      <c r="Q351" s="37" t="str">
        <f t="shared" si="23"/>
        <v>Low</v>
      </c>
      <c r="R351" s="37" t="s">
        <v>1236</v>
      </c>
      <c r="S351" s="37" t="s">
        <v>15</v>
      </c>
      <c r="T351" s="41" t="str">
        <f t="shared" si="21"/>
        <v>Southampton</v>
      </c>
    </row>
    <row r="352" spans="1:20">
      <c r="A352" s="37">
        <v>351</v>
      </c>
      <c r="B352" s="37">
        <v>0</v>
      </c>
      <c r="C352" s="37">
        <v>3</v>
      </c>
      <c r="D352" s="37" t="s">
        <v>1874</v>
      </c>
      <c r="E352" s="37" t="s">
        <v>1875</v>
      </c>
      <c r="F352" s="37" t="s">
        <v>1235</v>
      </c>
      <c r="G352" s="37" t="str">
        <f>_xlfn.XLOOKUP(F352,notes!$B$12:$B$18,notes!$C$12:$C$18,"Unknown")</f>
        <v>Male</v>
      </c>
      <c r="H352" s="38">
        <v>23</v>
      </c>
      <c r="I352" s="39" t="str">
        <f>_xlfn.XLOOKUP(H352,notes!$B$4:$B$8,notes!$C$4:$C$8,"Invalid",-1)</f>
        <v>Adult</v>
      </c>
      <c r="J352" s="37">
        <v>0</v>
      </c>
      <c r="K352" s="37">
        <v>0</v>
      </c>
      <c r="L352" s="37">
        <f t="shared" si="22"/>
        <v>1</v>
      </c>
      <c r="M352" s="40" t="str">
        <f t="shared" si="20"/>
        <v>Not Survived</v>
      </c>
      <c r="N352" s="37" t="str">
        <f>_xlfn.XLOOKUP(L352,notes!$B$28:$B$30,notes!$C$28:$C$30,"Unknown",-1)</f>
        <v>Alone</v>
      </c>
      <c r="O352" s="37">
        <v>7267</v>
      </c>
      <c r="P352" s="37">
        <v>9.225</v>
      </c>
      <c r="Q352" s="37" t="str">
        <f t="shared" si="23"/>
        <v>Low</v>
      </c>
      <c r="R352" s="37" t="s">
        <v>1236</v>
      </c>
      <c r="S352" s="37" t="s">
        <v>15</v>
      </c>
      <c r="T352" s="41" t="str">
        <f t="shared" si="21"/>
        <v>Southampton</v>
      </c>
    </row>
    <row r="353" spans="1:20">
      <c r="A353" s="37">
        <v>352</v>
      </c>
      <c r="B353" s="37">
        <v>0</v>
      </c>
      <c r="C353" s="37">
        <v>1</v>
      </c>
      <c r="D353" s="37" t="s">
        <v>1876</v>
      </c>
      <c r="E353" s="37" t="s">
        <v>1877</v>
      </c>
      <c r="F353" s="37" t="s">
        <v>1235</v>
      </c>
      <c r="G353" s="37" t="str">
        <f>_xlfn.XLOOKUP(F353,notes!$B$12:$B$18,notes!$C$12:$C$18,"Unknown")</f>
        <v>Male</v>
      </c>
      <c r="H353" s="38" t="s">
        <v>1236</v>
      </c>
      <c r="I353" s="39" t="str">
        <f>_xlfn.XLOOKUP(H353,notes!$B$4:$B$8,notes!$C$4:$C$8,"Invalid",-1)</f>
        <v>Unknown</v>
      </c>
      <c r="J353" s="37">
        <v>0</v>
      </c>
      <c r="K353" s="37">
        <v>0</v>
      </c>
      <c r="L353" s="37">
        <f t="shared" si="22"/>
        <v>1</v>
      </c>
      <c r="M353" s="40" t="str">
        <f t="shared" si="20"/>
        <v>Not Survived</v>
      </c>
      <c r="N353" s="37" t="str">
        <f>_xlfn.XLOOKUP(L353,notes!$B$28:$B$30,notes!$C$28:$C$30,"Unknown",-1)</f>
        <v>Alone</v>
      </c>
      <c r="O353" s="37">
        <v>113510</v>
      </c>
      <c r="P353" s="37">
        <v>35</v>
      </c>
      <c r="Q353" s="37" t="str">
        <f t="shared" si="23"/>
        <v>Mid</v>
      </c>
      <c r="R353" s="37" t="s">
        <v>527</v>
      </c>
      <c r="S353" s="37" t="s">
        <v>15</v>
      </c>
      <c r="T353" s="41" t="str">
        <f t="shared" si="21"/>
        <v>Southampton</v>
      </c>
    </row>
    <row r="354" spans="1:20">
      <c r="A354" s="37">
        <v>353</v>
      </c>
      <c r="B354" s="37">
        <v>0</v>
      </c>
      <c r="C354" s="37">
        <v>3</v>
      </c>
      <c r="D354" s="37" t="s">
        <v>1878</v>
      </c>
      <c r="E354" s="37" t="s">
        <v>1879</v>
      </c>
      <c r="F354" s="37" t="s">
        <v>1235</v>
      </c>
      <c r="G354" s="37" t="str">
        <f>_xlfn.XLOOKUP(F354,notes!$B$12:$B$18,notes!$C$12:$C$18,"Unknown")</f>
        <v>Male</v>
      </c>
      <c r="H354" s="38">
        <v>15</v>
      </c>
      <c r="I354" s="39" t="str">
        <f>_xlfn.XLOOKUP(H354,notes!$B$4:$B$8,notes!$C$4:$C$8,"Invalid",-1)</f>
        <v>Teenager</v>
      </c>
      <c r="J354" s="37">
        <v>1</v>
      </c>
      <c r="K354" s="37">
        <v>1</v>
      </c>
      <c r="L354" s="37">
        <f t="shared" si="22"/>
        <v>3</v>
      </c>
      <c r="M354" s="40" t="str">
        <f t="shared" si="20"/>
        <v>Not Survived</v>
      </c>
      <c r="N354" s="37" t="str">
        <f>_xlfn.XLOOKUP(L354,notes!$B$28:$B$30,notes!$C$28:$C$30,"Unknown",-1)</f>
        <v>Small Family</v>
      </c>
      <c r="O354" s="37">
        <v>2695</v>
      </c>
      <c r="P354" s="37">
        <v>7.2292</v>
      </c>
      <c r="Q354" s="37" t="str">
        <f t="shared" si="23"/>
        <v>Low</v>
      </c>
      <c r="R354" s="37" t="s">
        <v>1236</v>
      </c>
      <c r="S354" s="37" t="s">
        <v>20</v>
      </c>
      <c r="T354" s="41" t="str">
        <f t="shared" si="21"/>
        <v>Cherbourg</v>
      </c>
    </row>
    <row r="355" spans="1:20">
      <c r="A355" s="37">
        <v>354</v>
      </c>
      <c r="B355" s="37">
        <v>0</v>
      </c>
      <c r="C355" s="37">
        <v>3</v>
      </c>
      <c r="D355" s="37" t="s">
        <v>1334</v>
      </c>
      <c r="E355" s="37" t="s">
        <v>1880</v>
      </c>
      <c r="F355" s="37" t="s">
        <v>1235</v>
      </c>
      <c r="G355" s="37" t="str">
        <f>_xlfn.XLOOKUP(F355,notes!$B$12:$B$18,notes!$C$12:$C$18,"Unknown")</f>
        <v>Male</v>
      </c>
      <c r="H355" s="38">
        <v>25</v>
      </c>
      <c r="I355" s="39" t="str">
        <f>_xlfn.XLOOKUP(H355,notes!$B$4:$B$8,notes!$C$4:$C$8,"Invalid",-1)</f>
        <v>Adult</v>
      </c>
      <c r="J355" s="37">
        <v>1</v>
      </c>
      <c r="K355" s="37">
        <v>0</v>
      </c>
      <c r="L355" s="37">
        <f t="shared" si="22"/>
        <v>2</v>
      </c>
      <c r="M355" s="40" t="str">
        <f t="shared" si="20"/>
        <v>Not Survived</v>
      </c>
      <c r="N355" s="37" t="str">
        <f>_xlfn.XLOOKUP(L355,notes!$B$28:$B$30,notes!$C$28:$C$30,"Unknown",-1)</f>
        <v>Small Family</v>
      </c>
      <c r="O355" s="37">
        <v>349237</v>
      </c>
      <c r="P355" s="37">
        <v>17.8</v>
      </c>
      <c r="Q355" s="37" t="str">
        <f t="shared" si="23"/>
        <v>Mid</v>
      </c>
      <c r="R355" s="37" t="s">
        <v>1236</v>
      </c>
      <c r="S355" s="37" t="s">
        <v>15</v>
      </c>
      <c r="T355" s="41" t="str">
        <f t="shared" si="21"/>
        <v>Southampton</v>
      </c>
    </row>
    <row r="356" spans="1:20">
      <c r="A356" s="37">
        <v>355</v>
      </c>
      <c r="B356" s="37">
        <v>0</v>
      </c>
      <c r="C356" s="37">
        <v>3</v>
      </c>
      <c r="D356" s="37" t="s">
        <v>1881</v>
      </c>
      <c r="E356" s="37" t="s">
        <v>1882</v>
      </c>
      <c r="F356" s="37" t="s">
        <v>1235</v>
      </c>
      <c r="G356" s="37" t="str">
        <f>_xlfn.XLOOKUP(F356,notes!$B$12:$B$18,notes!$C$12:$C$18,"Unknown")</f>
        <v>Male</v>
      </c>
      <c r="H356" s="38" t="s">
        <v>1236</v>
      </c>
      <c r="I356" s="39" t="str">
        <f>_xlfn.XLOOKUP(H356,notes!$B$4:$B$8,notes!$C$4:$C$8,"Invalid",-1)</f>
        <v>Unknown</v>
      </c>
      <c r="J356" s="37">
        <v>0</v>
      </c>
      <c r="K356" s="37">
        <v>0</v>
      </c>
      <c r="L356" s="37">
        <f t="shared" si="22"/>
        <v>1</v>
      </c>
      <c r="M356" s="40" t="str">
        <f t="shared" si="20"/>
        <v>Not Survived</v>
      </c>
      <c r="N356" s="37" t="str">
        <f>_xlfn.XLOOKUP(L356,notes!$B$28:$B$30,notes!$C$28:$C$30,"Unknown",-1)</f>
        <v>Alone</v>
      </c>
      <c r="O356" s="37">
        <v>2647</v>
      </c>
      <c r="P356" s="37">
        <v>7.225</v>
      </c>
      <c r="Q356" s="37" t="str">
        <f t="shared" si="23"/>
        <v>Low</v>
      </c>
      <c r="R356" s="37" t="s">
        <v>1236</v>
      </c>
      <c r="S356" s="37" t="s">
        <v>20</v>
      </c>
      <c r="T356" s="41" t="str">
        <f t="shared" si="21"/>
        <v>Cherbourg</v>
      </c>
    </row>
    <row r="357" spans="1:20">
      <c r="A357" s="37">
        <v>356</v>
      </c>
      <c r="B357" s="37">
        <v>0</v>
      </c>
      <c r="C357" s="37">
        <v>3</v>
      </c>
      <c r="D357" s="37" t="s">
        <v>1883</v>
      </c>
      <c r="E357" s="37" t="s">
        <v>1884</v>
      </c>
      <c r="F357" s="37" t="s">
        <v>1235</v>
      </c>
      <c r="G357" s="37" t="str">
        <f>_xlfn.XLOOKUP(F357,notes!$B$12:$B$18,notes!$C$12:$C$18,"Unknown")</f>
        <v>Male</v>
      </c>
      <c r="H357" s="38">
        <v>28</v>
      </c>
      <c r="I357" s="39" t="str">
        <f>_xlfn.XLOOKUP(H357,notes!$B$4:$B$8,notes!$C$4:$C$8,"Invalid",-1)</f>
        <v>Adult</v>
      </c>
      <c r="J357" s="37">
        <v>0</v>
      </c>
      <c r="K357" s="37">
        <v>0</v>
      </c>
      <c r="L357" s="37">
        <f t="shared" si="22"/>
        <v>1</v>
      </c>
      <c r="M357" s="40" t="str">
        <f t="shared" si="20"/>
        <v>Not Survived</v>
      </c>
      <c r="N357" s="37" t="str">
        <f>_xlfn.XLOOKUP(L357,notes!$B$28:$B$30,notes!$C$28:$C$30,"Unknown",-1)</f>
        <v>Alone</v>
      </c>
      <c r="O357" s="37">
        <v>345783</v>
      </c>
      <c r="P357" s="37">
        <v>9.5</v>
      </c>
      <c r="Q357" s="37" t="str">
        <f t="shared" si="23"/>
        <v>Low</v>
      </c>
      <c r="R357" s="37" t="s">
        <v>1236</v>
      </c>
      <c r="S357" s="37" t="s">
        <v>15</v>
      </c>
      <c r="T357" s="41" t="str">
        <f t="shared" si="21"/>
        <v>Southampton</v>
      </c>
    </row>
    <row r="358" spans="1:20">
      <c r="A358" s="37">
        <v>357</v>
      </c>
      <c r="B358" s="37">
        <v>1</v>
      </c>
      <c r="C358" s="37">
        <v>1</v>
      </c>
      <c r="D358" s="37" t="s">
        <v>1885</v>
      </c>
      <c r="E358" s="37" t="s">
        <v>1886</v>
      </c>
      <c r="F358" s="37" t="s">
        <v>1242</v>
      </c>
      <c r="G358" s="37" t="str">
        <f>_xlfn.XLOOKUP(F358,notes!$B$12:$B$18,notes!$C$12:$C$18,"Unknown")</f>
        <v>Female</v>
      </c>
      <c r="H358" s="38">
        <v>22</v>
      </c>
      <c r="I358" s="39" t="str">
        <f>_xlfn.XLOOKUP(H358,notes!$B$4:$B$8,notes!$C$4:$C$8,"Invalid",-1)</f>
        <v>Adult</v>
      </c>
      <c r="J358" s="37">
        <v>0</v>
      </c>
      <c r="K358" s="37">
        <v>1</v>
      </c>
      <c r="L358" s="37">
        <f t="shared" si="22"/>
        <v>2</v>
      </c>
      <c r="M358" s="40" t="str">
        <f t="shared" si="20"/>
        <v>Survived</v>
      </c>
      <c r="N358" s="37" t="str">
        <f>_xlfn.XLOOKUP(L358,notes!$B$28:$B$30,notes!$C$28:$C$30,"Unknown",-1)</f>
        <v>Small Family</v>
      </c>
      <c r="O358" s="37">
        <v>113505</v>
      </c>
      <c r="P358" s="37">
        <v>55</v>
      </c>
      <c r="Q358" s="37" t="str">
        <f t="shared" si="23"/>
        <v>High</v>
      </c>
      <c r="R358" s="37" t="s">
        <v>261</v>
      </c>
      <c r="S358" s="37" t="s">
        <v>15</v>
      </c>
      <c r="T358" s="41" t="str">
        <f t="shared" si="21"/>
        <v>Southampton</v>
      </c>
    </row>
    <row r="359" spans="1:20">
      <c r="A359" s="37">
        <v>358</v>
      </c>
      <c r="B359" s="37">
        <v>0</v>
      </c>
      <c r="C359" s="37">
        <v>2</v>
      </c>
      <c r="D359" s="37" t="s">
        <v>1887</v>
      </c>
      <c r="E359" s="37" t="s">
        <v>1888</v>
      </c>
      <c r="F359" s="37" t="s">
        <v>1242</v>
      </c>
      <c r="G359" s="37" t="str">
        <f>_xlfn.XLOOKUP(F359,notes!$B$12:$B$18,notes!$C$12:$C$18,"Unknown")</f>
        <v>Female</v>
      </c>
      <c r="H359" s="38">
        <v>38</v>
      </c>
      <c r="I359" s="39" t="str">
        <f>_xlfn.XLOOKUP(H359,notes!$B$4:$B$8,notes!$C$4:$C$8,"Invalid",-1)</f>
        <v>Adult</v>
      </c>
      <c r="J359" s="37">
        <v>0</v>
      </c>
      <c r="K359" s="37">
        <v>0</v>
      </c>
      <c r="L359" s="37">
        <f t="shared" si="22"/>
        <v>1</v>
      </c>
      <c r="M359" s="40" t="str">
        <f t="shared" si="20"/>
        <v>Not Survived</v>
      </c>
      <c r="N359" s="37" t="str">
        <f>_xlfn.XLOOKUP(L359,notes!$B$28:$B$30,notes!$C$28:$C$30,"Unknown",-1)</f>
        <v>Alone</v>
      </c>
      <c r="O359" s="37">
        <v>237671</v>
      </c>
      <c r="P359" s="37">
        <v>13</v>
      </c>
      <c r="Q359" s="37" t="str">
        <f t="shared" si="23"/>
        <v>Mid</v>
      </c>
      <c r="R359" s="37" t="s">
        <v>1236</v>
      </c>
      <c r="S359" s="37" t="s">
        <v>15</v>
      </c>
      <c r="T359" s="41" t="str">
        <f t="shared" si="21"/>
        <v>Southampton</v>
      </c>
    </row>
    <row r="360" spans="1:20">
      <c r="A360" s="37">
        <v>359</v>
      </c>
      <c r="B360" s="37">
        <v>1</v>
      </c>
      <c r="C360" s="37">
        <v>3</v>
      </c>
      <c r="D360" s="37" t="s">
        <v>1889</v>
      </c>
      <c r="E360" s="37" t="s">
        <v>1890</v>
      </c>
      <c r="F360" s="37" t="s">
        <v>1242</v>
      </c>
      <c r="G360" s="37" t="str">
        <f>_xlfn.XLOOKUP(F360,notes!$B$12:$B$18,notes!$C$12:$C$18,"Unknown")</f>
        <v>Female</v>
      </c>
      <c r="H360" s="38" t="s">
        <v>1236</v>
      </c>
      <c r="I360" s="39" t="str">
        <f>_xlfn.XLOOKUP(H360,notes!$B$4:$B$8,notes!$C$4:$C$8,"Invalid",-1)</f>
        <v>Unknown</v>
      </c>
      <c r="J360" s="37">
        <v>0</v>
      </c>
      <c r="K360" s="37">
        <v>0</v>
      </c>
      <c r="L360" s="37">
        <f t="shared" si="22"/>
        <v>1</v>
      </c>
      <c r="M360" s="40" t="str">
        <f t="shared" si="20"/>
        <v>Survived</v>
      </c>
      <c r="N360" s="37" t="str">
        <f>_xlfn.XLOOKUP(L360,notes!$B$28:$B$30,notes!$C$28:$C$30,"Unknown",-1)</f>
        <v>Alone</v>
      </c>
      <c r="O360" s="37">
        <v>330931</v>
      </c>
      <c r="P360" s="37">
        <v>7.8792</v>
      </c>
      <c r="Q360" s="37" t="str">
        <f t="shared" si="23"/>
        <v>Low</v>
      </c>
      <c r="R360" s="37" t="s">
        <v>1236</v>
      </c>
      <c r="S360" s="37" t="s">
        <v>28</v>
      </c>
      <c r="T360" s="41" t="str">
        <f t="shared" si="21"/>
        <v>Queenstown</v>
      </c>
    </row>
    <row r="361" spans="1:20">
      <c r="A361" s="37">
        <v>360</v>
      </c>
      <c r="B361" s="37">
        <v>1</v>
      </c>
      <c r="C361" s="37">
        <v>3</v>
      </c>
      <c r="D361" s="37" t="s">
        <v>1891</v>
      </c>
      <c r="E361" s="37" t="s">
        <v>1892</v>
      </c>
      <c r="F361" s="37" t="s">
        <v>1242</v>
      </c>
      <c r="G361" s="37" t="str">
        <f>_xlfn.XLOOKUP(F361,notes!$B$12:$B$18,notes!$C$12:$C$18,"Unknown")</f>
        <v>Female</v>
      </c>
      <c r="H361" s="38" t="s">
        <v>1236</v>
      </c>
      <c r="I361" s="39" t="str">
        <f>_xlfn.XLOOKUP(H361,notes!$B$4:$B$8,notes!$C$4:$C$8,"Invalid",-1)</f>
        <v>Unknown</v>
      </c>
      <c r="J361" s="37">
        <v>0</v>
      </c>
      <c r="K361" s="37">
        <v>0</v>
      </c>
      <c r="L361" s="37">
        <f t="shared" si="22"/>
        <v>1</v>
      </c>
      <c r="M361" s="40" t="str">
        <f t="shared" si="20"/>
        <v>Survived</v>
      </c>
      <c r="N361" s="37" t="str">
        <f>_xlfn.XLOOKUP(L361,notes!$B$28:$B$30,notes!$C$28:$C$30,"Unknown",-1)</f>
        <v>Alone</v>
      </c>
      <c r="O361" s="37">
        <v>330980</v>
      </c>
      <c r="P361" s="37">
        <v>7.8792</v>
      </c>
      <c r="Q361" s="37" t="str">
        <f t="shared" si="23"/>
        <v>Low</v>
      </c>
      <c r="R361" s="37" t="s">
        <v>1236</v>
      </c>
      <c r="S361" s="37" t="s">
        <v>28</v>
      </c>
      <c r="T361" s="41" t="str">
        <f t="shared" si="21"/>
        <v>Queenstown</v>
      </c>
    </row>
    <row r="362" spans="1:20">
      <c r="A362" s="37">
        <v>361</v>
      </c>
      <c r="B362" s="37">
        <v>0</v>
      </c>
      <c r="C362" s="37">
        <v>3</v>
      </c>
      <c r="D362" s="37" t="s">
        <v>1362</v>
      </c>
      <c r="E362" s="37" t="s">
        <v>1893</v>
      </c>
      <c r="F362" s="37" t="s">
        <v>1235</v>
      </c>
      <c r="G362" s="37" t="str">
        <f>_xlfn.XLOOKUP(F362,notes!$B$12:$B$18,notes!$C$12:$C$18,"Unknown")</f>
        <v>Male</v>
      </c>
      <c r="H362" s="38">
        <v>40</v>
      </c>
      <c r="I362" s="39" t="str">
        <f>_xlfn.XLOOKUP(H362,notes!$B$4:$B$8,notes!$C$4:$C$8,"Invalid",-1)</f>
        <v>Adult</v>
      </c>
      <c r="J362" s="37">
        <v>1</v>
      </c>
      <c r="K362" s="37">
        <v>4</v>
      </c>
      <c r="L362" s="37">
        <f t="shared" si="22"/>
        <v>6</v>
      </c>
      <c r="M362" s="40" t="str">
        <f t="shared" si="20"/>
        <v>Not Survived</v>
      </c>
      <c r="N362" s="37" t="str">
        <f>_xlfn.XLOOKUP(L362,notes!$B$28:$B$30,notes!$C$28:$C$30,"Unknown",-1)</f>
        <v>Large Family</v>
      </c>
      <c r="O362" s="37">
        <v>347088</v>
      </c>
      <c r="P362" s="37">
        <v>27.9</v>
      </c>
      <c r="Q362" s="37" t="str">
        <f t="shared" si="23"/>
        <v>Mid</v>
      </c>
      <c r="R362" s="37" t="s">
        <v>1236</v>
      </c>
      <c r="S362" s="37" t="s">
        <v>15</v>
      </c>
      <c r="T362" s="41" t="str">
        <f t="shared" si="21"/>
        <v>Southampton</v>
      </c>
    </row>
    <row r="363" spans="1:20">
      <c r="A363" s="37">
        <v>362</v>
      </c>
      <c r="B363" s="37">
        <v>0</v>
      </c>
      <c r="C363" s="37">
        <v>2</v>
      </c>
      <c r="D363" s="37" t="s">
        <v>1894</v>
      </c>
      <c r="E363" s="37" t="s">
        <v>1895</v>
      </c>
      <c r="F363" s="37" t="s">
        <v>1235</v>
      </c>
      <c r="G363" s="37" t="str">
        <f>_xlfn.XLOOKUP(F363,notes!$B$12:$B$18,notes!$C$12:$C$18,"Unknown")</f>
        <v>Male</v>
      </c>
      <c r="H363" s="38">
        <v>29</v>
      </c>
      <c r="I363" s="39" t="str">
        <f>_xlfn.XLOOKUP(H363,notes!$B$4:$B$8,notes!$C$4:$C$8,"Invalid",-1)</f>
        <v>Adult</v>
      </c>
      <c r="J363" s="37">
        <v>1</v>
      </c>
      <c r="K363" s="37">
        <v>0</v>
      </c>
      <c r="L363" s="37">
        <f t="shared" si="22"/>
        <v>2</v>
      </c>
      <c r="M363" s="40" t="str">
        <f t="shared" si="20"/>
        <v>Not Survived</v>
      </c>
      <c r="N363" s="37" t="str">
        <f>_xlfn.XLOOKUP(L363,notes!$B$28:$B$30,notes!$C$28:$C$30,"Unknown",-1)</f>
        <v>Small Family</v>
      </c>
      <c r="O363" s="37" t="s">
        <v>538</v>
      </c>
      <c r="P363" s="37">
        <v>27.7208</v>
      </c>
      <c r="Q363" s="37" t="str">
        <f t="shared" si="23"/>
        <v>Mid</v>
      </c>
      <c r="R363" s="37" t="s">
        <v>1236</v>
      </c>
      <c r="S363" s="37" t="s">
        <v>20</v>
      </c>
      <c r="T363" s="41" t="str">
        <f t="shared" si="21"/>
        <v>Cherbourg</v>
      </c>
    </row>
    <row r="364" spans="1:20">
      <c r="A364" s="37">
        <v>363</v>
      </c>
      <c r="B364" s="37">
        <v>0</v>
      </c>
      <c r="C364" s="37">
        <v>3</v>
      </c>
      <c r="D364" s="37" t="s">
        <v>1896</v>
      </c>
      <c r="E364" s="37" t="s">
        <v>1897</v>
      </c>
      <c r="F364" s="37" t="s">
        <v>1239</v>
      </c>
      <c r="G364" s="37" t="str">
        <f>_xlfn.XLOOKUP(F364,notes!$B$12:$B$18,notes!$C$12:$C$18,"Unknown")</f>
        <v>Female</v>
      </c>
      <c r="H364" s="38">
        <v>45</v>
      </c>
      <c r="I364" s="39" t="str">
        <f>_xlfn.XLOOKUP(H364,notes!$B$4:$B$8,notes!$C$4:$C$8,"Invalid",-1)</f>
        <v>Adult</v>
      </c>
      <c r="J364" s="37">
        <v>0</v>
      </c>
      <c r="K364" s="37">
        <v>1</v>
      </c>
      <c r="L364" s="37">
        <f t="shared" si="22"/>
        <v>2</v>
      </c>
      <c r="M364" s="40" t="str">
        <f t="shared" si="20"/>
        <v>Not Survived</v>
      </c>
      <c r="N364" s="37" t="str">
        <f>_xlfn.XLOOKUP(L364,notes!$B$28:$B$30,notes!$C$28:$C$30,"Unknown",-1)</f>
        <v>Small Family</v>
      </c>
      <c r="O364" s="37">
        <v>2691</v>
      </c>
      <c r="P364" s="37">
        <v>14.4542</v>
      </c>
      <c r="Q364" s="37" t="str">
        <f t="shared" si="23"/>
        <v>Mid</v>
      </c>
      <c r="R364" s="37" t="s">
        <v>1236</v>
      </c>
      <c r="S364" s="37" t="s">
        <v>20</v>
      </c>
      <c r="T364" s="41" t="str">
        <f t="shared" si="21"/>
        <v>Cherbourg</v>
      </c>
    </row>
    <row r="365" spans="1:20">
      <c r="A365" s="37">
        <v>364</v>
      </c>
      <c r="B365" s="37">
        <v>0</v>
      </c>
      <c r="C365" s="37">
        <v>3</v>
      </c>
      <c r="D365" s="37" t="s">
        <v>1898</v>
      </c>
      <c r="E365" s="37" t="s">
        <v>1899</v>
      </c>
      <c r="F365" s="37" t="s">
        <v>1235</v>
      </c>
      <c r="G365" s="37" t="str">
        <f>_xlfn.XLOOKUP(F365,notes!$B$12:$B$18,notes!$C$12:$C$18,"Unknown")</f>
        <v>Male</v>
      </c>
      <c r="H365" s="38">
        <v>35</v>
      </c>
      <c r="I365" s="39" t="str">
        <f>_xlfn.XLOOKUP(H365,notes!$B$4:$B$8,notes!$C$4:$C$8,"Invalid",-1)</f>
        <v>Adult</v>
      </c>
      <c r="J365" s="37">
        <v>0</v>
      </c>
      <c r="K365" s="37">
        <v>0</v>
      </c>
      <c r="L365" s="37">
        <f t="shared" si="22"/>
        <v>1</v>
      </c>
      <c r="M365" s="40" t="str">
        <f t="shared" si="20"/>
        <v>Not Survived</v>
      </c>
      <c r="N365" s="37" t="str">
        <f>_xlfn.XLOOKUP(L365,notes!$B$28:$B$30,notes!$C$28:$C$30,"Unknown",-1)</f>
        <v>Alone</v>
      </c>
      <c r="O365" s="37" t="s">
        <v>541</v>
      </c>
      <c r="P365" s="37">
        <v>7.05</v>
      </c>
      <c r="Q365" s="37" t="str">
        <f t="shared" si="23"/>
        <v>Low</v>
      </c>
      <c r="R365" s="37" t="s">
        <v>1236</v>
      </c>
      <c r="S365" s="37" t="s">
        <v>15</v>
      </c>
      <c r="T365" s="41" t="str">
        <f t="shared" si="21"/>
        <v>Southampton</v>
      </c>
    </row>
    <row r="366" spans="1:20">
      <c r="A366" s="37">
        <v>365</v>
      </c>
      <c r="B366" s="37">
        <v>0</v>
      </c>
      <c r="C366" s="37">
        <v>3</v>
      </c>
      <c r="D366" s="37" t="s">
        <v>1587</v>
      </c>
      <c r="E366" s="37" t="s">
        <v>1722</v>
      </c>
      <c r="F366" s="37" t="s">
        <v>1235</v>
      </c>
      <c r="G366" s="37" t="str">
        <f>_xlfn.XLOOKUP(F366,notes!$B$12:$B$18,notes!$C$12:$C$18,"Unknown")</f>
        <v>Male</v>
      </c>
      <c r="H366" s="38" t="s">
        <v>1236</v>
      </c>
      <c r="I366" s="39" t="str">
        <f>_xlfn.XLOOKUP(H366,notes!$B$4:$B$8,notes!$C$4:$C$8,"Invalid",-1)</f>
        <v>Unknown</v>
      </c>
      <c r="J366" s="37">
        <v>1</v>
      </c>
      <c r="K366" s="37">
        <v>0</v>
      </c>
      <c r="L366" s="37">
        <f t="shared" si="22"/>
        <v>2</v>
      </c>
      <c r="M366" s="40" t="str">
        <f t="shared" si="20"/>
        <v>Not Survived</v>
      </c>
      <c r="N366" s="37" t="str">
        <f>_xlfn.XLOOKUP(L366,notes!$B$28:$B$30,notes!$C$28:$C$30,"Unknown",-1)</f>
        <v>Small Family</v>
      </c>
      <c r="O366" s="37">
        <v>370365</v>
      </c>
      <c r="P366" s="37">
        <v>15.5</v>
      </c>
      <c r="Q366" s="37" t="str">
        <f t="shared" si="23"/>
        <v>Mid</v>
      </c>
      <c r="R366" s="37" t="s">
        <v>1236</v>
      </c>
      <c r="S366" s="37" t="s">
        <v>28</v>
      </c>
      <c r="T366" s="41" t="str">
        <f t="shared" si="21"/>
        <v>Queenstown</v>
      </c>
    </row>
    <row r="367" spans="1:20">
      <c r="A367" s="37">
        <v>366</v>
      </c>
      <c r="B367" s="37">
        <v>0</v>
      </c>
      <c r="C367" s="37">
        <v>3</v>
      </c>
      <c r="D367" s="37" t="s">
        <v>1900</v>
      </c>
      <c r="E367" s="37" t="s">
        <v>1901</v>
      </c>
      <c r="F367" s="37" t="s">
        <v>1235</v>
      </c>
      <c r="G367" s="37" t="str">
        <f>_xlfn.XLOOKUP(F367,notes!$B$12:$B$18,notes!$C$12:$C$18,"Unknown")</f>
        <v>Male</v>
      </c>
      <c r="H367" s="38">
        <v>30</v>
      </c>
      <c r="I367" s="39" t="str">
        <f>_xlfn.XLOOKUP(H367,notes!$B$4:$B$8,notes!$C$4:$C$8,"Invalid",-1)</f>
        <v>Adult</v>
      </c>
      <c r="J367" s="37">
        <v>0</v>
      </c>
      <c r="K367" s="37">
        <v>0</v>
      </c>
      <c r="L367" s="37">
        <f t="shared" si="22"/>
        <v>1</v>
      </c>
      <c r="M367" s="40" t="str">
        <f t="shared" si="20"/>
        <v>Not Survived</v>
      </c>
      <c r="N367" s="37" t="str">
        <f>_xlfn.XLOOKUP(L367,notes!$B$28:$B$30,notes!$C$28:$C$30,"Unknown",-1)</f>
        <v>Alone</v>
      </c>
      <c r="O367" s="37" t="s">
        <v>544</v>
      </c>
      <c r="P367" s="37">
        <v>7.25</v>
      </c>
      <c r="Q367" s="37" t="str">
        <f t="shared" si="23"/>
        <v>Low</v>
      </c>
      <c r="R367" s="37" t="s">
        <v>1236</v>
      </c>
      <c r="S367" s="37" t="s">
        <v>15</v>
      </c>
      <c r="T367" s="41" t="str">
        <f t="shared" si="21"/>
        <v>Southampton</v>
      </c>
    </row>
    <row r="368" spans="1:20">
      <c r="A368" s="37">
        <v>367</v>
      </c>
      <c r="B368" s="37">
        <v>1</v>
      </c>
      <c r="C368" s="37">
        <v>1</v>
      </c>
      <c r="D368" s="37" t="s">
        <v>1902</v>
      </c>
      <c r="E368" s="37" t="s">
        <v>1903</v>
      </c>
      <c r="F368" s="37" t="s">
        <v>1239</v>
      </c>
      <c r="G368" s="37" t="str">
        <f>_xlfn.XLOOKUP(F368,notes!$B$12:$B$18,notes!$C$12:$C$18,"Unknown")</f>
        <v>Female</v>
      </c>
      <c r="H368" s="38">
        <v>60</v>
      </c>
      <c r="I368" s="39" t="str">
        <f>_xlfn.XLOOKUP(H368,notes!$B$4:$B$8,notes!$C$4:$C$8,"Invalid",-1)</f>
        <v>Elderly</v>
      </c>
      <c r="J368" s="37">
        <v>1</v>
      </c>
      <c r="K368" s="37">
        <v>0</v>
      </c>
      <c r="L368" s="37">
        <f t="shared" si="22"/>
        <v>2</v>
      </c>
      <c r="M368" s="40" t="str">
        <f t="shared" si="20"/>
        <v>Survived</v>
      </c>
      <c r="N368" s="37" t="str">
        <f>_xlfn.XLOOKUP(L368,notes!$B$28:$B$30,notes!$C$28:$C$30,"Unknown",-1)</f>
        <v>Small Family</v>
      </c>
      <c r="O368" s="37">
        <v>110813</v>
      </c>
      <c r="P368" s="37">
        <v>75.25</v>
      </c>
      <c r="Q368" s="37" t="str">
        <f t="shared" si="23"/>
        <v>High</v>
      </c>
      <c r="R368" s="37" t="s">
        <v>546</v>
      </c>
      <c r="S368" s="37" t="s">
        <v>20</v>
      </c>
      <c r="T368" s="41" t="str">
        <f t="shared" si="21"/>
        <v>Cherbourg</v>
      </c>
    </row>
    <row r="369" spans="1:20">
      <c r="A369" s="37">
        <v>368</v>
      </c>
      <c r="B369" s="37">
        <v>1</v>
      </c>
      <c r="C369" s="37">
        <v>3</v>
      </c>
      <c r="D369" s="37" t="s">
        <v>1904</v>
      </c>
      <c r="E369" s="37" t="s">
        <v>1905</v>
      </c>
      <c r="F369" s="37" t="s">
        <v>1239</v>
      </c>
      <c r="G369" s="37" t="str">
        <f>_xlfn.XLOOKUP(F369,notes!$B$12:$B$18,notes!$C$12:$C$18,"Unknown")</f>
        <v>Female</v>
      </c>
      <c r="H369" s="38" t="s">
        <v>1236</v>
      </c>
      <c r="I369" s="39" t="str">
        <f>_xlfn.XLOOKUP(H369,notes!$B$4:$B$8,notes!$C$4:$C$8,"Invalid",-1)</f>
        <v>Unknown</v>
      </c>
      <c r="J369" s="37">
        <v>0</v>
      </c>
      <c r="K369" s="37">
        <v>0</v>
      </c>
      <c r="L369" s="37">
        <f t="shared" si="22"/>
        <v>1</v>
      </c>
      <c r="M369" s="40" t="str">
        <f t="shared" si="20"/>
        <v>Survived</v>
      </c>
      <c r="N369" s="37" t="str">
        <f>_xlfn.XLOOKUP(L369,notes!$B$28:$B$30,notes!$C$28:$C$30,"Unknown",-1)</f>
        <v>Alone</v>
      </c>
      <c r="O369" s="37">
        <v>2626</v>
      </c>
      <c r="P369" s="37">
        <v>7.2292</v>
      </c>
      <c r="Q369" s="37" t="str">
        <f t="shared" si="23"/>
        <v>Low</v>
      </c>
      <c r="R369" s="37" t="s">
        <v>1236</v>
      </c>
      <c r="S369" s="37" t="s">
        <v>20</v>
      </c>
      <c r="T369" s="41" t="str">
        <f t="shared" si="21"/>
        <v>Cherbourg</v>
      </c>
    </row>
    <row r="370" spans="1:20">
      <c r="A370" s="37">
        <v>369</v>
      </c>
      <c r="B370" s="37">
        <v>1</v>
      </c>
      <c r="C370" s="37">
        <v>3</v>
      </c>
      <c r="D370" s="37" t="s">
        <v>1906</v>
      </c>
      <c r="E370" s="37" t="s">
        <v>1907</v>
      </c>
      <c r="F370" s="37" t="s">
        <v>1242</v>
      </c>
      <c r="G370" s="37" t="str">
        <f>_xlfn.XLOOKUP(F370,notes!$B$12:$B$18,notes!$C$12:$C$18,"Unknown")</f>
        <v>Female</v>
      </c>
      <c r="H370" s="38" t="s">
        <v>1236</v>
      </c>
      <c r="I370" s="39" t="str">
        <f>_xlfn.XLOOKUP(H370,notes!$B$4:$B$8,notes!$C$4:$C$8,"Invalid",-1)</f>
        <v>Unknown</v>
      </c>
      <c r="J370" s="37">
        <v>0</v>
      </c>
      <c r="K370" s="37">
        <v>0</v>
      </c>
      <c r="L370" s="37">
        <f t="shared" si="22"/>
        <v>1</v>
      </c>
      <c r="M370" s="40" t="str">
        <f t="shared" si="20"/>
        <v>Survived</v>
      </c>
      <c r="N370" s="37" t="str">
        <f>_xlfn.XLOOKUP(L370,notes!$B$28:$B$30,notes!$C$28:$C$30,"Unknown",-1)</f>
        <v>Alone</v>
      </c>
      <c r="O370" s="37">
        <v>14313</v>
      </c>
      <c r="P370" s="37">
        <v>7.75</v>
      </c>
      <c r="Q370" s="37" t="str">
        <f t="shared" si="23"/>
        <v>Low</v>
      </c>
      <c r="R370" s="37" t="s">
        <v>1236</v>
      </c>
      <c r="S370" s="37" t="s">
        <v>28</v>
      </c>
      <c r="T370" s="41" t="str">
        <f t="shared" si="21"/>
        <v>Queenstown</v>
      </c>
    </row>
    <row r="371" spans="1:20">
      <c r="A371" s="37">
        <v>370</v>
      </c>
      <c r="B371" s="37">
        <v>1</v>
      </c>
      <c r="C371" s="37">
        <v>1</v>
      </c>
      <c r="D371" s="37" t="s">
        <v>1908</v>
      </c>
      <c r="E371" s="37" t="s">
        <v>1909</v>
      </c>
      <c r="F371" s="37" t="s">
        <v>1910</v>
      </c>
      <c r="G371" s="37" t="str">
        <f>_xlfn.XLOOKUP(F371,notes!$B$12:$B$18,notes!$C$12:$C$18,"Unknown")</f>
        <v>Unknown</v>
      </c>
      <c r="H371" s="38">
        <v>24</v>
      </c>
      <c r="I371" s="39" t="str">
        <f>_xlfn.XLOOKUP(H371,notes!$B$4:$B$8,notes!$C$4:$C$8,"Invalid",-1)</f>
        <v>Adult</v>
      </c>
      <c r="J371" s="37">
        <v>0</v>
      </c>
      <c r="K371" s="37">
        <v>0</v>
      </c>
      <c r="L371" s="37">
        <f t="shared" si="22"/>
        <v>1</v>
      </c>
      <c r="M371" s="40" t="str">
        <f t="shared" si="20"/>
        <v>Survived</v>
      </c>
      <c r="N371" s="37" t="str">
        <f>_xlfn.XLOOKUP(L371,notes!$B$28:$B$30,notes!$C$28:$C$30,"Unknown",-1)</f>
        <v>Alone</v>
      </c>
      <c r="O371" s="37" t="s">
        <v>550</v>
      </c>
      <c r="P371" s="37">
        <v>69.3</v>
      </c>
      <c r="Q371" s="37" t="str">
        <f t="shared" si="23"/>
        <v>High</v>
      </c>
      <c r="R371" s="37" t="s">
        <v>551</v>
      </c>
      <c r="S371" s="37" t="s">
        <v>20</v>
      </c>
      <c r="T371" s="41" t="str">
        <f t="shared" si="21"/>
        <v>Cherbourg</v>
      </c>
    </row>
    <row r="372" spans="1:20">
      <c r="A372" s="37">
        <v>371</v>
      </c>
      <c r="B372" s="37">
        <v>1</v>
      </c>
      <c r="C372" s="37">
        <v>1</v>
      </c>
      <c r="D372" s="37" t="s">
        <v>1911</v>
      </c>
      <c r="E372" s="37" t="s">
        <v>1912</v>
      </c>
      <c r="F372" s="37" t="s">
        <v>1235</v>
      </c>
      <c r="G372" s="37" t="str">
        <f>_xlfn.XLOOKUP(F372,notes!$B$12:$B$18,notes!$C$12:$C$18,"Unknown")</f>
        <v>Male</v>
      </c>
      <c r="H372" s="38">
        <v>25</v>
      </c>
      <c r="I372" s="39" t="str">
        <f>_xlfn.XLOOKUP(H372,notes!$B$4:$B$8,notes!$C$4:$C$8,"Invalid",-1)</f>
        <v>Adult</v>
      </c>
      <c r="J372" s="37">
        <v>1</v>
      </c>
      <c r="K372" s="37">
        <v>0</v>
      </c>
      <c r="L372" s="37">
        <f t="shared" si="22"/>
        <v>2</v>
      </c>
      <c r="M372" s="40" t="str">
        <f t="shared" si="20"/>
        <v>Survived</v>
      </c>
      <c r="N372" s="37" t="str">
        <f>_xlfn.XLOOKUP(L372,notes!$B$28:$B$30,notes!$C$28:$C$30,"Unknown",-1)</f>
        <v>Small Family</v>
      </c>
      <c r="O372" s="37">
        <v>11765</v>
      </c>
      <c r="P372" s="37">
        <v>55.4417</v>
      </c>
      <c r="Q372" s="37" t="str">
        <f t="shared" si="23"/>
        <v>High</v>
      </c>
      <c r="R372" s="37" t="s">
        <v>553</v>
      </c>
      <c r="S372" s="37" t="s">
        <v>20</v>
      </c>
      <c r="T372" s="41" t="str">
        <f t="shared" si="21"/>
        <v>Cherbourg</v>
      </c>
    </row>
    <row r="373" spans="1:20">
      <c r="A373" s="37">
        <v>372</v>
      </c>
      <c r="B373" s="37">
        <v>0</v>
      </c>
      <c r="C373" s="37">
        <v>3</v>
      </c>
      <c r="D373" s="37" t="s">
        <v>1913</v>
      </c>
      <c r="E373" s="37" t="s">
        <v>1617</v>
      </c>
      <c r="F373" s="37" t="s">
        <v>1235</v>
      </c>
      <c r="G373" s="37" t="str">
        <f>_xlfn.XLOOKUP(F373,notes!$B$12:$B$18,notes!$C$12:$C$18,"Unknown")</f>
        <v>Male</v>
      </c>
      <c r="H373" s="38">
        <v>18</v>
      </c>
      <c r="I373" s="39" t="str">
        <f>_xlfn.XLOOKUP(H373,notes!$B$4:$B$8,notes!$C$4:$C$8,"Invalid",-1)</f>
        <v>Teenager</v>
      </c>
      <c r="J373" s="37">
        <v>1</v>
      </c>
      <c r="K373" s="37">
        <v>0</v>
      </c>
      <c r="L373" s="37">
        <f t="shared" si="22"/>
        <v>2</v>
      </c>
      <c r="M373" s="40" t="str">
        <f t="shared" si="20"/>
        <v>Not Survived</v>
      </c>
      <c r="N373" s="37" t="str">
        <f>_xlfn.XLOOKUP(L373,notes!$B$28:$B$30,notes!$C$28:$C$30,"Unknown",-1)</f>
        <v>Small Family</v>
      </c>
      <c r="O373" s="37">
        <v>3101267</v>
      </c>
      <c r="P373" s="37">
        <v>6.4958</v>
      </c>
      <c r="Q373" s="37" t="str">
        <f t="shared" si="23"/>
        <v>Low</v>
      </c>
      <c r="R373" s="37" t="s">
        <v>1236</v>
      </c>
      <c r="S373" s="37" t="s">
        <v>15</v>
      </c>
      <c r="T373" s="41" t="str">
        <f t="shared" si="21"/>
        <v>Southampton</v>
      </c>
    </row>
    <row r="374" spans="1:20">
      <c r="A374" s="37">
        <v>373</v>
      </c>
      <c r="B374" s="37">
        <v>0</v>
      </c>
      <c r="C374" s="37">
        <v>3</v>
      </c>
      <c r="D374" s="37" t="s">
        <v>1914</v>
      </c>
      <c r="E374" s="37" t="s">
        <v>1708</v>
      </c>
      <c r="F374" s="37" t="s">
        <v>1235</v>
      </c>
      <c r="G374" s="37" t="str">
        <f>_xlfn.XLOOKUP(F374,notes!$B$12:$B$18,notes!$C$12:$C$18,"Unknown")</f>
        <v>Male</v>
      </c>
      <c r="H374" s="38">
        <v>19</v>
      </c>
      <c r="I374" s="39" t="str">
        <f>_xlfn.XLOOKUP(H374,notes!$B$4:$B$8,notes!$C$4:$C$8,"Invalid",-1)</f>
        <v>Teenager</v>
      </c>
      <c r="J374" s="37">
        <v>0</v>
      </c>
      <c r="K374" s="37">
        <v>0</v>
      </c>
      <c r="L374" s="37">
        <f t="shared" si="22"/>
        <v>1</v>
      </c>
      <c r="M374" s="40" t="str">
        <f t="shared" si="20"/>
        <v>Not Survived</v>
      </c>
      <c r="N374" s="37" t="str">
        <f>_xlfn.XLOOKUP(L374,notes!$B$28:$B$30,notes!$C$28:$C$30,"Unknown",-1)</f>
        <v>Alone</v>
      </c>
      <c r="O374" s="37">
        <v>323951</v>
      </c>
      <c r="P374" s="37">
        <v>8.05</v>
      </c>
      <c r="Q374" s="37" t="str">
        <f t="shared" si="23"/>
        <v>Low</v>
      </c>
      <c r="R374" s="37" t="s">
        <v>1236</v>
      </c>
      <c r="S374" s="37" t="s">
        <v>15</v>
      </c>
      <c r="T374" s="41" t="str">
        <f t="shared" si="21"/>
        <v>Southampton</v>
      </c>
    </row>
    <row r="375" spans="1:20">
      <c r="A375" s="37">
        <v>374</v>
      </c>
      <c r="B375" s="37">
        <v>0</v>
      </c>
      <c r="C375" s="37">
        <v>1</v>
      </c>
      <c r="D375" s="37" t="s">
        <v>1915</v>
      </c>
      <c r="E375" s="37" t="s">
        <v>1916</v>
      </c>
      <c r="F375" s="37" t="s">
        <v>1235</v>
      </c>
      <c r="G375" s="37" t="str">
        <f>_xlfn.XLOOKUP(F375,notes!$B$12:$B$18,notes!$C$12:$C$18,"Unknown")</f>
        <v>Male</v>
      </c>
      <c r="H375" s="38">
        <v>22</v>
      </c>
      <c r="I375" s="39" t="str">
        <f>_xlfn.XLOOKUP(H375,notes!$B$4:$B$8,notes!$C$4:$C$8,"Invalid",-1)</f>
        <v>Adult</v>
      </c>
      <c r="J375" s="37">
        <v>0</v>
      </c>
      <c r="K375" s="37">
        <v>0</v>
      </c>
      <c r="L375" s="37">
        <f t="shared" si="22"/>
        <v>1</v>
      </c>
      <c r="M375" s="40" t="str">
        <f t="shared" si="20"/>
        <v>Not Survived</v>
      </c>
      <c r="N375" s="37" t="str">
        <f>_xlfn.XLOOKUP(L375,notes!$B$28:$B$30,notes!$C$28:$C$30,"Unknown",-1)</f>
        <v>Alone</v>
      </c>
      <c r="O375" s="37" t="s">
        <v>410</v>
      </c>
      <c r="P375" s="37">
        <v>135.6333</v>
      </c>
      <c r="Q375" s="37" t="str">
        <f t="shared" si="23"/>
        <v>High</v>
      </c>
      <c r="R375" s="37" t="s">
        <v>1236</v>
      </c>
      <c r="S375" s="37" t="s">
        <v>20</v>
      </c>
      <c r="T375" s="41" t="str">
        <f t="shared" si="21"/>
        <v>Cherbourg</v>
      </c>
    </row>
    <row r="376" spans="1:20">
      <c r="A376" s="37">
        <v>375</v>
      </c>
      <c r="B376" s="37">
        <v>0</v>
      </c>
      <c r="C376" s="37">
        <v>3</v>
      </c>
      <c r="D376" s="37" t="s">
        <v>1251</v>
      </c>
      <c r="E376" s="37" t="s">
        <v>1917</v>
      </c>
      <c r="F376" s="37" t="s">
        <v>1242</v>
      </c>
      <c r="G376" s="37" t="str">
        <f>_xlfn.XLOOKUP(F376,notes!$B$12:$B$18,notes!$C$12:$C$18,"Unknown")</f>
        <v>Female</v>
      </c>
      <c r="H376" s="38">
        <v>3</v>
      </c>
      <c r="I376" s="39" t="str">
        <f>_xlfn.XLOOKUP(H376,notes!$B$4:$B$8,notes!$C$4:$C$8,"Invalid",-1)</f>
        <v>Kid</v>
      </c>
      <c r="J376" s="37">
        <v>3</v>
      </c>
      <c r="K376" s="37">
        <v>1</v>
      </c>
      <c r="L376" s="37">
        <f t="shared" si="22"/>
        <v>5</v>
      </c>
      <c r="M376" s="40" t="str">
        <f t="shared" si="20"/>
        <v>Not Survived</v>
      </c>
      <c r="N376" s="37" t="str">
        <f>_xlfn.XLOOKUP(L376,notes!$B$28:$B$30,notes!$C$28:$C$30,"Unknown",-1)</f>
        <v>Large Family</v>
      </c>
      <c r="O376" s="37">
        <v>349909</v>
      </c>
      <c r="P376" s="37">
        <v>21.075</v>
      </c>
      <c r="Q376" s="37" t="str">
        <f t="shared" si="23"/>
        <v>Mid</v>
      </c>
      <c r="R376" s="37" t="s">
        <v>1236</v>
      </c>
      <c r="S376" s="37" t="s">
        <v>15</v>
      </c>
      <c r="T376" s="41" t="str">
        <f t="shared" si="21"/>
        <v>Southampton</v>
      </c>
    </row>
    <row r="377" spans="1:20">
      <c r="A377" s="37">
        <v>376</v>
      </c>
      <c r="B377" s="37">
        <v>1</v>
      </c>
      <c r="C377" s="37">
        <v>1</v>
      </c>
      <c r="D377" s="37" t="s">
        <v>1305</v>
      </c>
      <c r="E377" s="37" t="s">
        <v>1918</v>
      </c>
      <c r="F377" s="37" t="s">
        <v>1239</v>
      </c>
      <c r="G377" s="37" t="str">
        <f>_xlfn.XLOOKUP(F377,notes!$B$12:$B$18,notes!$C$12:$C$18,"Unknown")</f>
        <v>Female</v>
      </c>
      <c r="H377" s="38" t="s">
        <v>1236</v>
      </c>
      <c r="I377" s="39" t="str">
        <f>_xlfn.XLOOKUP(H377,notes!$B$4:$B$8,notes!$C$4:$C$8,"Invalid",-1)</f>
        <v>Unknown</v>
      </c>
      <c r="J377" s="37">
        <v>1</v>
      </c>
      <c r="K377" s="37">
        <v>0</v>
      </c>
      <c r="L377" s="37">
        <f t="shared" si="22"/>
        <v>2</v>
      </c>
      <c r="M377" s="40" t="str">
        <f t="shared" si="20"/>
        <v>Survived</v>
      </c>
      <c r="N377" s="37" t="str">
        <f>_xlfn.XLOOKUP(L377,notes!$B$28:$B$30,notes!$C$28:$C$30,"Unknown",-1)</f>
        <v>Small Family</v>
      </c>
      <c r="O377" s="37" t="s">
        <v>70</v>
      </c>
      <c r="P377" s="37">
        <v>82.1708</v>
      </c>
      <c r="Q377" s="37" t="str">
        <f t="shared" si="23"/>
        <v>High</v>
      </c>
      <c r="R377" s="37" t="s">
        <v>1236</v>
      </c>
      <c r="S377" s="37" t="s">
        <v>20</v>
      </c>
      <c r="T377" s="41" t="str">
        <f t="shared" si="21"/>
        <v>Cherbourg</v>
      </c>
    </row>
    <row r="378" spans="1:20">
      <c r="A378" s="37">
        <v>377</v>
      </c>
      <c r="B378" s="37">
        <v>1</v>
      </c>
      <c r="C378" s="37">
        <v>3</v>
      </c>
      <c r="D378" s="37" t="s">
        <v>1919</v>
      </c>
      <c r="E378" s="37" t="s">
        <v>1920</v>
      </c>
      <c r="F378" s="37" t="s">
        <v>1242</v>
      </c>
      <c r="G378" s="37" t="str">
        <f>_xlfn.XLOOKUP(F378,notes!$B$12:$B$18,notes!$C$12:$C$18,"Unknown")</f>
        <v>Female</v>
      </c>
      <c r="H378" s="38">
        <v>22</v>
      </c>
      <c r="I378" s="39" t="str">
        <f>_xlfn.XLOOKUP(H378,notes!$B$4:$B$8,notes!$C$4:$C$8,"Invalid",-1)</f>
        <v>Adult</v>
      </c>
      <c r="J378" s="37">
        <v>0</v>
      </c>
      <c r="K378" s="37">
        <v>0</v>
      </c>
      <c r="L378" s="37">
        <f t="shared" si="22"/>
        <v>1</v>
      </c>
      <c r="M378" s="40" t="str">
        <f t="shared" si="20"/>
        <v>Survived</v>
      </c>
      <c r="N378" s="37" t="str">
        <f>_xlfn.XLOOKUP(L378,notes!$B$28:$B$30,notes!$C$28:$C$30,"Unknown",-1)</f>
        <v>Alone</v>
      </c>
      <c r="O378" s="37" t="s">
        <v>560</v>
      </c>
      <c r="P378" s="37">
        <v>7.25</v>
      </c>
      <c r="Q378" s="37" t="str">
        <f t="shared" si="23"/>
        <v>Low</v>
      </c>
      <c r="R378" s="37" t="s">
        <v>1236</v>
      </c>
      <c r="S378" s="37" t="s">
        <v>15</v>
      </c>
      <c r="T378" s="41" t="str">
        <f t="shared" si="21"/>
        <v>Southampton</v>
      </c>
    </row>
    <row r="379" spans="1:20">
      <c r="A379" s="37">
        <v>378</v>
      </c>
      <c r="B379" s="37">
        <v>0</v>
      </c>
      <c r="C379" s="37">
        <v>1</v>
      </c>
      <c r="D379" s="37" t="s">
        <v>1921</v>
      </c>
      <c r="E379" s="37" t="s">
        <v>1922</v>
      </c>
      <c r="F379" s="37" t="s">
        <v>1235</v>
      </c>
      <c r="G379" s="37" t="str">
        <f>_xlfn.XLOOKUP(F379,notes!$B$12:$B$18,notes!$C$12:$C$18,"Unknown")</f>
        <v>Male</v>
      </c>
      <c r="H379" s="38">
        <v>27</v>
      </c>
      <c r="I379" s="39" t="str">
        <f>_xlfn.XLOOKUP(H379,notes!$B$4:$B$8,notes!$C$4:$C$8,"Invalid",-1)</f>
        <v>Adult</v>
      </c>
      <c r="J379" s="37">
        <v>0</v>
      </c>
      <c r="K379" s="37">
        <v>2</v>
      </c>
      <c r="L379" s="37">
        <f t="shared" si="22"/>
        <v>3</v>
      </c>
      <c r="M379" s="40" t="str">
        <f t="shared" si="20"/>
        <v>Not Survived</v>
      </c>
      <c r="N379" s="37" t="str">
        <f>_xlfn.XLOOKUP(L379,notes!$B$28:$B$30,notes!$C$28:$C$30,"Unknown",-1)</f>
        <v>Small Family</v>
      </c>
      <c r="O379" s="37">
        <v>113503</v>
      </c>
      <c r="P379" s="37">
        <v>211.5</v>
      </c>
      <c r="Q379" s="37" t="str">
        <f t="shared" si="23"/>
        <v>High</v>
      </c>
      <c r="R379" s="37" t="s">
        <v>562</v>
      </c>
      <c r="S379" s="37" t="s">
        <v>20</v>
      </c>
      <c r="T379" s="41" t="str">
        <f t="shared" si="21"/>
        <v>Cherbourg</v>
      </c>
    </row>
    <row r="380" spans="1:20">
      <c r="A380" s="37">
        <v>379</v>
      </c>
      <c r="B380" s="37">
        <v>0</v>
      </c>
      <c r="C380" s="37">
        <v>3</v>
      </c>
      <c r="D380" s="37" t="s">
        <v>1923</v>
      </c>
      <c r="E380" s="37" t="s">
        <v>1879</v>
      </c>
      <c r="F380" s="37" t="s">
        <v>1235</v>
      </c>
      <c r="G380" s="37" t="str">
        <f>_xlfn.XLOOKUP(F380,notes!$B$12:$B$18,notes!$C$12:$C$18,"Unknown")</f>
        <v>Male</v>
      </c>
      <c r="H380" s="38">
        <v>20</v>
      </c>
      <c r="I380" s="39" t="str">
        <f>_xlfn.XLOOKUP(H380,notes!$B$4:$B$8,notes!$C$4:$C$8,"Invalid",-1)</f>
        <v>Adult</v>
      </c>
      <c r="J380" s="37">
        <v>0</v>
      </c>
      <c r="K380" s="37">
        <v>0</v>
      </c>
      <c r="L380" s="37">
        <f t="shared" si="22"/>
        <v>1</v>
      </c>
      <c r="M380" s="40" t="str">
        <f t="shared" si="20"/>
        <v>Not Survived</v>
      </c>
      <c r="N380" s="37" t="str">
        <f>_xlfn.XLOOKUP(L380,notes!$B$28:$B$30,notes!$C$28:$C$30,"Unknown",-1)</f>
        <v>Alone</v>
      </c>
      <c r="O380" s="37">
        <v>2648</v>
      </c>
      <c r="P380" s="37">
        <v>4.0125</v>
      </c>
      <c r="Q380" s="37" t="str">
        <f t="shared" si="23"/>
        <v>Low</v>
      </c>
      <c r="R380" s="37" t="s">
        <v>1236</v>
      </c>
      <c r="S380" s="37" t="s">
        <v>20</v>
      </c>
      <c r="T380" s="41" t="str">
        <f t="shared" si="21"/>
        <v>Cherbourg</v>
      </c>
    </row>
    <row r="381" spans="1:20">
      <c r="A381" s="37">
        <v>380</v>
      </c>
      <c r="B381" s="37">
        <v>0</v>
      </c>
      <c r="C381" s="37">
        <v>3</v>
      </c>
      <c r="D381" s="37" t="s">
        <v>1440</v>
      </c>
      <c r="E381" s="37" t="s">
        <v>1924</v>
      </c>
      <c r="F381" s="37" t="s">
        <v>1235</v>
      </c>
      <c r="G381" s="37" t="str">
        <f>_xlfn.XLOOKUP(F381,notes!$B$12:$B$18,notes!$C$12:$C$18,"Unknown")</f>
        <v>Male</v>
      </c>
      <c r="H381" s="38">
        <v>19</v>
      </c>
      <c r="I381" s="39" t="str">
        <f>_xlfn.XLOOKUP(H381,notes!$B$4:$B$8,notes!$C$4:$C$8,"Invalid",-1)</f>
        <v>Teenager</v>
      </c>
      <c r="J381" s="37">
        <v>0</v>
      </c>
      <c r="K381" s="37">
        <v>0</v>
      </c>
      <c r="L381" s="37">
        <f t="shared" si="22"/>
        <v>1</v>
      </c>
      <c r="M381" s="40" t="str">
        <f t="shared" si="20"/>
        <v>Not Survived</v>
      </c>
      <c r="N381" s="37" t="str">
        <f>_xlfn.XLOOKUP(L381,notes!$B$28:$B$30,notes!$C$28:$C$30,"Unknown",-1)</f>
        <v>Alone</v>
      </c>
      <c r="O381" s="37">
        <v>347069</v>
      </c>
      <c r="P381" s="37">
        <v>7.775</v>
      </c>
      <c r="Q381" s="37" t="str">
        <f t="shared" si="23"/>
        <v>Low</v>
      </c>
      <c r="R381" s="37" t="s">
        <v>1236</v>
      </c>
      <c r="S381" s="37" t="s">
        <v>15</v>
      </c>
      <c r="T381" s="41" t="str">
        <f t="shared" si="21"/>
        <v>Southampton</v>
      </c>
    </row>
    <row r="382" spans="1:20">
      <c r="A382" s="37">
        <v>381</v>
      </c>
      <c r="B382" s="37">
        <v>1</v>
      </c>
      <c r="C382" s="37">
        <v>1</v>
      </c>
      <c r="D382" s="37" t="s">
        <v>1925</v>
      </c>
      <c r="E382" s="37" t="s">
        <v>1926</v>
      </c>
      <c r="F382" s="37" t="s">
        <v>1242</v>
      </c>
      <c r="G382" s="37" t="str">
        <f>_xlfn.XLOOKUP(F382,notes!$B$12:$B$18,notes!$C$12:$C$18,"Unknown")</f>
        <v>Female</v>
      </c>
      <c r="H382" s="38">
        <v>42</v>
      </c>
      <c r="I382" s="39" t="str">
        <f>_xlfn.XLOOKUP(H382,notes!$B$4:$B$8,notes!$C$4:$C$8,"Invalid",-1)</f>
        <v>Adult</v>
      </c>
      <c r="J382" s="37">
        <v>0</v>
      </c>
      <c r="K382" s="37">
        <v>0</v>
      </c>
      <c r="L382" s="37">
        <f t="shared" si="22"/>
        <v>1</v>
      </c>
      <c r="M382" s="40" t="str">
        <f t="shared" si="20"/>
        <v>Survived</v>
      </c>
      <c r="N382" s="37" t="str">
        <f>_xlfn.XLOOKUP(L382,notes!$B$28:$B$30,notes!$C$28:$C$30,"Unknown",-1)</f>
        <v>Alone</v>
      </c>
      <c r="O382" s="37" t="s">
        <v>566</v>
      </c>
      <c r="P382" s="37">
        <v>227.525</v>
      </c>
      <c r="Q382" s="37" t="str">
        <f t="shared" si="23"/>
        <v>High</v>
      </c>
      <c r="R382" s="37" t="s">
        <v>1236</v>
      </c>
      <c r="S382" s="37" t="s">
        <v>20</v>
      </c>
      <c r="T382" s="41" t="str">
        <f t="shared" si="21"/>
        <v>Cherbourg</v>
      </c>
    </row>
    <row r="383" spans="1:20">
      <c r="A383" s="37">
        <v>382</v>
      </c>
      <c r="B383" s="37">
        <v>1</v>
      </c>
      <c r="C383" s="37">
        <v>3</v>
      </c>
      <c r="D383" s="37" t="s">
        <v>1927</v>
      </c>
      <c r="E383" s="37" t="s">
        <v>1928</v>
      </c>
      <c r="F383" s="37" t="s">
        <v>1242</v>
      </c>
      <c r="G383" s="37" t="str">
        <f>_xlfn.XLOOKUP(F383,notes!$B$12:$B$18,notes!$C$12:$C$18,"Unknown")</f>
        <v>Female</v>
      </c>
      <c r="H383" s="38">
        <v>1</v>
      </c>
      <c r="I383" s="39" t="str">
        <f>_xlfn.XLOOKUP(H383,notes!$B$4:$B$8,notes!$C$4:$C$8,"Invalid",-1)</f>
        <v>Kid</v>
      </c>
      <c r="J383" s="37">
        <v>0</v>
      </c>
      <c r="K383" s="37">
        <v>2</v>
      </c>
      <c r="L383" s="37">
        <f t="shared" si="22"/>
        <v>3</v>
      </c>
      <c r="M383" s="40" t="str">
        <f t="shared" si="20"/>
        <v>Survived</v>
      </c>
      <c r="N383" s="37" t="str">
        <f>_xlfn.XLOOKUP(L383,notes!$B$28:$B$30,notes!$C$28:$C$30,"Unknown",-1)</f>
        <v>Small Family</v>
      </c>
      <c r="O383" s="37">
        <v>2653</v>
      </c>
      <c r="P383" s="37">
        <v>15.7417</v>
      </c>
      <c r="Q383" s="37" t="str">
        <f t="shared" si="23"/>
        <v>Mid</v>
      </c>
      <c r="R383" s="37" t="s">
        <v>1236</v>
      </c>
      <c r="S383" s="37" t="s">
        <v>20</v>
      </c>
      <c r="T383" s="41" t="str">
        <f t="shared" si="21"/>
        <v>Cherbourg</v>
      </c>
    </row>
    <row r="384" spans="1:20">
      <c r="A384" s="37">
        <v>383</v>
      </c>
      <c r="B384" s="37">
        <v>0</v>
      </c>
      <c r="C384" s="37">
        <v>3</v>
      </c>
      <c r="D384" s="37" t="s">
        <v>1929</v>
      </c>
      <c r="E384" s="37" t="s">
        <v>1930</v>
      </c>
      <c r="F384" s="37" t="s">
        <v>1235</v>
      </c>
      <c r="G384" s="37" t="str">
        <f>_xlfn.XLOOKUP(F384,notes!$B$12:$B$18,notes!$C$12:$C$18,"Unknown")</f>
        <v>Male</v>
      </c>
      <c r="H384" s="38">
        <v>32</v>
      </c>
      <c r="I384" s="39" t="str">
        <f>_xlfn.XLOOKUP(H384,notes!$B$4:$B$8,notes!$C$4:$C$8,"Invalid",-1)</f>
        <v>Adult</v>
      </c>
      <c r="J384" s="37">
        <v>0</v>
      </c>
      <c r="K384" s="37">
        <v>0</v>
      </c>
      <c r="L384" s="37">
        <f t="shared" si="22"/>
        <v>1</v>
      </c>
      <c r="M384" s="40" t="str">
        <f t="shared" si="20"/>
        <v>Not Survived</v>
      </c>
      <c r="N384" s="37" t="str">
        <f>_xlfn.XLOOKUP(L384,notes!$B$28:$B$30,notes!$C$28:$C$30,"Unknown",-1)</f>
        <v>Alone</v>
      </c>
      <c r="O384" s="37" t="s">
        <v>569</v>
      </c>
      <c r="P384" s="37">
        <v>7.925</v>
      </c>
      <c r="Q384" s="37" t="str">
        <f t="shared" si="23"/>
        <v>Low</v>
      </c>
      <c r="R384" s="37" t="s">
        <v>1236</v>
      </c>
      <c r="S384" s="37" t="s">
        <v>15</v>
      </c>
      <c r="T384" s="41" t="str">
        <f t="shared" si="21"/>
        <v>Southampton</v>
      </c>
    </row>
    <row r="385" spans="1:20">
      <c r="A385" s="37">
        <v>384</v>
      </c>
      <c r="B385" s="37">
        <v>1</v>
      </c>
      <c r="C385" s="37">
        <v>1</v>
      </c>
      <c r="D385" s="37" t="s">
        <v>1307</v>
      </c>
      <c r="E385" s="37" t="s">
        <v>1931</v>
      </c>
      <c r="F385" s="37" t="s">
        <v>1239</v>
      </c>
      <c r="G385" s="37" t="str">
        <f>_xlfn.XLOOKUP(F385,notes!$B$12:$B$18,notes!$C$12:$C$18,"Unknown")</f>
        <v>Female</v>
      </c>
      <c r="H385" s="38">
        <v>35</v>
      </c>
      <c r="I385" s="39" t="str">
        <f>_xlfn.XLOOKUP(H385,notes!$B$4:$B$8,notes!$C$4:$C$8,"Invalid",-1)</f>
        <v>Adult</v>
      </c>
      <c r="J385" s="37">
        <v>1</v>
      </c>
      <c r="K385" s="37">
        <v>0</v>
      </c>
      <c r="L385" s="37">
        <f t="shared" si="22"/>
        <v>2</v>
      </c>
      <c r="M385" s="40" t="str">
        <f t="shared" si="20"/>
        <v>Survived</v>
      </c>
      <c r="N385" s="37" t="str">
        <f>_xlfn.XLOOKUP(L385,notes!$B$28:$B$30,notes!$C$28:$C$30,"Unknown",-1)</f>
        <v>Small Family</v>
      </c>
      <c r="O385" s="37">
        <v>113789</v>
      </c>
      <c r="P385" s="37">
        <v>52</v>
      </c>
      <c r="Q385" s="37" t="str">
        <f t="shared" si="23"/>
        <v>High</v>
      </c>
      <c r="R385" s="37" t="s">
        <v>1236</v>
      </c>
      <c r="S385" s="37" t="s">
        <v>15</v>
      </c>
      <c r="T385" s="41" t="str">
        <f t="shared" si="21"/>
        <v>Southampton</v>
      </c>
    </row>
    <row r="386" spans="1:20">
      <c r="A386" s="37">
        <v>385</v>
      </c>
      <c r="B386" s="37">
        <v>0</v>
      </c>
      <c r="C386" s="37">
        <v>3</v>
      </c>
      <c r="D386" s="37" t="s">
        <v>1932</v>
      </c>
      <c r="E386" s="37" t="s">
        <v>1933</v>
      </c>
      <c r="F386" s="37" t="s">
        <v>1235</v>
      </c>
      <c r="G386" s="37" t="str">
        <f>_xlfn.XLOOKUP(F386,notes!$B$12:$B$18,notes!$C$12:$C$18,"Unknown")</f>
        <v>Male</v>
      </c>
      <c r="H386" s="38" t="s">
        <v>1236</v>
      </c>
      <c r="I386" s="39" t="str">
        <f>_xlfn.XLOOKUP(H386,notes!$B$4:$B$8,notes!$C$4:$C$8,"Invalid",-1)</f>
        <v>Unknown</v>
      </c>
      <c r="J386" s="37">
        <v>0</v>
      </c>
      <c r="K386" s="37">
        <v>0</v>
      </c>
      <c r="L386" s="37">
        <f t="shared" si="22"/>
        <v>1</v>
      </c>
      <c r="M386" s="40" t="str">
        <f t="shared" ref="M386:M449" si="24">IF(B386=1,"Survived","Not Survived")</f>
        <v>Not Survived</v>
      </c>
      <c r="N386" s="37" t="str">
        <f>_xlfn.XLOOKUP(L386,notes!$B$28:$B$30,notes!$C$28:$C$30,"Unknown",-1)</f>
        <v>Alone</v>
      </c>
      <c r="O386" s="37">
        <v>349227</v>
      </c>
      <c r="P386" s="37">
        <v>7.8958</v>
      </c>
      <c r="Q386" s="37" t="str">
        <f t="shared" si="23"/>
        <v>Low</v>
      </c>
      <c r="R386" s="37" t="s">
        <v>1236</v>
      </c>
      <c r="S386" s="37" t="s">
        <v>15</v>
      </c>
      <c r="T386" s="41" t="str">
        <f t="shared" ref="T386:T449" si="25">IF(S386="Q","Queenstown",IF(S386="C","Cherbourg",IF(S386="S","Southampton","Unknown")))</f>
        <v>Southampton</v>
      </c>
    </row>
    <row r="387" spans="1:20">
      <c r="A387" s="37">
        <v>386</v>
      </c>
      <c r="B387" s="37">
        <v>0</v>
      </c>
      <c r="C387" s="37">
        <v>2</v>
      </c>
      <c r="D387" s="37" t="s">
        <v>1934</v>
      </c>
      <c r="E387" s="37" t="s">
        <v>1935</v>
      </c>
      <c r="F387" s="37" t="s">
        <v>1235</v>
      </c>
      <c r="G387" s="37" t="str">
        <f>_xlfn.XLOOKUP(F387,notes!$B$12:$B$18,notes!$C$12:$C$18,"Unknown")</f>
        <v>Male</v>
      </c>
      <c r="H387" s="38">
        <v>18</v>
      </c>
      <c r="I387" s="39" t="str">
        <f>_xlfn.XLOOKUP(H387,notes!$B$4:$B$8,notes!$C$4:$C$8,"Invalid",-1)</f>
        <v>Teenager</v>
      </c>
      <c r="J387" s="37">
        <v>0</v>
      </c>
      <c r="K387" s="37">
        <v>0</v>
      </c>
      <c r="L387" s="37">
        <f t="shared" ref="L387:L450" si="26">(J387+K387)+1</f>
        <v>1</v>
      </c>
      <c r="M387" s="40" t="str">
        <f t="shared" si="24"/>
        <v>Not Survived</v>
      </c>
      <c r="N387" s="37" t="str">
        <f>_xlfn.XLOOKUP(L387,notes!$B$28:$B$30,notes!$C$28:$C$30,"Unknown",-1)</f>
        <v>Alone</v>
      </c>
      <c r="O387" s="37" t="s">
        <v>127</v>
      </c>
      <c r="P387" s="37">
        <v>73.5</v>
      </c>
      <c r="Q387" s="37" t="str">
        <f t="shared" ref="Q387:Q450" si="27">IF(P387&gt;=50,"High",IF(P387&gt;=10,"Mid",IF(P387&lt;10,"Low","invalid")))</f>
        <v>High</v>
      </c>
      <c r="R387" s="37" t="s">
        <v>1236</v>
      </c>
      <c r="S387" s="37" t="s">
        <v>15</v>
      </c>
      <c r="T387" s="41" t="str">
        <f t="shared" si="25"/>
        <v>Southampton</v>
      </c>
    </row>
    <row r="388" spans="1:20">
      <c r="A388" s="37">
        <v>387</v>
      </c>
      <c r="B388" s="37">
        <v>0</v>
      </c>
      <c r="C388" s="37">
        <v>3</v>
      </c>
      <c r="D388" s="37" t="s">
        <v>1354</v>
      </c>
      <c r="E388" s="37" t="s">
        <v>1936</v>
      </c>
      <c r="F388" s="37" t="s">
        <v>1253</v>
      </c>
      <c r="G388" s="37" t="str">
        <f>_xlfn.XLOOKUP(F388,notes!$B$12:$B$18,notes!$C$12:$C$18,"Unknown")</f>
        <v>Male</v>
      </c>
      <c r="H388" s="38">
        <v>1</v>
      </c>
      <c r="I388" s="39" t="str">
        <f>_xlfn.XLOOKUP(H388,notes!$B$4:$B$8,notes!$C$4:$C$8,"Invalid",-1)</f>
        <v>Kid</v>
      </c>
      <c r="J388" s="37">
        <v>5</v>
      </c>
      <c r="K388" s="37">
        <v>2</v>
      </c>
      <c r="L388" s="37">
        <f t="shared" si="26"/>
        <v>8</v>
      </c>
      <c r="M388" s="40" t="str">
        <f t="shared" si="24"/>
        <v>Not Survived</v>
      </c>
      <c r="N388" s="37" t="str">
        <f>_xlfn.XLOOKUP(L388,notes!$B$28:$B$30,notes!$C$28:$C$30,"Unknown",-1)</f>
        <v>Large Family</v>
      </c>
      <c r="O388" s="37" t="s">
        <v>106</v>
      </c>
      <c r="P388" s="37">
        <v>46.9</v>
      </c>
      <c r="Q388" s="37" t="str">
        <f t="shared" si="27"/>
        <v>Mid</v>
      </c>
      <c r="R388" s="37" t="s">
        <v>1236</v>
      </c>
      <c r="S388" s="37" t="s">
        <v>15</v>
      </c>
      <c r="T388" s="41" t="str">
        <f t="shared" si="25"/>
        <v>Southampton</v>
      </c>
    </row>
    <row r="389" spans="1:20">
      <c r="A389" s="37">
        <v>388</v>
      </c>
      <c r="B389" s="37">
        <v>1</v>
      </c>
      <c r="C389" s="37">
        <v>2</v>
      </c>
      <c r="D389" s="37" t="s">
        <v>1937</v>
      </c>
      <c r="E389" s="37" t="s">
        <v>1772</v>
      </c>
      <c r="F389" s="37" t="s">
        <v>1242</v>
      </c>
      <c r="G389" s="37" t="str">
        <f>_xlfn.XLOOKUP(F389,notes!$B$12:$B$18,notes!$C$12:$C$18,"Unknown")</f>
        <v>Female</v>
      </c>
      <c r="H389" s="38">
        <v>36</v>
      </c>
      <c r="I389" s="39" t="str">
        <f>_xlfn.XLOOKUP(H389,notes!$B$4:$B$8,notes!$C$4:$C$8,"Invalid",-1)</f>
        <v>Adult</v>
      </c>
      <c r="J389" s="37">
        <v>0</v>
      </c>
      <c r="K389" s="37">
        <v>0</v>
      </c>
      <c r="L389" s="37">
        <f t="shared" si="26"/>
        <v>1</v>
      </c>
      <c r="M389" s="40" t="str">
        <f t="shared" si="24"/>
        <v>Survived</v>
      </c>
      <c r="N389" s="37" t="str">
        <f>_xlfn.XLOOKUP(L389,notes!$B$28:$B$30,notes!$C$28:$C$30,"Unknown",-1)</f>
        <v>Alone</v>
      </c>
      <c r="O389" s="37">
        <v>27849</v>
      </c>
      <c r="P389" s="37">
        <v>13</v>
      </c>
      <c r="Q389" s="37" t="str">
        <f t="shared" si="27"/>
        <v>Mid</v>
      </c>
      <c r="R389" s="37" t="s">
        <v>1236</v>
      </c>
      <c r="S389" s="37" t="s">
        <v>15</v>
      </c>
      <c r="T389" s="41" t="str">
        <f t="shared" si="25"/>
        <v>Southampton</v>
      </c>
    </row>
    <row r="390" spans="1:20">
      <c r="A390" s="37">
        <v>389</v>
      </c>
      <c r="B390" s="37">
        <v>0</v>
      </c>
      <c r="C390" s="37">
        <v>3</v>
      </c>
      <c r="D390" s="37" t="s">
        <v>1938</v>
      </c>
      <c r="E390" s="37" t="s">
        <v>1939</v>
      </c>
      <c r="F390" s="37" t="s">
        <v>1235</v>
      </c>
      <c r="G390" s="37" t="str">
        <f>_xlfn.XLOOKUP(F390,notes!$B$12:$B$18,notes!$C$12:$C$18,"Unknown")</f>
        <v>Male</v>
      </c>
      <c r="H390" s="38" t="s">
        <v>1236</v>
      </c>
      <c r="I390" s="39" t="str">
        <f>_xlfn.XLOOKUP(H390,notes!$B$4:$B$8,notes!$C$4:$C$8,"Invalid",-1)</f>
        <v>Unknown</v>
      </c>
      <c r="J390" s="37">
        <v>0</v>
      </c>
      <c r="K390" s="37">
        <v>0</v>
      </c>
      <c r="L390" s="37">
        <f t="shared" si="26"/>
        <v>1</v>
      </c>
      <c r="M390" s="40" t="str">
        <f t="shared" si="24"/>
        <v>Not Survived</v>
      </c>
      <c r="N390" s="37" t="str">
        <f>_xlfn.XLOOKUP(L390,notes!$B$28:$B$30,notes!$C$28:$C$30,"Unknown",-1)</f>
        <v>Alone</v>
      </c>
      <c r="O390" s="37">
        <v>367655</v>
      </c>
      <c r="P390" s="37">
        <v>7.7292</v>
      </c>
      <c r="Q390" s="37" t="str">
        <f t="shared" si="27"/>
        <v>Low</v>
      </c>
      <c r="R390" s="37" t="s">
        <v>1236</v>
      </c>
      <c r="S390" s="37" t="s">
        <v>28</v>
      </c>
      <c r="T390" s="41" t="str">
        <f t="shared" si="25"/>
        <v>Queenstown</v>
      </c>
    </row>
    <row r="391" spans="1:20">
      <c r="A391" s="37">
        <v>390</v>
      </c>
      <c r="B391" s="37">
        <v>1</v>
      </c>
      <c r="C391" s="37">
        <v>2</v>
      </c>
      <c r="D391" s="37" t="s">
        <v>1940</v>
      </c>
      <c r="E391" s="37" t="s">
        <v>1402</v>
      </c>
      <c r="F391" s="37" t="s">
        <v>1242</v>
      </c>
      <c r="G391" s="37" t="str">
        <f>_xlfn.XLOOKUP(F391,notes!$B$12:$B$18,notes!$C$12:$C$18,"Unknown")</f>
        <v>Female</v>
      </c>
      <c r="H391" s="38">
        <v>17</v>
      </c>
      <c r="I391" s="39" t="str">
        <f>_xlfn.XLOOKUP(H391,notes!$B$4:$B$8,notes!$C$4:$C$8,"Invalid",-1)</f>
        <v>Teenager</v>
      </c>
      <c r="J391" s="37">
        <v>0</v>
      </c>
      <c r="K391" s="37">
        <v>0</v>
      </c>
      <c r="L391" s="37">
        <f t="shared" si="26"/>
        <v>1</v>
      </c>
      <c r="M391" s="40" t="str">
        <f t="shared" si="24"/>
        <v>Survived</v>
      </c>
      <c r="N391" s="37" t="str">
        <f>_xlfn.XLOOKUP(L391,notes!$B$28:$B$30,notes!$C$28:$C$30,"Unknown",-1)</f>
        <v>Alone</v>
      </c>
      <c r="O391" s="37" t="s">
        <v>577</v>
      </c>
      <c r="P391" s="37">
        <v>12</v>
      </c>
      <c r="Q391" s="37" t="str">
        <f t="shared" si="27"/>
        <v>Mid</v>
      </c>
      <c r="R391" s="37" t="s">
        <v>1236</v>
      </c>
      <c r="S391" s="37" t="s">
        <v>20</v>
      </c>
      <c r="T391" s="41" t="str">
        <f t="shared" si="25"/>
        <v>Cherbourg</v>
      </c>
    </row>
    <row r="392" spans="1:20">
      <c r="A392" s="37">
        <v>391</v>
      </c>
      <c r="B392" s="37">
        <v>1</v>
      </c>
      <c r="C392" s="37">
        <v>1</v>
      </c>
      <c r="D392" s="37" t="s">
        <v>1702</v>
      </c>
      <c r="E392" s="37" t="s">
        <v>1941</v>
      </c>
      <c r="F392" s="37" t="s">
        <v>1235</v>
      </c>
      <c r="G392" s="37" t="str">
        <f>_xlfn.XLOOKUP(F392,notes!$B$12:$B$18,notes!$C$12:$C$18,"Unknown")</f>
        <v>Male</v>
      </c>
      <c r="H392" s="38">
        <v>36</v>
      </c>
      <c r="I392" s="39" t="str">
        <f>_xlfn.XLOOKUP(H392,notes!$B$4:$B$8,notes!$C$4:$C$8,"Invalid",-1)</f>
        <v>Adult</v>
      </c>
      <c r="J392" s="37">
        <v>1</v>
      </c>
      <c r="K392" s="37">
        <v>2</v>
      </c>
      <c r="L392" s="37">
        <f t="shared" si="26"/>
        <v>4</v>
      </c>
      <c r="M392" s="40" t="str">
        <f t="shared" si="24"/>
        <v>Survived</v>
      </c>
      <c r="N392" s="37" t="str">
        <f>_xlfn.XLOOKUP(L392,notes!$B$28:$B$30,notes!$C$28:$C$30,"Unknown",-1)</f>
        <v>Large Family</v>
      </c>
      <c r="O392" s="37">
        <v>113760</v>
      </c>
      <c r="P392" s="37">
        <v>120</v>
      </c>
      <c r="Q392" s="37" t="str">
        <f t="shared" si="27"/>
        <v>High</v>
      </c>
      <c r="R392" s="37" t="s">
        <v>579</v>
      </c>
      <c r="S392" s="37" t="s">
        <v>15</v>
      </c>
      <c r="T392" s="41" t="str">
        <f t="shared" si="25"/>
        <v>Southampton</v>
      </c>
    </row>
    <row r="393" spans="1:20">
      <c r="A393" s="37">
        <v>392</v>
      </c>
      <c r="B393" s="37">
        <v>1</v>
      </c>
      <c r="C393" s="37">
        <v>3</v>
      </c>
      <c r="D393" s="37" t="s">
        <v>1942</v>
      </c>
      <c r="E393" s="37" t="s">
        <v>1943</v>
      </c>
      <c r="F393" s="37" t="s">
        <v>1235</v>
      </c>
      <c r="G393" s="37" t="str">
        <f>_xlfn.XLOOKUP(F393,notes!$B$12:$B$18,notes!$C$12:$C$18,"Unknown")</f>
        <v>Male</v>
      </c>
      <c r="H393" s="38">
        <v>21</v>
      </c>
      <c r="I393" s="39" t="str">
        <f>_xlfn.XLOOKUP(H393,notes!$B$4:$B$8,notes!$C$4:$C$8,"Invalid",-1)</f>
        <v>Adult</v>
      </c>
      <c r="J393" s="37">
        <v>0</v>
      </c>
      <c r="K393" s="37">
        <v>0</v>
      </c>
      <c r="L393" s="37">
        <f t="shared" si="26"/>
        <v>1</v>
      </c>
      <c r="M393" s="40" t="str">
        <f t="shared" si="24"/>
        <v>Survived</v>
      </c>
      <c r="N393" s="37" t="str">
        <f>_xlfn.XLOOKUP(L393,notes!$B$28:$B$30,notes!$C$28:$C$30,"Unknown",-1)</f>
        <v>Alone</v>
      </c>
      <c r="O393" s="37">
        <v>350034</v>
      </c>
      <c r="P393" s="37">
        <v>7.7958</v>
      </c>
      <c r="Q393" s="37" t="str">
        <f t="shared" si="27"/>
        <v>Low</v>
      </c>
      <c r="R393" s="37" t="s">
        <v>1236</v>
      </c>
      <c r="S393" s="37" t="s">
        <v>15</v>
      </c>
      <c r="T393" s="41" t="str">
        <f t="shared" si="25"/>
        <v>Southampton</v>
      </c>
    </row>
    <row r="394" spans="1:20">
      <c r="A394" s="37">
        <v>393</v>
      </c>
      <c r="B394" s="37">
        <v>0</v>
      </c>
      <c r="C394" s="37">
        <v>3</v>
      </c>
      <c r="D394" s="37" t="s">
        <v>1440</v>
      </c>
      <c r="E394" s="37" t="s">
        <v>1944</v>
      </c>
      <c r="F394" s="37" t="s">
        <v>1235</v>
      </c>
      <c r="G394" s="37" t="str">
        <f>_xlfn.XLOOKUP(F394,notes!$B$12:$B$18,notes!$C$12:$C$18,"Unknown")</f>
        <v>Male</v>
      </c>
      <c r="H394" s="38">
        <v>28</v>
      </c>
      <c r="I394" s="39" t="str">
        <f>_xlfn.XLOOKUP(H394,notes!$B$4:$B$8,notes!$C$4:$C$8,"Invalid",-1)</f>
        <v>Adult</v>
      </c>
      <c r="J394" s="37">
        <v>2</v>
      </c>
      <c r="K394" s="37">
        <v>0</v>
      </c>
      <c r="L394" s="37">
        <f t="shared" si="26"/>
        <v>3</v>
      </c>
      <c r="M394" s="40" t="str">
        <f t="shared" si="24"/>
        <v>Not Survived</v>
      </c>
      <c r="N394" s="37" t="str">
        <f>_xlfn.XLOOKUP(L394,notes!$B$28:$B$30,notes!$C$28:$C$30,"Unknown",-1)</f>
        <v>Small Family</v>
      </c>
      <c r="O394" s="37">
        <v>3101277</v>
      </c>
      <c r="P394" s="37">
        <v>7.925</v>
      </c>
      <c r="Q394" s="37" t="str">
        <f t="shared" si="27"/>
        <v>Low</v>
      </c>
      <c r="R394" s="37" t="s">
        <v>1236</v>
      </c>
      <c r="S394" s="37" t="s">
        <v>15</v>
      </c>
      <c r="T394" s="41" t="str">
        <f t="shared" si="25"/>
        <v>Southampton</v>
      </c>
    </row>
    <row r="395" spans="1:20">
      <c r="A395" s="37">
        <v>394</v>
      </c>
      <c r="B395" s="37">
        <v>1</v>
      </c>
      <c r="C395" s="37">
        <v>1</v>
      </c>
      <c r="D395" s="37" t="s">
        <v>1641</v>
      </c>
      <c r="E395" s="37" t="s">
        <v>1945</v>
      </c>
      <c r="F395" s="37" t="s">
        <v>1242</v>
      </c>
      <c r="G395" s="37" t="str">
        <f>_xlfn.XLOOKUP(F395,notes!$B$12:$B$18,notes!$C$12:$C$18,"Unknown")</f>
        <v>Female</v>
      </c>
      <c r="H395" s="38">
        <v>23</v>
      </c>
      <c r="I395" s="39" t="str">
        <f>_xlfn.XLOOKUP(H395,notes!$B$4:$B$8,notes!$C$4:$C$8,"Invalid",-1)</f>
        <v>Adult</v>
      </c>
      <c r="J395" s="37">
        <v>1</v>
      </c>
      <c r="K395" s="37">
        <v>0</v>
      </c>
      <c r="L395" s="37">
        <f t="shared" si="26"/>
        <v>2</v>
      </c>
      <c r="M395" s="40" t="str">
        <f t="shared" si="24"/>
        <v>Survived</v>
      </c>
      <c r="N395" s="37" t="str">
        <f>_xlfn.XLOOKUP(L395,notes!$B$28:$B$30,notes!$C$28:$C$30,"Unknown",-1)</f>
        <v>Small Family</v>
      </c>
      <c r="O395" s="37">
        <v>35273</v>
      </c>
      <c r="P395" s="37">
        <v>113.275</v>
      </c>
      <c r="Q395" s="37" t="str">
        <f t="shared" si="27"/>
        <v>High</v>
      </c>
      <c r="R395" s="37" t="s">
        <v>329</v>
      </c>
      <c r="S395" s="37" t="s">
        <v>20</v>
      </c>
      <c r="T395" s="41" t="str">
        <f t="shared" si="25"/>
        <v>Cherbourg</v>
      </c>
    </row>
    <row r="396" spans="1:20">
      <c r="A396" s="37">
        <v>395</v>
      </c>
      <c r="B396" s="37">
        <v>1</v>
      </c>
      <c r="C396" s="37">
        <v>3</v>
      </c>
      <c r="D396" s="37" t="s">
        <v>1258</v>
      </c>
      <c r="E396" s="37" t="s">
        <v>1946</v>
      </c>
      <c r="F396" s="37" t="s">
        <v>1239</v>
      </c>
      <c r="G396" s="37" t="str">
        <f>_xlfn.XLOOKUP(F396,notes!$B$12:$B$18,notes!$C$12:$C$18,"Unknown")</f>
        <v>Female</v>
      </c>
      <c r="H396" s="38">
        <v>24</v>
      </c>
      <c r="I396" s="39" t="str">
        <f>_xlfn.XLOOKUP(H396,notes!$B$4:$B$8,notes!$C$4:$C$8,"Invalid",-1)</f>
        <v>Adult</v>
      </c>
      <c r="J396" s="37">
        <v>0</v>
      </c>
      <c r="K396" s="37">
        <v>2</v>
      </c>
      <c r="L396" s="37">
        <f t="shared" si="26"/>
        <v>3</v>
      </c>
      <c r="M396" s="40" t="str">
        <f t="shared" si="24"/>
        <v>Survived</v>
      </c>
      <c r="N396" s="37" t="str">
        <f>_xlfn.XLOOKUP(L396,notes!$B$28:$B$30,notes!$C$28:$C$30,"Unknown",-1)</f>
        <v>Small Family</v>
      </c>
      <c r="O396" s="37" t="s">
        <v>35</v>
      </c>
      <c r="P396" s="37">
        <v>16.7</v>
      </c>
      <c r="Q396" s="37" t="str">
        <f t="shared" si="27"/>
        <v>Mid</v>
      </c>
      <c r="R396" s="37" t="s">
        <v>36</v>
      </c>
      <c r="S396" s="37" t="s">
        <v>15</v>
      </c>
      <c r="T396" s="41" t="str">
        <f t="shared" si="25"/>
        <v>Southampton</v>
      </c>
    </row>
    <row r="397" spans="1:20">
      <c r="A397" s="37">
        <v>396</v>
      </c>
      <c r="B397" s="37">
        <v>0</v>
      </c>
      <c r="C397" s="37">
        <v>3</v>
      </c>
      <c r="D397" s="37" t="s">
        <v>1438</v>
      </c>
      <c r="E397" s="37" t="s">
        <v>1947</v>
      </c>
      <c r="F397" s="37" t="s">
        <v>1235</v>
      </c>
      <c r="G397" s="37" t="str">
        <f>_xlfn.XLOOKUP(F397,notes!$B$12:$B$18,notes!$C$12:$C$18,"Unknown")</f>
        <v>Male</v>
      </c>
      <c r="H397" s="38">
        <v>22</v>
      </c>
      <c r="I397" s="39" t="str">
        <f>_xlfn.XLOOKUP(H397,notes!$B$4:$B$8,notes!$C$4:$C$8,"Invalid",-1)</f>
        <v>Adult</v>
      </c>
      <c r="J397" s="37">
        <v>0</v>
      </c>
      <c r="K397" s="37">
        <v>0</v>
      </c>
      <c r="L397" s="37">
        <f t="shared" si="26"/>
        <v>1</v>
      </c>
      <c r="M397" s="40" t="str">
        <f t="shared" si="24"/>
        <v>Not Survived</v>
      </c>
      <c r="N397" s="37" t="str">
        <f>_xlfn.XLOOKUP(L397,notes!$B$28:$B$30,notes!$C$28:$C$30,"Unknown",-1)</f>
        <v>Alone</v>
      </c>
      <c r="O397" s="37">
        <v>350052</v>
      </c>
      <c r="P397" s="37">
        <v>7.7958</v>
      </c>
      <c r="Q397" s="37" t="str">
        <f t="shared" si="27"/>
        <v>Low</v>
      </c>
      <c r="R397" s="37" t="s">
        <v>1236</v>
      </c>
      <c r="S397" s="37" t="s">
        <v>15</v>
      </c>
      <c r="T397" s="41" t="str">
        <f t="shared" si="25"/>
        <v>Southampton</v>
      </c>
    </row>
    <row r="398" spans="1:20">
      <c r="A398" s="37">
        <v>397</v>
      </c>
      <c r="B398" s="37">
        <v>0</v>
      </c>
      <c r="C398" s="37">
        <v>3</v>
      </c>
      <c r="D398" s="37" t="s">
        <v>1757</v>
      </c>
      <c r="E398" s="37" t="s">
        <v>1948</v>
      </c>
      <c r="F398" s="37" t="s">
        <v>1242</v>
      </c>
      <c r="G398" s="37" t="str">
        <f>_xlfn.XLOOKUP(F398,notes!$B$12:$B$18,notes!$C$12:$C$18,"Unknown")</f>
        <v>Female</v>
      </c>
      <c r="H398" s="38">
        <v>31</v>
      </c>
      <c r="I398" s="39" t="str">
        <f>_xlfn.XLOOKUP(H398,notes!$B$4:$B$8,notes!$C$4:$C$8,"Invalid",-1)</f>
        <v>Adult</v>
      </c>
      <c r="J398" s="37">
        <v>0</v>
      </c>
      <c r="K398" s="37">
        <v>0</v>
      </c>
      <c r="L398" s="37">
        <f t="shared" si="26"/>
        <v>1</v>
      </c>
      <c r="M398" s="40" t="str">
        <f t="shared" si="24"/>
        <v>Not Survived</v>
      </c>
      <c r="N398" s="37" t="str">
        <f>_xlfn.XLOOKUP(L398,notes!$B$28:$B$30,notes!$C$28:$C$30,"Unknown",-1)</f>
        <v>Alone</v>
      </c>
      <c r="O398" s="37">
        <v>350407</v>
      </c>
      <c r="P398" s="37">
        <v>7.8542</v>
      </c>
      <c r="Q398" s="37" t="str">
        <f t="shared" si="27"/>
        <v>Low</v>
      </c>
      <c r="R398" s="37" t="s">
        <v>1236</v>
      </c>
      <c r="S398" s="37" t="s">
        <v>15</v>
      </c>
      <c r="T398" s="41" t="str">
        <f t="shared" si="25"/>
        <v>Southampton</v>
      </c>
    </row>
    <row r="399" spans="1:20">
      <c r="A399" s="37">
        <v>398</v>
      </c>
      <c r="B399" s="37">
        <v>0</v>
      </c>
      <c r="C399" s="37">
        <v>2</v>
      </c>
      <c r="D399" s="37" t="s">
        <v>1949</v>
      </c>
      <c r="E399" s="37" t="s">
        <v>1950</v>
      </c>
      <c r="F399" s="37" t="s">
        <v>1235</v>
      </c>
      <c r="G399" s="37" t="str">
        <f>_xlfn.XLOOKUP(F399,notes!$B$12:$B$18,notes!$C$12:$C$18,"Unknown")</f>
        <v>Male</v>
      </c>
      <c r="H399" s="38">
        <v>46</v>
      </c>
      <c r="I399" s="39" t="str">
        <f>_xlfn.XLOOKUP(H399,notes!$B$4:$B$8,notes!$C$4:$C$8,"Invalid",-1)</f>
        <v>Adult</v>
      </c>
      <c r="J399" s="37">
        <v>0</v>
      </c>
      <c r="K399" s="37">
        <v>0</v>
      </c>
      <c r="L399" s="37">
        <f t="shared" si="26"/>
        <v>1</v>
      </c>
      <c r="M399" s="40" t="str">
        <f t="shared" si="24"/>
        <v>Not Survived</v>
      </c>
      <c r="N399" s="37" t="str">
        <f>_xlfn.XLOOKUP(L399,notes!$B$28:$B$30,notes!$C$28:$C$30,"Unknown",-1)</f>
        <v>Alone</v>
      </c>
      <c r="O399" s="37">
        <v>28403</v>
      </c>
      <c r="P399" s="37">
        <v>26</v>
      </c>
      <c r="Q399" s="37" t="str">
        <f t="shared" si="27"/>
        <v>Mid</v>
      </c>
      <c r="R399" s="37" t="s">
        <v>1236</v>
      </c>
      <c r="S399" s="37" t="s">
        <v>15</v>
      </c>
      <c r="T399" s="41" t="str">
        <f t="shared" si="25"/>
        <v>Southampton</v>
      </c>
    </row>
    <row r="400" spans="1:20">
      <c r="A400" s="37">
        <v>399</v>
      </c>
      <c r="B400" s="37">
        <v>0</v>
      </c>
      <c r="C400" s="37">
        <v>2</v>
      </c>
      <c r="D400" s="37" t="s">
        <v>1951</v>
      </c>
      <c r="E400" s="37" t="s">
        <v>1952</v>
      </c>
      <c r="F400" s="37" t="s">
        <v>1695</v>
      </c>
      <c r="G400" s="37" t="str">
        <f>_xlfn.XLOOKUP(F400,notes!$B$12:$B$18,notes!$C$12:$C$18,"Unknown")</f>
        <v>Male</v>
      </c>
      <c r="H400" s="38">
        <v>23</v>
      </c>
      <c r="I400" s="39" t="str">
        <f>_xlfn.XLOOKUP(H400,notes!$B$4:$B$8,notes!$C$4:$C$8,"Invalid",-1)</f>
        <v>Adult</v>
      </c>
      <c r="J400" s="37">
        <v>0</v>
      </c>
      <c r="K400" s="37">
        <v>0</v>
      </c>
      <c r="L400" s="37">
        <f t="shared" si="26"/>
        <v>1</v>
      </c>
      <c r="M400" s="40" t="str">
        <f t="shared" si="24"/>
        <v>Not Survived</v>
      </c>
      <c r="N400" s="37" t="str">
        <f>_xlfn.XLOOKUP(L400,notes!$B$28:$B$30,notes!$C$28:$C$30,"Unknown",-1)</f>
        <v>Alone</v>
      </c>
      <c r="O400" s="37">
        <v>244278</v>
      </c>
      <c r="P400" s="37">
        <v>10.5</v>
      </c>
      <c r="Q400" s="37" t="str">
        <f t="shared" si="27"/>
        <v>Mid</v>
      </c>
      <c r="R400" s="37" t="s">
        <v>1236</v>
      </c>
      <c r="S400" s="37" t="s">
        <v>15</v>
      </c>
      <c r="T400" s="41" t="str">
        <f t="shared" si="25"/>
        <v>Southampton</v>
      </c>
    </row>
    <row r="401" spans="1:20">
      <c r="A401" s="37">
        <v>400</v>
      </c>
      <c r="B401" s="37">
        <v>1</v>
      </c>
      <c r="C401" s="37">
        <v>2</v>
      </c>
      <c r="D401" s="37" t="s">
        <v>1953</v>
      </c>
      <c r="E401" s="37" t="s">
        <v>1954</v>
      </c>
      <c r="F401" s="37" t="s">
        <v>1239</v>
      </c>
      <c r="G401" s="37" t="str">
        <f>_xlfn.XLOOKUP(F401,notes!$B$12:$B$18,notes!$C$12:$C$18,"Unknown")</f>
        <v>Female</v>
      </c>
      <c r="H401" s="38">
        <v>28</v>
      </c>
      <c r="I401" s="39" t="str">
        <f>_xlfn.XLOOKUP(H401,notes!$B$4:$B$8,notes!$C$4:$C$8,"Invalid",-1)</f>
        <v>Adult</v>
      </c>
      <c r="J401" s="37">
        <v>0</v>
      </c>
      <c r="K401" s="37">
        <v>0</v>
      </c>
      <c r="L401" s="37">
        <f t="shared" si="26"/>
        <v>1</v>
      </c>
      <c r="M401" s="40" t="str">
        <f t="shared" si="24"/>
        <v>Survived</v>
      </c>
      <c r="N401" s="37" t="str">
        <f>_xlfn.XLOOKUP(L401,notes!$B$28:$B$30,notes!$C$28:$C$30,"Unknown",-1)</f>
        <v>Alone</v>
      </c>
      <c r="O401" s="37">
        <v>240929</v>
      </c>
      <c r="P401" s="37">
        <v>12.65</v>
      </c>
      <c r="Q401" s="37" t="str">
        <f t="shared" si="27"/>
        <v>Mid</v>
      </c>
      <c r="R401" s="37" t="s">
        <v>1236</v>
      </c>
      <c r="S401" s="37" t="s">
        <v>15</v>
      </c>
      <c r="T401" s="41" t="str">
        <f t="shared" si="25"/>
        <v>Southampton</v>
      </c>
    </row>
    <row r="402" spans="1:20">
      <c r="A402" s="37">
        <v>401</v>
      </c>
      <c r="B402" s="37">
        <v>1</v>
      </c>
      <c r="C402" s="37">
        <v>3</v>
      </c>
      <c r="D402" s="37" t="s">
        <v>1955</v>
      </c>
      <c r="E402" s="37" t="s">
        <v>1956</v>
      </c>
      <c r="F402" s="37" t="s">
        <v>1235</v>
      </c>
      <c r="G402" s="37" t="str">
        <f>_xlfn.XLOOKUP(F402,notes!$B$12:$B$18,notes!$C$12:$C$18,"Unknown")</f>
        <v>Male</v>
      </c>
      <c r="H402" s="38">
        <v>39</v>
      </c>
      <c r="I402" s="39" t="str">
        <f>_xlfn.XLOOKUP(H402,notes!$B$4:$B$8,notes!$C$4:$C$8,"Invalid",-1)</f>
        <v>Adult</v>
      </c>
      <c r="J402" s="37">
        <v>0</v>
      </c>
      <c r="K402" s="37">
        <v>0</v>
      </c>
      <c r="L402" s="37">
        <f t="shared" si="26"/>
        <v>1</v>
      </c>
      <c r="M402" s="40" t="str">
        <f t="shared" si="24"/>
        <v>Survived</v>
      </c>
      <c r="N402" s="37" t="str">
        <f>_xlfn.XLOOKUP(L402,notes!$B$28:$B$30,notes!$C$28:$C$30,"Unknown",-1)</f>
        <v>Alone</v>
      </c>
      <c r="O402" s="37" t="s">
        <v>590</v>
      </c>
      <c r="P402" s="37">
        <v>7.925</v>
      </c>
      <c r="Q402" s="37" t="str">
        <f t="shared" si="27"/>
        <v>Low</v>
      </c>
      <c r="R402" s="37" t="s">
        <v>1236</v>
      </c>
      <c r="S402" s="37" t="s">
        <v>15</v>
      </c>
      <c r="T402" s="41" t="str">
        <f t="shared" si="25"/>
        <v>Southampton</v>
      </c>
    </row>
    <row r="403" spans="1:20">
      <c r="A403" s="37">
        <v>402</v>
      </c>
      <c r="B403" s="37">
        <v>0</v>
      </c>
      <c r="C403" s="37">
        <v>3</v>
      </c>
      <c r="D403" s="37" t="s">
        <v>1957</v>
      </c>
      <c r="E403" s="37" t="s">
        <v>1592</v>
      </c>
      <c r="F403" s="37" t="s">
        <v>1235</v>
      </c>
      <c r="G403" s="37" t="str">
        <f>_xlfn.XLOOKUP(F403,notes!$B$12:$B$18,notes!$C$12:$C$18,"Unknown")</f>
        <v>Male</v>
      </c>
      <c r="H403" s="38">
        <v>26</v>
      </c>
      <c r="I403" s="39" t="str">
        <f>_xlfn.XLOOKUP(H403,notes!$B$4:$B$8,notes!$C$4:$C$8,"Invalid",-1)</f>
        <v>Adult</v>
      </c>
      <c r="J403" s="37">
        <v>0</v>
      </c>
      <c r="K403" s="37">
        <v>0</v>
      </c>
      <c r="L403" s="37">
        <f t="shared" si="26"/>
        <v>1</v>
      </c>
      <c r="M403" s="40" t="str">
        <f t="shared" si="24"/>
        <v>Not Survived</v>
      </c>
      <c r="N403" s="37" t="str">
        <f>_xlfn.XLOOKUP(L403,notes!$B$28:$B$30,notes!$C$28:$C$30,"Unknown",-1)</f>
        <v>Alone</v>
      </c>
      <c r="O403" s="37">
        <v>341826</v>
      </c>
      <c r="P403" s="37">
        <v>8.05</v>
      </c>
      <c r="Q403" s="37" t="str">
        <f t="shared" si="27"/>
        <v>Low</v>
      </c>
      <c r="R403" s="37" t="s">
        <v>1236</v>
      </c>
      <c r="S403" s="37" t="s">
        <v>15</v>
      </c>
      <c r="T403" s="41" t="str">
        <f t="shared" si="25"/>
        <v>Southampton</v>
      </c>
    </row>
    <row r="404" spans="1:20">
      <c r="A404" s="37">
        <v>403</v>
      </c>
      <c r="B404" s="37">
        <v>0</v>
      </c>
      <c r="C404" s="37">
        <v>3</v>
      </c>
      <c r="D404" s="37" t="s">
        <v>1456</v>
      </c>
      <c r="E404" s="37" t="s">
        <v>1958</v>
      </c>
      <c r="F404" s="37" t="s">
        <v>1242</v>
      </c>
      <c r="G404" s="37" t="str">
        <f>_xlfn.XLOOKUP(F404,notes!$B$12:$B$18,notes!$C$12:$C$18,"Unknown")</f>
        <v>Female</v>
      </c>
      <c r="H404" s="38">
        <v>21</v>
      </c>
      <c r="I404" s="39" t="str">
        <f>_xlfn.XLOOKUP(H404,notes!$B$4:$B$8,notes!$C$4:$C$8,"Invalid",-1)</f>
        <v>Adult</v>
      </c>
      <c r="J404" s="37">
        <v>1</v>
      </c>
      <c r="K404" s="37">
        <v>0</v>
      </c>
      <c r="L404" s="37">
        <f t="shared" si="26"/>
        <v>2</v>
      </c>
      <c r="M404" s="40" t="str">
        <f t="shared" si="24"/>
        <v>Not Survived</v>
      </c>
      <c r="N404" s="37" t="str">
        <f>_xlfn.XLOOKUP(L404,notes!$B$28:$B$30,notes!$C$28:$C$30,"Unknown",-1)</f>
        <v>Small Family</v>
      </c>
      <c r="O404" s="37">
        <v>4137</v>
      </c>
      <c r="P404" s="37">
        <v>9.825</v>
      </c>
      <c r="Q404" s="37" t="str">
        <f t="shared" si="27"/>
        <v>Low</v>
      </c>
      <c r="R404" s="37" t="s">
        <v>1236</v>
      </c>
      <c r="S404" s="37" t="s">
        <v>15</v>
      </c>
      <c r="T404" s="41" t="str">
        <f t="shared" si="25"/>
        <v>Southampton</v>
      </c>
    </row>
    <row r="405" spans="1:20">
      <c r="A405" s="37">
        <v>404</v>
      </c>
      <c r="B405" s="37">
        <v>0</v>
      </c>
      <c r="C405" s="37">
        <v>3</v>
      </c>
      <c r="D405" s="37" t="s">
        <v>1508</v>
      </c>
      <c r="E405" s="37" t="s">
        <v>1959</v>
      </c>
      <c r="F405" s="37" t="s">
        <v>1235</v>
      </c>
      <c r="G405" s="37" t="str">
        <f>_xlfn.XLOOKUP(F405,notes!$B$12:$B$18,notes!$C$12:$C$18,"Unknown")</f>
        <v>Male</v>
      </c>
      <c r="H405" s="38">
        <v>28</v>
      </c>
      <c r="I405" s="39" t="str">
        <f>_xlfn.XLOOKUP(H405,notes!$B$4:$B$8,notes!$C$4:$C$8,"Invalid",-1)</f>
        <v>Adult</v>
      </c>
      <c r="J405" s="37">
        <v>1</v>
      </c>
      <c r="K405" s="37">
        <v>0</v>
      </c>
      <c r="L405" s="37">
        <f t="shared" si="26"/>
        <v>2</v>
      </c>
      <c r="M405" s="40" t="str">
        <f t="shared" si="24"/>
        <v>Not Survived</v>
      </c>
      <c r="N405" s="37" t="str">
        <f>_xlfn.XLOOKUP(L405,notes!$B$28:$B$30,notes!$C$28:$C$30,"Unknown",-1)</f>
        <v>Small Family</v>
      </c>
      <c r="O405" s="37" t="s">
        <v>225</v>
      </c>
      <c r="P405" s="37">
        <v>15.85</v>
      </c>
      <c r="Q405" s="37" t="str">
        <f t="shared" si="27"/>
        <v>Mid</v>
      </c>
      <c r="R405" s="37" t="s">
        <v>1236</v>
      </c>
      <c r="S405" s="37" t="s">
        <v>15</v>
      </c>
      <c r="T405" s="41" t="str">
        <f t="shared" si="25"/>
        <v>Southampton</v>
      </c>
    </row>
    <row r="406" spans="1:20">
      <c r="A406" s="37">
        <v>405</v>
      </c>
      <c r="B406" s="37">
        <v>0</v>
      </c>
      <c r="C406" s="37">
        <v>3</v>
      </c>
      <c r="D406" s="37" t="s">
        <v>1960</v>
      </c>
      <c r="E406" s="37" t="s">
        <v>1961</v>
      </c>
      <c r="F406" s="37" t="s">
        <v>1242</v>
      </c>
      <c r="G406" s="37" t="str">
        <f>_xlfn.XLOOKUP(F406,notes!$B$12:$B$18,notes!$C$12:$C$18,"Unknown")</f>
        <v>Female</v>
      </c>
      <c r="H406" s="38">
        <v>20</v>
      </c>
      <c r="I406" s="39" t="str">
        <f>_xlfn.XLOOKUP(H406,notes!$B$4:$B$8,notes!$C$4:$C$8,"Invalid",-1)</f>
        <v>Adult</v>
      </c>
      <c r="J406" s="37">
        <v>0</v>
      </c>
      <c r="K406" s="37">
        <v>0</v>
      </c>
      <c r="L406" s="37">
        <f t="shared" si="26"/>
        <v>1</v>
      </c>
      <c r="M406" s="40" t="str">
        <f t="shared" si="24"/>
        <v>Not Survived</v>
      </c>
      <c r="N406" s="37" t="str">
        <f>_xlfn.XLOOKUP(L406,notes!$B$28:$B$30,notes!$C$28:$C$30,"Unknown",-1)</f>
        <v>Alone</v>
      </c>
      <c r="O406" s="37">
        <v>315096</v>
      </c>
      <c r="P406" s="37">
        <v>8.6625</v>
      </c>
      <c r="Q406" s="37" t="str">
        <f t="shared" si="27"/>
        <v>Low</v>
      </c>
      <c r="R406" s="37" t="s">
        <v>1236</v>
      </c>
      <c r="S406" s="37" t="s">
        <v>15</v>
      </c>
      <c r="T406" s="41" t="str">
        <f t="shared" si="25"/>
        <v>Southampton</v>
      </c>
    </row>
    <row r="407" spans="1:20">
      <c r="A407" s="37">
        <v>406</v>
      </c>
      <c r="B407" s="37">
        <v>0</v>
      </c>
      <c r="C407" s="37">
        <v>2</v>
      </c>
      <c r="D407" s="37" t="s">
        <v>1962</v>
      </c>
      <c r="E407" s="37" t="s">
        <v>1963</v>
      </c>
      <c r="F407" s="37" t="s">
        <v>1235</v>
      </c>
      <c r="G407" s="37" t="str">
        <f>_xlfn.XLOOKUP(F407,notes!$B$12:$B$18,notes!$C$12:$C$18,"Unknown")</f>
        <v>Male</v>
      </c>
      <c r="H407" s="38">
        <v>34</v>
      </c>
      <c r="I407" s="39" t="str">
        <f>_xlfn.XLOOKUP(H407,notes!$B$4:$B$8,notes!$C$4:$C$8,"Invalid",-1)</f>
        <v>Adult</v>
      </c>
      <c r="J407" s="37">
        <v>1</v>
      </c>
      <c r="K407" s="37">
        <v>0</v>
      </c>
      <c r="L407" s="37">
        <f t="shared" si="26"/>
        <v>2</v>
      </c>
      <c r="M407" s="40" t="str">
        <f t="shared" si="24"/>
        <v>Not Survived</v>
      </c>
      <c r="N407" s="37" t="str">
        <f>_xlfn.XLOOKUP(L407,notes!$B$28:$B$30,notes!$C$28:$C$30,"Unknown",-1)</f>
        <v>Small Family</v>
      </c>
      <c r="O407" s="37">
        <v>28664</v>
      </c>
      <c r="P407" s="37">
        <v>21</v>
      </c>
      <c r="Q407" s="37" t="str">
        <f t="shared" si="27"/>
        <v>Mid</v>
      </c>
      <c r="R407" s="37" t="s">
        <v>1236</v>
      </c>
      <c r="S407" s="37" t="s">
        <v>15</v>
      </c>
      <c r="T407" s="41" t="str">
        <f t="shared" si="25"/>
        <v>Southampton</v>
      </c>
    </row>
    <row r="408" spans="1:20">
      <c r="A408" s="37">
        <v>407</v>
      </c>
      <c r="B408" s="37">
        <v>0</v>
      </c>
      <c r="C408" s="37">
        <v>3</v>
      </c>
      <c r="D408" s="37" t="s">
        <v>1964</v>
      </c>
      <c r="E408" s="37" t="s">
        <v>1965</v>
      </c>
      <c r="F408" s="37" t="s">
        <v>1235</v>
      </c>
      <c r="G408" s="37" t="str">
        <f>_xlfn.XLOOKUP(F408,notes!$B$12:$B$18,notes!$C$12:$C$18,"Unknown")</f>
        <v>Male</v>
      </c>
      <c r="H408" s="38">
        <v>51</v>
      </c>
      <c r="I408" s="39" t="str">
        <f>_xlfn.XLOOKUP(H408,notes!$B$4:$B$8,notes!$C$4:$C$8,"Invalid",-1)</f>
        <v>Adult</v>
      </c>
      <c r="J408" s="37">
        <v>0</v>
      </c>
      <c r="K408" s="37">
        <v>0</v>
      </c>
      <c r="L408" s="37">
        <f t="shared" si="26"/>
        <v>1</v>
      </c>
      <c r="M408" s="40" t="str">
        <f t="shared" si="24"/>
        <v>Not Survived</v>
      </c>
      <c r="N408" s="37" t="str">
        <f>_xlfn.XLOOKUP(L408,notes!$B$28:$B$30,notes!$C$28:$C$30,"Unknown",-1)</f>
        <v>Alone</v>
      </c>
      <c r="O408" s="37">
        <v>347064</v>
      </c>
      <c r="P408" s="37">
        <v>7.75</v>
      </c>
      <c r="Q408" s="37" t="str">
        <f t="shared" si="27"/>
        <v>Low</v>
      </c>
      <c r="R408" s="37" t="s">
        <v>1236</v>
      </c>
      <c r="S408" s="37" t="s">
        <v>15</v>
      </c>
      <c r="T408" s="41" t="str">
        <f t="shared" si="25"/>
        <v>Southampton</v>
      </c>
    </row>
    <row r="409" spans="1:20">
      <c r="A409" s="37">
        <v>408</v>
      </c>
      <c r="B409" s="37">
        <v>1</v>
      </c>
      <c r="C409" s="37">
        <v>2</v>
      </c>
      <c r="D409" s="37" t="s">
        <v>1966</v>
      </c>
      <c r="E409" s="37" t="s">
        <v>1967</v>
      </c>
      <c r="F409" s="37" t="s">
        <v>1253</v>
      </c>
      <c r="G409" s="37" t="str">
        <f>_xlfn.XLOOKUP(F409,notes!$B$12:$B$18,notes!$C$12:$C$18,"Unknown")</f>
        <v>Male</v>
      </c>
      <c r="H409" s="38">
        <v>3</v>
      </c>
      <c r="I409" s="39" t="str">
        <f>_xlfn.XLOOKUP(H409,notes!$B$4:$B$8,notes!$C$4:$C$8,"Invalid",-1)</f>
        <v>Kid</v>
      </c>
      <c r="J409" s="37">
        <v>1</v>
      </c>
      <c r="K409" s="37">
        <v>1</v>
      </c>
      <c r="L409" s="37">
        <f t="shared" si="26"/>
        <v>3</v>
      </c>
      <c r="M409" s="40" t="str">
        <f t="shared" si="24"/>
        <v>Survived</v>
      </c>
      <c r="N409" s="37" t="str">
        <f>_xlfn.XLOOKUP(L409,notes!$B$28:$B$30,notes!$C$28:$C$30,"Unknown",-1)</f>
        <v>Small Family</v>
      </c>
      <c r="O409" s="37">
        <v>29106</v>
      </c>
      <c r="P409" s="37">
        <v>18.75</v>
      </c>
      <c r="Q409" s="37" t="str">
        <f t="shared" si="27"/>
        <v>Mid</v>
      </c>
      <c r="R409" s="37" t="s">
        <v>1236</v>
      </c>
      <c r="S409" s="37" t="s">
        <v>15</v>
      </c>
      <c r="T409" s="41" t="str">
        <f t="shared" si="25"/>
        <v>Southampton</v>
      </c>
    </row>
    <row r="410" spans="1:20">
      <c r="A410" s="37">
        <v>409</v>
      </c>
      <c r="B410" s="37">
        <v>0</v>
      </c>
      <c r="C410" s="37">
        <v>3</v>
      </c>
      <c r="D410" s="37" t="s">
        <v>1968</v>
      </c>
      <c r="E410" s="37" t="s">
        <v>1969</v>
      </c>
      <c r="F410" s="37" t="s">
        <v>1235</v>
      </c>
      <c r="G410" s="37" t="str">
        <f>_xlfn.XLOOKUP(F410,notes!$B$12:$B$18,notes!$C$12:$C$18,"Unknown")</f>
        <v>Male</v>
      </c>
      <c r="H410" s="38">
        <v>21</v>
      </c>
      <c r="I410" s="39" t="str">
        <f>_xlfn.XLOOKUP(H410,notes!$B$4:$B$8,notes!$C$4:$C$8,"Invalid",-1)</f>
        <v>Adult</v>
      </c>
      <c r="J410" s="37">
        <v>0</v>
      </c>
      <c r="K410" s="37">
        <v>0</v>
      </c>
      <c r="L410" s="37">
        <f t="shared" si="26"/>
        <v>1</v>
      </c>
      <c r="M410" s="40" t="str">
        <f t="shared" si="24"/>
        <v>Not Survived</v>
      </c>
      <c r="N410" s="37" t="str">
        <f>_xlfn.XLOOKUP(L410,notes!$B$28:$B$30,notes!$C$28:$C$30,"Unknown",-1)</f>
        <v>Alone</v>
      </c>
      <c r="O410" s="37">
        <v>312992</v>
      </c>
      <c r="P410" s="37">
        <v>7.775</v>
      </c>
      <c r="Q410" s="37" t="str">
        <f t="shared" si="27"/>
        <v>Low</v>
      </c>
      <c r="R410" s="37" t="s">
        <v>1236</v>
      </c>
      <c r="S410" s="37" t="s">
        <v>15</v>
      </c>
      <c r="T410" s="41" t="str">
        <f t="shared" si="25"/>
        <v>Southampton</v>
      </c>
    </row>
    <row r="411" spans="1:20">
      <c r="A411" s="37">
        <v>410</v>
      </c>
      <c r="B411" s="37">
        <v>0</v>
      </c>
      <c r="C411" s="37">
        <v>3</v>
      </c>
      <c r="D411" s="37" t="s">
        <v>1569</v>
      </c>
      <c r="E411" s="37" t="s">
        <v>1970</v>
      </c>
      <c r="F411" s="37" t="s">
        <v>1242</v>
      </c>
      <c r="G411" s="37" t="str">
        <f>_xlfn.XLOOKUP(F411,notes!$B$12:$B$18,notes!$C$12:$C$18,"Unknown")</f>
        <v>Female</v>
      </c>
      <c r="H411" s="38" t="s">
        <v>1236</v>
      </c>
      <c r="I411" s="39" t="str">
        <f>_xlfn.XLOOKUP(H411,notes!$B$4:$B$8,notes!$C$4:$C$8,"Invalid",-1)</f>
        <v>Unknown</v>
      </c>
      <c r="J411" s="37">
        <v>3</v>
      </c>
      <c r="K411" s="37">
        <v>1</v>
      </c>
      <c r="L411" s="37">
        <f t="shared" si="26"/>
        <v>5</v>
      </c>
      <c r="M411" s="40" t="str">
        <f t="shared" si="24"/>
        <v>Not Survived</v>
      </c>
      <c r="N411" s="37" t="str">
        <f>_xlfn.XLOOKUP(L411,notes!$B$28:$B$30,notes!$C$28:$C$30,"Unknown",-1)</f>
        <v>Large Family</v>
      </c>
      <c r="O411" s="37">
        <v>4133</v>
      </c>
      <c r="P411" s="37">
        <v>25.4667</v>
      </c>
      <c r="Q411" s="37" t="str">
        <f t="shared" si="27"/>
        <v>Mid</v>
      </c>
      <c r="R411" s="37" t="s">
        <v>1236</v>
      </c>
      <c r="S411" s="37" t="s">
        <v>15</v>
      </c>
      <c r="T411" s="41" t="str">
        <f t="shared" si="25"/>
        <v>Southampton</v>
      </c>
    </row>
    <row r="412" spans="1:20">
      <c r="A412" s="37">
        <v>411</v>
      </c>
      <c r="B412" s="37">
        <v>0</v>
      </c>
      <c r="C412" s="37">
        <v>3</v>
      </c>
      <c r="D412" s="37" t="s">
        <v>1971</v>
      </c>
      <c r="E412" s="37" t="s">
        <v>1972</v>
      </c>
      <c r="F412" s="37" t="s">
        <v>1235</v>
      </c>
      <c r="G412" s="37" t="str">
        <f>_xlfn.XLOOKUP(F412,notes!$B$12:$B$18,notes!$C$12:$C$18,"Unknown")</f>
        <v>Male</v>
      </c>
      <c r="H412" s="38" t="s">
        <v>1236</v>
      </c>
      <c r="I412" s="39" t="str">
        <f>_xlfn.XLOOKUP(H412,notes!$B$4:$B$8,notes!$C$4:$C$8,"Invalid",-1)</f>
        <v>Unknown</v>
      </c>
      <c r="J412" s="37">
        <v>0</v>
      </c>
      <c r="K412" s="37">
        <v>0</v>
      </c>
      <c r="L412" s="37">
        <f t="shared" si="26"/>
        <v>1</v>
      </c>
      <c r="M412" s="40" t="str">
        <f t="shared" si="24"/>
        <v>Not Survived</v>
      </c>
      <c r="N412" s="37" t="str">
        <f>_xlfn.XLOOKUP(L412,notes!$B$28:$B$30,notes!$C$28:$C$30,"Unknown",-1)</f>
        <v>Alone</v>
      </c>
      <c r="O412" s="37">
        <v>349222</v>
      </c>
      <c r="P412" s="37">
        <v>7.8958</v>
      </c>
      <c r="Q412" s="37" t="str">
        <f t="shared" si="27"/>
        <v>Low</v>
      </c>
      <c r="R412" s="37" t="s">
        <v>1236</v>
      </c>
      <c r="S412" s="37" t="s">
        <v>15</v>
      </c>
      <c r="T412" s="41" t="str">
        <f t="shared" si="25"/>
        <v>Southampton</v>
      </c>
    </row>
    <row r="413" spans="1:20">
      <c r="A413" s="37">
        <v>412</v>
      </c>
      <c r="B413" s="37">
        <v>0</v>
      </c>
      <c r="C413" s="37">
        <v>3</v>
      </c>
      <c r="D413" s="37" t="s">
        <v>1815</v>
      </c>
      <c r="E413" s="37" t="s">
        <v>1630</v>
      </c>
      <c r="F413" s="37" t="s">
        <v>1235</v>
      </c>
      <c r="G413" s="37" t="str">
        <f>_xlfn.XLOOKUP(F413,notes!$B$12:$B$18,notes!$C$12:$C$18,"Unknown")</f>
        <v>Male</v>
      </c>
      <c r="H413" s="38" t="s">
        <v>1236</v>
      </c>
      <c r="I413" s="39" t="str">
        <f>_xlfn.XLOOKUP(H413,notes!$B$4:$B$8,notes!$C$4:$C$8,"Invalid",-1)</f>
        <v>Unknown</v>
      </c>
      <c r="J413" s="37">
        <v>0</v>
      </c>
      <c r="K413" s="37">
        <v>0</v>
      </c>
      <c r="L413" s="37">
        <f t="shared" si="26"/>
        <v>1</v>
      </c>
      <c r="M413" s="40" t="str">
        <f t="shared" si="24"/>
        <v>Not Survived</v>
      </c>
      <c r="N413" s="37" t="str">
        <f>_xlfn.XLOOKUP(L413,notes!$B$28:$B$30,notes!$C$28:$C$30,"Unknown",-1)</f>
        <v>Alone</v>
      </c>
      <c r="O413" s="37">
        <v>394140</v>
      </c>
      <c r="P413" s="37">
        <v>6.8583</v>
      </c>
      <c r="Q413" s="37" t="str">
        <f t="shared" si="27"/>
        <v>Low</v>
      </c>
      <c r="R413" s="37" t="s">
        <v>1236</v>
      </c>
      <c r="S413" s="37" t="s">
        <v>28</v>
      </c>
      <c r="T413" s="41" t="str">
        <f t="shared" si="25"/>
        <v>Queenstown</v>
      </c>
    </row>
    <row r="414" spans="1:20">
      <c r="A414" s="37">
        <v>413</v>
      </c>
      <c r="B414" s="37">
        <v>1</v>
      </c>
      <c r="C414" s="37">
        <v>1</v>
      </c>
      <c r="D414" s="37" t="s">
        <v>1693</v>
      </c>
      <c r="E414" s="37" t="s">
        <v>1973</v>
      </c>
      <c r="F414" s="37" t="s">
        <v>1242</v>
      </c>
      <c r="G414" s="37" t="str">
        <f>_xlfn.XLOOKUP(F414,notes!$B$12:$B$18,notes!$C$12:$C$18,"Unknown")</f>
        <v>Female</v>
      </c>
      <c r="H414" s="38">
        <v>33</v>
      </c>
      <c r="I414" s="39" t="str">
        <f>_xlfn.XLOOKUP(H414,notes!$B$4:$B$8,notes!$C$4:$C$8,"Invalid",-1)</f>
        <v>Adult</v>
      </c>
      <c r="J414" s="37">
        <v>1</v>
      </c>
      <c r="K414" s="37">
        <v>0</v>
      </c>
      <c r="L414" s="37">
        <f t="shared" si="26"/>
        <v>2</v>
      </c>
      <c r="M414" s="40" t="str">
        <f t="shared" si="24"/>
        <v>Survived</v>
      </c>
      <c r="N414" s="37" t="str">
        <f>_xlfn.XLOOKUP(L414,notes!$B$28:$B$30,notes!$C$28:$C$30,"Unknown",-1)</f>
        <v>Small Family</v>
      </c>
      <c r="O414" s="37">
        <v>19928</v>
      </c>
      <c r="P414" s="37">
        <v>90</v>
      </c>
      <c r="Q414" s="37" t="str">
        <f t="shared" si="27"/>
        <v>High</v>
      </c>
      <c r="R414" s="37" t="s">
        <v>374</v>
      </c>
      <c r="S414" s="37" t="s">
        <v>28</v>
      </c>
      <c r="T414" s="41" t="str">
        <f t="shared" si="25"/>
        <v>Queenstown</v>
      </c>
    </row>
    <row r="415" spans="1:20">
      <c r="A415" s="37">
        <v>414</v>
      </c>
      <c r="B415" s="37">
        <v>0</v>
      </c>
      <c r="C415" s="37">
        <v>2</v>
      </c>
      <c r="D415" s="37" t="s">
        <v>1974</v>
      </c>
      <c r="E415" s="37" t="s">
        <v>1975</v>
      </c>
      <c r="F415" s="37" t="s">
        <v>1235</v>
      </c>
      <c r="G415" s="37" t="str">
        <f>_xlfn.XLOOKUP(F415,notes!$B$12:$B$18,notes!$C$12:$C$18,"Unknown")</f>
        <v>Male</v>
      </c>
      <c r="H415" s="38" t="s">
        <v>1236</v>
      </c>
      <c r="I415" s="39" t="str">
        <f>_xlfn.XLOOKUP(H415,notes!$B$4:$B$8,notes!$C$4:$C$8,"Invalid",-1)</f>
        <v>Unknown</v>
      </c>
      <c r="J415" s="37">
        <v>0</v>
      </c>
      <c r="K415" s="37">
        <v>0</v>
      </c>
      <c r="L415" s="37">
        <f t="shared" si="26"/>
        <v>1</v>
      </c>
      <c r="M415" s="40" t="str">
        <f t="shared" si="24"/>
        <v>Not Survived</v>
      </c>
      <c r="N415" s="37" t="str">
        <f>_xlfn.XLOOKUP(L415,notes!$B$28:$B$30,notes!$C$28:$C$30,"Unknown",-1)</f>
        <v>Alone</v>
      </c>
      <c r="O415" s="37">
        <v>239853</v>
      </c>
      <c r="P415" s="37">
        <v>0</v>
      </c>
      <c r="Q415" s="37" t="str">
        <f t="shared" si="27"/>
        <v>Low</v>
      </c>
      <c r="R415" s="37" t="s">
        <v>1236</v>
      </c>
      <c r="S415" s="37" t="s">
        <v>15</v>
      </c>
      <c r="T415" s="41" t="str">
        <f t="shared" si="25"/>
        <v>Southampton</v>
      </c>
    </row>
    <row r="416" spans="1:20">
      <c r="A416" s="37">
        <v>415</v>
      </c>
      <c r="B416" s="37">
        <v>1</v>
      </c>
      <c r="C416" s="37">
        <v>3</v>
      </c>
      <c r="D416" s="37" t="s">
        <v>1976</v>
      </c>
      <c r="E416" s="37" t="s">
        <v>1977</v>
      </c>
      <c r="F416" s="37" t="s">
        <v>1235</v>
      </c>
      <c r="G416" s="37" t="str">
        <f>_xlfn.XLOOKUP(F416,notes!$B$12:$B$18,notes!$C$12:$C$18,"Unknown")</f>
        <v>Male</v>
      </c>
      <c r="H416" s="38">
        <v>44</v>
      </c>
      <c r="I416" s="39" t="str">
        <f>_xlfn.XLOOKUP(H416,notes!$B$4:$B$8,notes!$C$4:$C$8,"Invalid",-1)</f>
        <v>Adult</v>
      </c>
      <c r="J416" s="37">
        <v>0</v>
      </c>
      <c r="K416" s="37">
        <v>0</v>
      </c>
      <c r="L416" s="37">
        <f t="shared" si="26"/>
        <v>1</v>
      </c>
      <c r="M416" s="40" t="str">
        <f t="shared" si="24"/>
        <v>Survived</v>
      </c>
      <c r="N416" s="37" t="str">
        <f>_xlfn.XLOOKUP(L416,notes!$B$28:$B$30,notes!$C$28:$C$30,"Unknown",-1)</f>
        <v>Alone</v>
      </c>
      <c r="O416" s="37" t="s">
        <v>605</v>
      </c>
      <c r="P416" s="37">
        <v>7.925</v>
      </c>
      <c r="Q416" s="37" t="str">
        <f t="shared" si="27"/>
        <v>Low</v>
      </c>
      <c r="R416" s="37" t="s">
        <v>1236</v>
      </c>
      <c r="S416" s="37" t="s">
        <v>15</v>
      </c>
      <c r="T416" s="41" t="str">
        <f t="shared" si="25"/>
        <v>Southampton</v>
      </c>
    </row>
    <row r="417" spans="1:20">
      <c r="A417" s="37">
        <v>416</v>
      </c>
      <c r="B417" s="37">
        <v>0</v>
      </c>
      <c r="C417" s="37">
        <v>3</v>
      </c>
      <c r="D417" s="37" t="s">
        <v>1978</v>
      </c>
      <c r="E417" s="37" t="s">
        <v>1979</v>
      </c>
      <c r="F417" s="37" t="s">
        <v>1239</v>
      </c>
      <c r="G417" s="37" t="str">
        <f>_xlfn.XLOOKUP(F417,notes!$B$12:$B$18,notes!$C$12:$C$18,"Unknown")</f>
        <v>Female</v>
      </c>
      <c r="H417" s="38" t="s">
        <v>1236</v>
      </c>
      <c r="I417" s="39" t="str">
        <f>_xlfn.XLOOKUP(H417,notes!$B$4:$B$8,notes!$C$4:$C$8,"Invalid",-1)</f>
        <v>Unknown</v>
      </c>
      <c r="J417" s="37">
        <v>0</v>
      </c>
      <c r="K417" s="37">
        <v>0</v>
      </c>
      <c r="L417" s="37">
        <f t="shared" si="26"/>
        <v>1</v>
      </c>
      <c r="M417" s="40" t="str">
        <f t="shared" si="24"/>
        <v>Not Survived</v>
      </c>
      <c r="N417" s="37" t="str">
        <f>_xlfn.XLOOKUP(L417,notes!$B$28:$B$30,notes!$C$28:$C$30,"Unknown",-1)</f>
        <v>Alone</v>
      </c>
      <c r="O417" s="37">
        <v>343095</v>
      </c>
      <c r="P417" s="37">
        <v>8.05</v>
      </c>
      <c r="Q417" s="37" t="str">
        <f t="shared" si="27"/>
        <v>Low</v>
      </c>
      <c r="R417" s="37" t="s">
        <v>1236</v>
      </c>
      <c r="S417" s="37" t="s">
        <v>15</v>
      </c>
      <c r="T417" s="41" t="str">
        <f t="shared" si="25"/>
        <v>Southampton</v>
      </c>
    </row>
    <row r="418" spans="1:20">
      <c r="A418" s="37">
        <v>417</v>
      </c>
      <c r="B418" s="37">
        <v>1</v>
      </c>
      <c r="C418" s="37">
        <v>2</v>
      </c>
      <c r="D418" s="37" t="s">
        <v>1980</v>
      </c>
      <c r="E418" s="37" t="s">
        <v>1981</v>
      </c>
      <c r="F418" s="37" t="s">
        <v>1239</v>
      </c>
      <c r="G418" s="37" t="str">
        <f>_xlfn.XLOOKUP(F418,notes!$B$12:$B$18,notes!$C$12:$C$18,"Unknown")</f>
        <v>Female</v>
      </c>
      <c r="H418" s="38">
        <v>34</v>
      </c>
      <c r="I418" s="39" t="str">
        <f>_xlfn.XLOOKUP(H418,notes!$B$4:$B$8,notes!$C$4:$C$8,"Invalid",-1)</f>
        <v>Adult</v>
      </c>
      <c r="J418" s="37">
        <v>1</v>
      </c>
      <c r="K418" s="37">
        <v>1</v>
      </c>
      <c r="L418" s="37">
        <f t="shared" si="26"/>
        <v>3</v>
      </c>
      <c r="M418" s="40" t="str">
        <f t="shared" si="24"/>
        <v>Survived</v>
      </c>
      <c r="N418" s="37" t="str">
        <f>_xlfn.XLOOKUP(L418,notes!$B$28:$B$30,notes!$C$28:$C$30,"Unknown",-1)</f>
        <v>Small Family</v>
      </c>
      <c r="O418" s="37">
        <v>28220</v>
      </c>
      <c r="P418" s="37">
        <v>32.5</v>
      </c>
      <c r="Q418" s="37" t="str">
        <f t="shared" si="27"/>
        <v>Mid</v>
      </c>
      <c r="R418" s="37" t="s">
        <v>1236</v>
      </c>
      <c r="S418" s="37" t="s">
        <v>15</v>
      </c>
      <c r="T418" s="41" t="str">
        <f t="shared" si="25"/>
        <v>Southampton</v>
      </c>
    </row>
    <row r="419" spans="1:20">
      <c r="A419" s="37">
        <v>418</v>
      </c>
      <c r="B419" s="37">
        <v>1</v>
      </c>
      <c r="C419" s="37">
        <v>2</v>
      </c>
      <c r="D419" s="37" t="s">
        <v>1982</v>
      </c>
      <c r="E419" s="37" t="s">
        <v>1983</v>
      </c>
      <c r="F419" s="37" t="s">
        <v>1242</v>
      </c>
      <c r="G419" s="37" t="str">
        <f>_xlfn.XLOOKUP(F419,notes!$B$12:$B$18,notes!$C$12:$C$18,"Unknown")</f>
        <v>Female</v>
      </c>
      <c r="H419" s="38">
        <v>18</v>
      </c>
      <c r="I419" s="39" t="str">
        <f>_xlfn.XLOOKUP(H419,notes!$B$4:$B$8,notes!$C$4:$C$8,"Invalid",-1)</f>
        <v>Teenager</v>
      </c>
      <c r="J419" s="37">
        <v>0</v>
      </c>
      <c r="K419" s="37">
        <v>2</v>
      </c>
      <c r="L419" s="37">
        <f t="shared" si="26"/>
        <v>3</v>
      </c>
      <c r="M419" s="40" t="str">
        <f t="shared" si="24"/>
        <v>Survived</v>
      </c>
      <c r="N419" s="37" t="str">
        <f>_xlfn.XLOOKUP(L419,notes!$B$28:$B$30,notes!$C$28:$C$30,"Unknown",-1)</f>
        <v>Small Family</v>
      </c>
      <c r="O419" s="37">
        <v>250652</v>
      </c>
      <c r="P419" s="37">
        <v>13</v>
      </c>
      <c r="Q419" s="37" t="str">
        <f t="shared" si="27"/>
        <v>Mid</v>
      </c>
      <c r="R419" s="37" t="s">
        <v>1236</v>
      </c>
      <c r="S419" s="37" t="s">
        <v>15</v>
      </c>
      <c r="T419" s="41" t="str">
        <f t="shared" si="25"/>
        <v>Southampton</v>
      </c>
    </row>
    <row r="420" spans="1:20">
      <c r="A420" s="37">
        <v>419</v>
      </c>
      <c r="B420" s="37">
        <v>0</v>
      </c>
      <c r="C420" s="37">
        <v>2</v>
      </c>
      <c r="D420" s="37" t="s">
        <v>1984</v>
      </c>
      <c r="E420" s="37" t="s">
        <v>1327</v>
      </c>
      <c r="F420" s="37" t="s">
        <v>1235</v>
      </c>
      <c r="G420" s="37" t="str">
        <f>_xlfn.XLOOKUP(F420,notes!$B$12:$B$18,notes!$C$12:$C$18,"Unknown")</f>
        <v>Male</v>
      </c>
      <c r="H420" s="38">
        <v>30</v>
      </c>
      <c r="I420" s="39" t="str">
        <f>_xlfn.XLOOKUP(H420,notes!$B$4:$B$8,notes!$C$4:$C$8,"Invalid",-1)</f>
        <v>Adult</v>
      </c>
      <c r="J420" s="37">
        <v>0</v>
      </c>
      <c r="K420" s="37">
        <v>0</v>
      </c>
      <c r="L420" s="37">
        <f t="shared" si="26"/>
        <v>1</v>
      </c>
      <c r="M420" s="40" t="str">
        <f t="shared" si="24"/>
        <v>Not Survived</v>
      </c>
      <c r="N420" s="37" t="str">
        <f>_xlfn.XLOOKUP(L420,notes!$B$28:$B$30,notes!$C$28:$C$30,"Unknown",-1)</f>
        <v>Alone</v>
      </c>
      <c r="O420" s="37">
        <v>28228</v>
      </c>
      <c r="P420" s="37">
        <v>13</v>
      </c>
      <c r="Q420" s="37" t="str">
        <f t="shared" si="27"/>
        <v>Mid</v>
      </c>
      <c r="R420" s="37" t="s">
        <v>1236</v>
      </c>
      <c r="S420" s="37" t="s">
        <v>15</v>
      </c>
      <c r="T420" s="41" t="str">
        <f t="shared" si="25"/>
        <v>Southampton</v>
      </c>
    </row>
    <row r="421" spans="1:20">
      <c r="A421" s="37">
        <v>420</v>
      </c>
      <c r="B421" s="37">
        <v>0</v>
      </c>
      <c r="C421" s="37">
        <v>3</v>
      </c>
      <c r="D421" s="37" t="s">
        <v>1985</v>
      </c>
      <c r="E421" s="37" t="s">
        <v>1986</v>
      </c>
      <c r="F421" s="37" t="s">
        <v>1242</v>
      </c>
      <c r="G421" s="37" t="str">
        <f>_xlfn.XLOOKUP(F421,notes!$B$12:$B$18,notes!$C$12:$C$18,"Unknown")</f>
        <v>Female</v>
      </c>
      <c r="H421" s="38">
        <v>10</v>
      </c>
      <c r="I421" s="39" t="str">
        <f>_xlfn.XLOOKUP(H421,notes!$B$4:$B$8,notes!$C$4:$C$8,"Invalid",-1)</f>
        <v>Kid</v>
      </c>
      <c r="J421" s="37">
        <v>0</v>
      </c>
      <c r="K421" s="37">
        <v>2</v>
      </c>
      <c r="L421" s="37">
        <f t="shared" si="26"/>
        <v>3</v>
      </c>
      <c r="M421" s="40" t="str">
        <f t="shared" si="24"/>
        <v>Not Survived</v>
      </c>
      <c r="N421" s="37" t="str">
        <f>_xlfn.XLOOKUP(L421,notes!$B$28:$B$30,notes!$C$28:$C$30,"Unknown",-1)</f>
        <v>Small Family</v>
      </c>
      <c r="O421" s="37">
        <v>345773</v>
      </c>
      <c r="P421" s="37">
        <v>24.15</v>
      </c>
      <c r="Q421" s="37" t="str">
        <f t="shared" si="27"/>
        <v>Mid</v>
      </c>
      <c r="R421" s="37" t="s">
        <v>1236</v>
      </c>
      <c r="S421" s="37" t="s">
        <v>15</v>
      </c>
      <c r="T421" s="41" t="str">
        <f t="shared" si="25"/>
        <v>Southampton</v>
      </c>
    </row>
    <row r="422" spans="1:20">
      <c r="A422" s="37">
        <v>421</v>
      </c>
      <c r="B422" s="37">
        <v>0</v>
      </c>
      <c r="C422" s="37">
        <v>3</v>
      </c>
      <c r="D422" s="37" t="s">
        <v>1987</v>
      </c>
      <c r="E422" s="37" t="s">
        <v>1988</v>
      </c>
      <c r="F422" s="37" t="s">
        <v>1235</v>
      </c>
      <c r="G422" s="37" t="str">
        <f>_xlfn.XLOOKUP(F422,notes!$B$12:$B$18,notes!$C$12:$C$18,"Unknown")</f>
        <v>Male</v>
      </c>
      <c r="H422" s="38" t="s">
        <v>1236</v>
      </c>
      <c r="I422" s="39" t="str">
        <f>_xlfn.XLOOKUP(H422,notes!$B$4:$B$8,notes!$C$4:$C$8,"Invalid",-1)</f>
        <v>Unknown</v>
      </c>
      <c r="J422" s="37">
        <v>0</v>
      </c>
      <c r="K422" s="37">
        <v>0</v>
      </c>
      <c r="L422" s="37">
        <f t="shared" si="26"/>
        <v>1</v>
      </c>
      <c r="M422" s="40" t="str">
        <f t="shared" si="24"/>
        <v>Not Survived</v>
      </c>
      <c r="N422" s="37" t="str">
        <f>_xlfn.XLOOKUP(L422,notes!$B$28:$B$30,notes!$C$28:$C$30,"Unknown",-1)</f>
        <v>Alone</v>
      </c>
      <c r="O422" s="37">
        <v>349254</v>
      </c>
      <c r="P422" s="37">
        <v>7.8958</v>
      </c>
      <c r="Q422" s="37" t="str">
        <f t="shared" si="27"/>
        <v>Low</v>
      </c>
      <c r="R422" s="37" t="s">
        <v>1236</v>
      </c>
      <c r="S422" s="37" t="s">
        <v>20</v>
      </c>
      <c r="T422" s="41" t="str">
        <f t="shared" si="25"/>
        <v>Cherbourg</v>
      </c>
    </row>
    <row r="423" spans="1:20">
      <c r="A423" s="37">
        <v>422</v>
      </c>
      <c r="B423" s="37">
        <v>0</v>
      </c>
      <c r="C423" s="37">
        <v>3</v>
      </c>
      <c r="D423" s="37" t="s">
        <v>1989</v>
      </c>
      <c r="E423" s="37" t="s">
        <v>1729</v>
      </c>
      <c r="F423" s="37" t="s">
        <v>1235</v>
      </c>
      <c r="G423" s="37" t="str">
        <f>_xlfn.XLOOKUP(F423,notes!$B$12:$B$18,notes!$C$12:$C$18,"Unknown")</f>
        <v>Male</v>
      </c>
      <c r="H423" s="38">
        <v>21</v>
      </c>
      <c r="I423" s="39" t="str">
        <f>_xlfn.XLOOKUP(H423,notes!$B$4:$B$8,notes!$C$4:$C$8,"Invalid",-1)</f>
        <v>Adult</v>
      </c>
      <c r="J423" s="37">
        <v>0</v>
      </c>
      <c r="K423" s="37">
        <v>0</v>
      </c>
      <c r="L423" s="37">
        <f t="shared" si="26"/>
        <v>1</v>
      </c>
      <c r="M423" s="40" t="str">
        <f t="shared" si="24"/>
        <v>Not Survived</v>
      </c>
      <c r="N423" s="37" t="str">
        <f>_xlfn.XLOOKUP(L423,notes!$B$28:$B$30,notes!$C$28:$C$30,"Unknown",-1)</f>
        <v>Alone</v>
      </c>
      <c r="O423" s="37" t="s">
        <v>613</v>
      </c>
      <c r="P423" s="37">
        <v>7.7333</v>
      </c>
      <c r="Q423" s="37" t="str">
        <f t="shared" si="27"/>
        <v>Low</v>
      </c>
      <c r="R423" s="37" t="s">
        <v>1236</v>
      </c>
      <c r="S423" s="37" t="s">
        <v>28</v>
      </c>
      <c r="T423" s="41" t="str">
        <f t="shared" si="25"/>
        <v>Queenstown</v>
      </c>
    </row>
    <row r="424" spans="1:20">
      <c r="A424" s="37">
        <v>423</v>
      </c>
      <c r="B424" s="37">
        <v>0</v>
      </c>
      <c r="C424" s="37">
        <v>3</v>
      </c>
      <c r="D424" s="37" t="s">
        <v>1990</v>
      </c>
      <c r="E424" s="37" t="s">
        <v>1991</v>
      </c>
      <c r="F424" s="37" t="s">
        <v>1235</v>
      </c>
      <c r="G424" s="37" t="str">
        <f>_xlfn.XLOOKUP(F424,notes!$B$12:$B$18,notes!$C$12:$C$18,"Unknown")</f>
        <v>Male</v>
      </c>
      <c r="H424" s="38">
        <v>29</v>
      </c>
      <c r="I424" s="39" t="str">
        <f>_xlfn.XLOOKUP(H424,notes!$B$4:$B$8,notes!$C$4:$C$8,"Invalid",-1)</f>
        <v>Adult</v>
      </c>
      <c r="J424" s="37">
        <v>0</v>
      </c>
      <c r="K424" s="37">
        <v>0</v>
      </c>
      <c r="L424" s="37">
        <f t="shared" si="26"/>
        <v>1</v>
      </c>
      <c r="M424" s="40" t="str">
        <f t="shared" si="24"/>
        <v>Not Survived</v>
      </c>
      <c r="N424" s="37" t="str">
        <f>_xlfn.XLOOKUP(L424,notes!$B$28:$B$30,notes!$C$28:$C$30,"Unknown",-1)</f>
        <v>Alone</v>
      </c>
      <c r="O424" s="37">
        <v>315082</v>
      </c>
      <c r="P424" s="37">
        <v>7.875</v>
      </c>
      <c r="Q424" s="37" t="str">
        <f t="shared" si="27"/>
        <v>Low</v>
      </c>
      <c r="R424" s="37" t="s">
        <v>1236</v>
      </c>
      <c r="S424" s="37" t="s">
        <v>15</v>
      </c>
      <c r="T424" s="41" t="str">
        <f t="shared" si="25"/>
        <v>Southampton</v>
      </c>
    </row>
    <row r="425" spans="1:20">
      <c r="A425" s="37">
        <v>424</v>
      </c>
      <c r="B425" s="37">
        <v>0</v>
      </c>
      <c r="C425" s="37">
        <v>3</v>
      </c>
      <c r="D425" s="37" t="s">
        <v>1992</v>
      </c>
      <c r="E425" s="37" t="s">
        <v>1993</v>
      </c>
      <c r="F425" s="37" t="s">
        <v>1239</v>
      </c>
      <c r="G425" s="37" t="str">
        <f>_xlfn.XLOOKUP(F425,notes!$B$12:$B$18,notes!$C$12:$C$18,"Unknown")</f>
        <v>Female</v>
      </c>
      <c r="H425" s="38">
        <v>28</v>
      </c>
      <c r="I425" s="39" t="str">
        <f>_xlfn.XLOOKUP(H425,notes!$B$4:$B$8,notes!$C$4:$C$8,"Invalid",-1)</f>
        <v>Adult</v>
      </c>
      <c r="J425" s="37">
        <v>1</v>
      </c>
      <c r="K425" s="37">
        <v>1</v>
      </c>
      <c r="L425" s="37">
        <f t="shared" si="26"/>
        <v>3</v>
      </c>
      <c r="M425" s="40" t="str">
        <f t="shared" si="24"/>
        <v>Not Survived</v>
      </c>
      <c r="N425" s="37" t="str">
        <f>_xlfn.XLOOKUP(L425,notes!$B$28:$B$30,notes!$C$28:$C$30,"Unknown",-1)</f>
        <v>Small Family</v>
      </c>
      <c r="O425" s="37">
        <v>347080</v>
      </c>
      <c r="P425" s="37">
        <v>14.4</v>
      </c>
      <c r="Q425" s="37" t="str">
        <f t="shared" si="27"/>
        <v>Mid</v>
      </c>
      <c r="R425" s="37" t="s">
        <v>1236</v>
      </c>
      <c r="S425" s="37" t="s">
        <v>15</v>
      </c>
      <c r="T425" s="41" t="str">
        <f t="shared" si="25"/>
        <v>Southampton</v>
      </c>
    </row>
    <row r="426" spans="1:20">
      <c r="A426" s="37">
        <v>425</v>
      </c>
      <c r="B426" s="37">
        <v>0</v>
      </c>
      <c r="C426" s="37">
        <v>3</v>
      </c>
      <c r="D426" s="37" t="s">
        <v>1711</v>
      </c>
      <c r="E426" s="37" t="s">
        <v>1994</v>
      </c>
      <c r="F426" s="37" t="s">
        <v>1235</v>
      </c>
      <c r="G426" s="37" t="str">
        <f>_xlfn.XLOOKUP(F426,notes!$B$12:$B$18,notes!$C$12:$C$18,"Unknown")</f>
        <v>Male</v>
      </c>
      <c r="H426" s="38">
        <v>18</v>
      </c>
      <c r="I426" s="39" t="str">
        <f>_xlfn.XLOOKUP(H426,notes!$B$4:$B$8,notes!$C$4:$C$8,"Invalid",-1)</f>
        <v>Teenager</v>
      </c>
      <c r="J426" s="37">
        <v>1</v>
      </c>
      <c r="K426" s="37">
        <v>1</v>
      </c>
      <c r="L426" s="37">
        <f t="shared" si="26"/>
        <v>3</v>
      </c>
      <c r="M426" s="40" t="str">
        <f t="shared" si="24"/>
        <v>Not Survived</v>
      </c>
      <c r="N426" s="37" t="str">
        <f>_xlfn.XLOOKUP(L426,notes!$B$28:$B$30,notes!$C$28:$C$30,"Unknown",-1)</f>
        <v>Small Family</v>
      </c>
      <c r="O426" s="37">
        <v>370129</v>
      </c>
      <c r="P426" s="37">
        <v>20.2125</v>
      </c>
      <c r="Q426" s="37" t="str">
        <f t="shared" si="27"/>
        <v>Mid</v>
      </c>
      <c r="R426" s="37" t="s">
        <v>1236</v>
      </c>
      <c r="S426" s="37" t="s">
        <v>15</v>
      </c>
      <c r="T426" s="41" t="str">
        <f t="shared" si="25"/>
        <v>Southampton</v>
      </c>
    </row>
    <row r="427" spans="1:20">
      <c r="A427" s="37">
        <v>426</v>
      </c>
      <c r="B427" s="37">
        <v>0</v>
      </c>
      <c r="C427" s="37">
        <v>3</v>
      </c>
      <c r="D427" s="37" t="s">
        <v>1995</v>
      </c>
      <c r="E427" s="37" t="s">
        <v>1996</v>
      </c>
      <c r="F427" s="37" t="s">
        <v>1235</v>
      </c>
      <c r="G427" s="37" t="str">
        <f>_xlfn.XLOOKUP(F427,notes!$B$12:$B$18,notes!$C$12:$C$18,"Unknown")</f>
        <v>Male</v>
      </c>
      <c r="H427" s="38" t="s">
        <v>1236</v>
      </c>
      <c r="I427" s="39" t="str">
        <f>_xlfn.XLOOKUP(H427,notes!$B$4:$B$8,notes!$C$4:$C$8,"Invalid",-1)</f>
        <v>Unknown</v>
      </c>
      <c r="J427" s="37">
        <v>0</v>
      </c>
      <c r="K427" s="37">
        <v>0</v>
      </c>
      <c r="L427" s="37">
        <f t="shared" si="26"/>
        <v>1</v>
      </c>
      <c r="M427" s="40" t="str">
        <f t="shared" si="24"/>
        <v>Not Survived</v>
      </c>
      <c r="N427" s="37" t="str">
        <f>_xlfn.XLOOKUP(L427,notes!$B$28:$B$30,notes!$C$28:$C$30,"Unknown",-1)</f>
        <v>Alone</v>
      </c>
      <c r="O427" s="37" t="s">
        <v>618</v>
      </c>
      <c r="P427" s="37">
        <v>7.25</v>
      </c>
      <c r="Q427" s="37" t="str">
        <f t="shared" si="27"/>
        <v>Low</v>
      </c>
      <c r="R427" s="37" t="s">
        <v>1236</v>
      </c>
      <c r="S427" s="37" t="s">
        <v>15</v>
      </c>
      <c r="T427" s="41" t="str">
        <f t="shared" si="25"/>
        <v>Southampton</v>
      </c>
    </row>
    <row r="428" spans="1:20">
      <c r="A428" s="37">
        <v>427</v>
      </c>
      <c r="B428" s="37">
        <v>1</v>
      </c>
      <c r="C428" s="37">
        <v>2</v>
      </c>
      <c r="D428" s="37" t="s">
        <v>1997</v>
      </c>
      <c r="E428" s="37" t="s">
        <v>1998</v>
      </c>
      <c r="F428" s="37" t="s">
        <v>1239</v>
      </c>
      <c r="G428" s="37" t="str">
        <f>_xlfn.XLOOKUP(F428,notes!$B$12:$B$18,notes!$C$12:$C$18,"Unknown")</f>
        <v>Female</v>
      </c>
      <c r="H428" s="38">
        <v>28</v>
      </c>
      <c r="I428" s="39" t="str">
        <f>_xlfn.XLOOKUP(H428,notes!$B$4:$B$8,notes!$C$4:$C$8,"Invalid",-1)</f>
        <v>Adult</v>
      </c>
      <c r="J428" s="37">
        <v>1</v>
      </c>
      <c r="K428" s="37">
        <v>0</v>
      </c>
      <c r="L428" s="37">
        <f t="shared" si="26"/>
        <v>2</v>
      </c>
      <c r="M428" s="40" t="str">
        <f t="shared" si="24"/>
        <v>Survived</v>
      </c>
      <c r="N428" s="37" t="str">
        <f>_xlfn.XLOOKUP(L428,notes!$B$28:$B$30,notes!$C$28:$C$30,"Unknown",-1)</f>
        <v>Small Family</v>
      </c>
      <c r="O428" s="37">
        <v>2003</v>
      </c>
      <c r="P428" s="37">
        <v>26</v>
      </c>
      <c r="Q428" s="37" t="str">
        <f t="shared" si="27"/>
        <v>Mid</v>
      </c>
      <c r="R428" s="37" t="s">
        <v>1236</v>
      </c>
      <c r="S428" s="37" t="s">
        <v>15</v>
      </c>
      <c r="T428" s="41" t="str">
        <f t="shared" si="25"/>
        <v>Southampton</v>
      </c>
    </row>
    <row r="429" spans="1:20">
      <c r="A429" s="37">
        <v>428</v>
      </c>
      <c r="B429" s="37">
        <v>1</v>
      </c>
      <c r="C429" s="37">
        <v>2</v>
      </c>
      <c r="D429" s="37" t="s">
        <v>1999</v>
      </c>
      <c r="E429" s="37" t="s">
        <v>2000</v>
      </c>
      <c r="F429" s="37" t="s">
        <v>1242</v>
      </c>
      <c r="G429" s="37" t="str">
        <f>_xlfn.XLOOKUP(F429,notes!$B$12:$B$18,notes!$C$12:$C$18,"Unknown")</f>
        <v>Female</v>
      </c>
      <c r="H429" s="38">
        <v>19</v>
      </c>
      <c r="I429" s="39" t="str">
        <f>_xlfn.XLOOKUP(H429,notes!$B$4:$B$8,notes!$C$4:$C$8,"Invalid",-1)</f>
        <v>Teenager</v>
      </c>
      <c r="J429" s="37">
        <v>0</v>
      </c>
      <c r="K429" s="37">
        <v>0</v>
      </c>
      <c r="L429" s="37">
        <f t="shared" si="26"/>
        <v>1</v>
      </c>
      <c r="M429" s="40" t="str">
        <f t="shared" si="24"/>
        <v>Survived</v>
      </c>
      <c r="N429" s="37" t="str">
        <f>_xlfn.XLOOKUP(L429,notes!$B$28:$B$30,notes!$C$28:$C$30,"Unknown",-1)</f>
        <v>Alone</v>
      </c>
      <c r="O429" s="37">
        <v>250655</v>
      </c>
      <c r="P429" s="37">
        <v>26</v>
      </c>
      <c r="Q429" s="37" t="str">
        <f t="shared" si="27"/>
        <v>Mid</v>
      </c>
      <c r="R429" s="37" t="s">
        <v>1236</v>
      </c>
      <c r="S429" s="37" t="s">
        <v>15</v>
      </c>
      <c r="T429" s="41" t="str">
        <f t="shared" si="25"/>
        <v>Southampton</v>
      </c>
    </row>
    <row r="430" spans="1:20">
      <c r="A430" s="37">
        <v>429</v>
      </c>
      <c r="B430" s="37">
        <v>0</v>
      </c>
      <c r="C430" s="37">
        <v>3</v>
      </c>
      <c r="D430" s="37" t="s">
        <v>2001</v>
      </c>
      <c r="E430" s="37" t="s">
        <v>1248</v>
      </c>
      <c r="F430" s="37" t="s">
        <v>1235</v>
      </c>
      <c r="G430" s="37" t="str">
        <f>_xlfn.XLOOKUP(F430,notes!$B$12:$B$18,notes!$C$12:$C$18,"Unknown")</f>
        <v>Male</v>
      </c>
      <c r="H430" s="38" t="s">
        <v>1236</v>
      </c>
      <c r="I430" s="39" t="str">
        <f>_xlfn.XLOOKUP(H430,notes!$B$4:$B$8,notes!$C$4:$C$8,"Invalid",-1)</f>
        <v>Unknown</v>
      </c>
      <c r="J430" s="37">
        <v>0</v>
      </c>
      <c r="K430" s="37">
        <v>0</v>
      </c>
      <c r="L430" s="37">
        <f t="shared" si="26"/>
        <v>1</v>
      </c>
      <c r="M430" s="40" t="str">
        <f t="shared" si="24"/>
        <v>Not Survived</v>
      </c>
      <c r="N430" s="37" t="str">
        <f>_xlfn.XLOOKUP(L430,notes!$B$28:$B$30,notes!$C$28:$C$30,"Unknown",-1)</f>
        <v>Alone</v>
      </c>
      <c r="O430" s="37">
        <v>364851</v>
      </c>
      <c r="P430" s="37">
        <v>7.75</v>
      </c>
      <c r="Q430" s="37" t="str">
        <f t="shared" si="27"/>
        <v>Low</v>
      </c>
      <c r="R430" s="37" t="s">
        <v>1236</v>
      </c>
      <c r="S430" s="37" t="s">
        <v>28</v>
      </c>
      <c r="T430" s="41" t="str">
        <f t="shared" si="25"/>
        <v>Queenstown</v>
      </c>
    </row>
    <row r="431" spans="1:20">
      <c r="A431" s="37">
        <v>430</v>
      </c>
      <c r="B431" s="37">
        <v>1</v>
      </c>
      <c r="C431" s="37">
        <v>3</v>
      </c>
      <c r="D431" s="37" t="s">
        <v>2002</v>
      </c>
      <c r="E431" s="37" t="s">
        <v>2003</v>
      </c>
      <c r="F431" s="37" t="s">
        <v>1235</v>
      </c>
      <c r="G431" s="37" t="str">
        <f>_xlfn.XLOOKUP(F431,notes!$B$12:$B$18,notes!$C$12:$C$18,"Unknown")</f>
        <v>Male</v>
      </c>
      <c r="H431" s="38">
        <v>32</v>
      </c>
      <c r="I431" s="39" t="str">
        <f>_xlfn.XLOOKUP(H431,notes!$B$4:$B$8,notes!$C$4:$C$8,"Invalid",-1)</f>
        <v>Adult</v>
      </c>
      <c r="J431" s="37">
        <v>0</v>
      </c>
      <c r="K431" s="37">
        <v>0</v>
      </c>
      <c r="L431" s="37">
        <f t="shared" si="26"/>
        <v>1</v>
      </c>
      <c r="M431" s="40" t="str">
        <f t="shared" si="24"/>
        <v>Survived</v>
      </c>
      <c r="N431" s="37" t="str">
        <f>_xlfn.XLOOKUP(L431,notes!$B$28:$B$30,notes!$C$28:$C$30,"Unknown",-1)</f>
        <v>Alone</v>
      </c>
      <c r="O431" s="37" t="s">
        <v>623</v>
      </c>
      <c r="P431" s="37">
        <v>8.05</v>
      </c>
      <c r="Q431" s="37" t="str">
        <f t="shared" si="27"/>
        <v>Low</v>
      </c>
      <c r="R431" s="37" t="s">
        <v>624</v>
      </c>
      <c r="S431" s="37" t="s">
        <v>15</v>
      </c>
      <c r="T431" s="41" t="str">
        <f t="shared" si="25"/>
        <v>Southampton</v>
      </c>
    </row>
    <row r="432" spans="1:20">
      <c r="A432" s="37">
        <v>431</v>
      </c>
      <c r="B432" s="37">
        <v>1</v>
      </c>
      <c r="C432" s="37">
        <v>1</v>
      </c>
      <c r="D432" s="37" t="s">
        <v>2004</v>
      </c>
      <c r="E432" s="37" t="s">
        <v>2005</v>
      </c>
      <c r="F432" s="37" t="s">
        <v>1235</v>
      </c>
      <c r="G432" s="37" t="str">
        <f>_xlfn.XLOOKUP(F432,notes!$B$12:$B$18,notes!$C$12:$C$18,"Unknown")</f>
        <v>Male</v>
      </c>
      <c r="H432" s="38">
        <v>28</v>
      </c>
      <c r="I432" s="39" t="str">
        <f>_xlfn.XLOOKUP(H432,notes!$B$4:$B$8,notes!$C$4:$C$8,"Invalid",-1)</f>
        <v>Adult</v>
      </c>
      <c r="J432" s="37">
        <v>0</v>
      </c>
      <c r="K432" s="37">
        <v>0</v>
      </c>
      <c r="L432" s="37">
        <f t="shared" si="26"/>
        <v>1</v>
      </c>
      <c r="M432" s="40" t="str">
        <f t="shared" si="24"/>
        <v>Survived</v>
      </c>
      <c r="N432" s="37" t="str">
        <f>_xlfn.XLOOKUP(L432,notes!$B$28:$B$30,notes!$C$28:$C$30,"Unknown",-1)</f>
        <v>Alone</v>
      </c>
      <c r="O432" s="37">
        <v>110564</v>
      </c>
      <c r="P432" s="37">
        <v>26.55</v>
      </c>
      <c r="Q432" s="37" t="str">
        <f t="shared" si="27"/>
        <v>Mid</v>
      </c>
      <c r="R432" s="37" t="s">
        <v>99</v>
      </c>
      <c r="S432" s="37" t="s">
        <v>15</v>
      </c>
      <c r="T432" s="41" t="str">
        <f t="shared" si="25"/>
        <v>Southampton</v>
      </c>
    </row>
    <row r="433" spans="1:20">
      <c r="A433" s="37">
        <v>432</v>
      </c>
      <c r="B433" s="37">
        <v>1</v>
      </c>
      <c r="C433" s="37">
        <v>3</v>
      </c>
      <c r="D433" s="37" t="s">
        <v>2006</v>
      </c>
      <c r="E433" s="37" t="s">
        <v>2007</v>
      </c>
      <c r="F433" s="37" t="s">
        <v>1239</v>
      </c>
      <c r="G433" s="37" t="str">
        <f>_xlfn.XLOOKUP(F433,notes!$B$12:$B$18,notes!$C$12:$C$18,"Unknown")</f>
        <v>Female</v>
      </c>
      <c r="H433" s="38" t="s">
        <v>1236</v>
      </c>
      <c r="I433" s="39" t="str">
        <f>_xlfn.XLOOKUP(H433,notes!$B$4:$B$8,notes!$C$4:$C$8,"Invalid",-1)</f>
        <v>Unknown</v>
      </c>
      <c r="J433" s="37">
        <v>1</v>
      </c>
      <c r="K433" s="37">
        <v>0</v>
      </c>
      <c r="L433" s="37">
        <f t="shared" si="26"/>
        <v>2</v>
      </c>
      <c r="M433" s="40" t="str">
        <f t="shared" si="24"/>
        <v>Survived</v>
      </c>
      <c r="N433" s="37" t="str">
        <f>_xlfn.XLOOKUP(L433,notes!$B$28:$B$30,notes!$C$28:$C$30,"Unknown",-1)</f>
        <v>Small Family</v>
      </c>
      <c r="O433" s="37">
        <v>376564</v>
      </c>
      <c r="P433" s="37">
        <v>16.1</v>
      </c>
      <c r="Q433" s="37" t="str">
        <f t="shared" si="27"/>
        <v>Mid</v>
      </c>
      <c r="R433" s="37" t="s">
        <v>1236</v>
      </c>
      <c r="S433" s="37" t="s">
        <v>15</v>
      </c>
      <c r="T433" s="41" t="str">
        <f t="shared" si="25"/>
        <v>Southampton</v>
      </c>
    </row>
    <row r="434" spans="1:20">
      <c r="A434" s="37">
        <v>433</v>
      </c>
      <c r="B434" s="37">
        <v>1</v>
      </c>
      <c r="C434" s="37">
        <v>2</v>
      </c>
      <c r="D434" s="37" t="s">
        <v>2008</v>
      </c>
      <c r="E434" s="37" t="s">
        <v>2009</v>
      </c>
      <c r="F434" s="37" t="s">
        <v>1239</v>
      </c>
      <c r="G434" s="37" t="str">
        <f>_xlfn.XLOOKUP(F434,notes!$B$12:$B$18,notes!$C$12:$C$18,"Unknown")</f>
        <v>Female</v>
      </c>
      <c r="H434" s="38">
        <v>42</v>
      </c>
      <c r="I434" s="39" t="str">
        <f>_xlfn.XLOOKUP(H434,notes!$B$4:$B$8,notes!$C$4:$C$8,"Invalid",-1)</f>
        <v>Adult</v>
      </c>
      <c r="J434" s="37">
        <v>1</v>
      </c>
      <c r="K434" s="37">
        <v>0</v>
      </c>
      <c r="L434" s="37">
        <f t="shared" si="26"/>
        <v>2</v>
      </c>
      <c r="M434" s="40" t="str">
        <f t="shared" si="24"/>
        <v>Survived</v>
      </c>
      <c r="N434" s="37" t="str">
        <f>_xlfn.XLOOKUP(L434,notes!$B$28:$B$30,notes!$C$28:$C$30,"Unknown",-1)</f>
        <v>Small Family</v>
      </c>
      <c r="O434" s="37" t="s">
        <v>628</v>
      </c>
      <c r="P434" s="37">
        <v>26</v>
      </c>
      <c r="Q434" s="37" t="str">
        <f t="shared" si="27"/>
        <v>Mid</v>
      </c>
      <c r="R434" s="37" t="s">
        <v>1236</v>
      </c>
      <c r="S434" s="37" t="s">
        <v>15</v>
      </c>
      <c r="T434" s="41" t="str">
        <f t="shared" si="25"/>
        <v>Southampton</v>
      </c>
    </row>
    <row r="435" spans="1:20">
      <c r="A435" s="37">
        <v>434</v>
      </c>
      <c r="B435" s="37">
        <v>0</v>
      </c>
      <c r="C435" s="37">
        <v>3</v>
      </c>
      <c r="D435" s="37" t="s">
        <v>2010</v>
      </c>
      <c r="E435" s="37" t="s">
        <v>2011</v>
      </c>
      <c r="F435" s="37" t="s">
        <v>1235</v>
      </c>
      <c r="G435" s="37" t="str">
        <f>_xlfn.XLOOKUP(F435,notes!$B$12:$B$18,notes!$C$12:$C$18,"Unknown")</f>
        <v>Male</v>
      </c>
      <c r="H435" s="38">
        <v>17</v>
      </c>
      <c r="I435" s="39" t="str">
        <f>_xlfn.XLOOKUP(H435,notes!$B$4:$B$8,notes!$C$4:$C$8,"Invalid",-1)</f>
        <v>Teenager</v>
      </c>
      <c r="J435" s="37">
        <v>0</v>
      </c>
      <c r="K435" s="37">
        <v>0</v>
      </c>
      <c r="L435" s="37">
        <f t="shared" si="26"/>
        <v>1</v>
      </c>
      <c r="M435" s="40" t="str">
        <f t="shared" si="24"/>
        <v>Not Survived</v>
      </c>
      <c r="N435" s="37" t="str">
        <f>_xlfn.XLOOKUP(L435,notes!$B$28:$B$30,notes!$C$28:$C$30,"Unknown",-1)</f>
        <v>Alone</v>
      </c>
      <c r="O435" s="37" t="s">
        <v>630</v>
      </c>
      <c r="P435" s="37">
        <v>7.125</v>
      </c>
      <c r="Q435" s="37" t="str">
        <f t="shared" si="27"/>
        <v>Low</v>
      </c>
      <c r="R435" s="37" t="s">
        <v>1236</v>
      </c>
      <c r="S435" s="37" t="s">
        <v>15</v>
      </c>
      <c r="T435" s="41" t="str">
        <f t="shared" si="25"/>
        <v>Southampton</v>
      </c>
    </row>
    <row r="436" spans="1:20">
      <c r="A436" s="37">
        <v>435</v>
      </c>
      <c r="B436" s="37">
        <v>0</v>
      </c>
      <c r="C436" s="37">
        <v>1</v>
      </c>
      <c r="D436" s="37" t="s">
        <v>2012</v>
      </c>
      <c r="E436" s="37" t="s">
        <v>2013</v>
      </c>
      <c r="F436" s="37" t="s">
        <v>1235</v>
      </c>
      <c r="G436" s="37" t="str">
        <f>_xlfn.XLOOKUP(F436,notes!$B$12:$B$18,notes!$C$12:$C$18,"Unknown")</f>
        <v>Male</v>
      </c>
      <c r="H436" s="38">
        <v>50</v>
      </c>
      <c r="I436" s="39" t="str">
        <f>_xlfn.XLOOKUP(H436,notes!$B$4:$B$8,notes!$C$4:$C$8,"Invalid",-1)</f>
        <v>Adult</v>
      </c>
      <c r="J436" s="37">
        <v>1</v>
      </c>
      <c r="K436" s="37">
        <v>0</v>
      </c>
      <c r="L436" s="37">
        <f t="shared" si="26"/>
        <v>2</v>
      </c>
      <c r="M436" s="40" t="str">
        <f t="shared" si="24"/>
        <v>Not Survived</v>
      </c>
      <c r="N436" s="37" t="str">
        <f>_xlfn.XLOOKUP(L436,notes!$B$28:$B$30,notes!$C$28:$C$30,"Unknown",-1)</f>
        <v>Small Family</v>
      </c>
      <c r="O436" s="37">
        <v>13507</v>
      </c>
      <c r="P436" s="37">
        <v>55.9</v>
      </c>
      <c r="Q436" s="37" t="str">
        <f t="shared" si="27"/>
        <v>High</v>
      </c>
      <c r="R436" s="37" t="s">
        <v>632</v>
      </c>
      <c r="S436" s="37" t="s">
        <v>15</v>
      </c>
      <c r="T436" s="41" t="str">
        <f t="shared" si="25"/>
        <v>Southampton</v>
      </c>
    </row>
    <row r="437" spans="1:20">
      <c r="A437" s="37">
        <v>436</v>
      </c>
      <c r="B437" s="37">
        <v>1</v>
      </c>
      <c r="C437" s="37">
        <v>1</v>
      </c>
      <c r="D437" s="37" t="s">
        <v>1702</v>
      </c>
      <c r="E437" s="37" t="s">
        <v>2014</v>
      </c>
      <c r="F437" s="37" t="s">
        <v>1242</v>
      </c>
      <c r="G437" s="37" t="str">
        <f>_xlfn.XLOOKUP(F437,notes!$B$12:$B$18,notes!$C$12:$C$18,"Unknown")</f>
        <v>Female</v>
      </c>
      <c r="H437" s="38">
        <v>14</v>
      </c>
      <c r="I437" s="39" t="str">
        <f>_xlfn.XLOOKUP(H437,notes!$B$4:$B$8,notes!$C$4:$C$8,"Invalid",-1)</f>
        <v>Teenager</v>
      </c>
      <c r="J437" s="37">
        <v>1</v>
      </c>
      <c r="K437" s="37">
        <v>2</v>
      </c>
      <c r="L437" s="37">
        <f t="shared" si="26"/>
        <v>4</v>
      </c>
      <c r="M437" s="40" t="str">
        <f t="shared" si="24"/>
        <v>Survived</v>
      </c>
      <c r="N437" s="37" t="str">
        <f>_xlfn.XLOOKUP(L437,notes!$B$28:$B$30,notes!$C$28:$C$30,"Unknown",-1)</f>
        <v>Large Family</v>
      </c>
      <c r="O437" s="37">
        <v>113760</v>
      </c>
      <c r="P437" s="37">
        <v>120</v>
      </c>
      <c r="Q437" s="37" t="str">
        <f t="shared" si="27"/>
        <v>High</v>
      </c>
      <c r="R437" s="37" t="s">
        <v>579</v>
      </c>
      <c r="S437" s="37" t="s">
        <v>15</v>
      </c>
      <c r="T437" s="41" t="str">
        <f t="shared" si="25"/>
        <v>Southampton</v>
      </c>
    </row>
    <row r="438" spans="1:20">
      <c r="A438" s="37">
        <v>437</v>
      </c>
      <c r="B438" s="37">
        <v>0</v>
      </c>
      <c r="C438" s="37">
        <v>3</v>
      </c>
      <c r="D438" s="37" t="s">
        <v>1405</v>
      </c>
      <c r="E438" s="37" t="s">
        <v>2015</v>
      </c>
      <c r="F438" s="37" t="s">
        <v>1242</v>
      </c>
      <c r="G438" s="37" t="str">
        <f>_xlfn.XLOOKUP(F438,notes!$B$12:$B$18,notes!$C$12:$C$18,"Unknown")</f>
        <v>Female</v>
      </c>
      <c r="H438" s="38">
        <v>21</v>
      </c>
      <c r="I438" s="39" t="str">
        <f>_xlfn.XLOOKUP(H438,notes!$B$4:$B$8,notes!$C$4:$C$8,"Invalid",-1)</f>
        <v>Adult</v>
      </c>
      <c r="J438" s="37">
        <v>2</v>
      </c>
      <c r="K438" s="37">
        <v>2</v>
      </c>
      <c r="L438" s="37">
        <f t="shared" si="26"/>
        <v>5</v>
      </c>
      <c r="M438" s="40" t="str">
        <f t="shared" si="24"/>
        <v>Not Survived</v>
      </c>
      <c r="N438" s="37" t="str">
        <f>_xlfn.XLOOKUP(L438,notes!$B$28:$B$30,notes!$C$28:$C$30,"Unknown",-1)</f>
        <v>Large Family</v>
      </c>
      <c r="O438" s="37" t="s">
        <v>144</v>
      </c>
      <c r="P438" s="37">
        <v>34.375</v>
      </c>
      <c r="Q438" s="37" t="str">
        <f t="shared" si="27"/>
        <v>Mid</v>
      </c>
      <c r="R438" s="37" t="s">
        <v>1236</v>
      </c>
      <c r="S438" s="37" t="s">
        <v>15</v>
      </c>
      <c r="T438" s="41" t="str">
        <f t="shared" si="25"/>
        <v>Southampton</v>
      </c>
    </row>
    <row r="439" spans="1:20">
      <c r="A439" s="37">
        <v>438</v>
      </c>
      <c r="B439" s="37">
        <v>1</v>
      </c>
      <c r="C439" s="37">
        <v>2</v>
      </c>
      <c r="D439" s="37" t="s">
        <v>1966</v>
      </c>
      <c r="E439" s="37" t="s">
        <v>2016</v>
      </c>
      <c r="F439" s="37" t="s">
        <v>1239</v>
      </c>
      <c r="G439" s="37" t="str">
        <f>_xlfn.XLOOKUP(F439,notes!$B$12:$B$18,notes!$C$12:$C$18,"Unknown")</f>
        <v>Female</v>
      </c>
      <c r="H439" s="38">
        <v>24</v>
      </c>
      <c r="I439" s="39" t="str">
        <f>_xlfn.XLOOKUP(H439,notes!$B$4:$B$8,notes!$C$4:$C$8,"Invalid",-1)</f>
        <v>Adult</v>
      </c>
      <c r="J439" s="37">
        <v>2</v>
      </c>
      <c r="K439" s="37">
        <v>3</v>
      </c>
      <c r="L439" s="37">
        <f t="shared" si="26"/>
        <v>6</v>
      </c>
      <c r="M439" s="40" t="str">
        <f t="shared" si="24"/>
        <v>Survived</v>
      </c>
      <c r="N439" s="37" t="str">
        <f>_xlfn.XLOOKUP(L439,notes!$B$28:$B$30,notes!$C$28:$C$30,"Unknown",-1)</f>
        <v>Large Family</v>
      </c>
      <c r="O439" s="37">
        <v>29106</v>
      </c>
      <c r="P439" s="37">
        <v>18.75</v>
      </c>
      <c r="Q439" s="37" t="str">
        <f t="shared" si="27"/>
        <v>Mid</v>
      </c>
      <c r="R439" s="37" t="s">
        <v>1236</v>
      </c>
      <c r="S439" s="37" t="s">
        <v>15</v>
      </c>
      <c r="T439" s="41" t="str">
        <f t="shared" si="25"/>
        <v>Southampton</v>
      </c>
    </row>
    <row r="440" spans="1:20">
      <c r="A440" s="37">
        <v>439</v>
      </c>
      <c r="B440" s="37">
        <v>0</v>
      </c>
      <c r="C440" s="37">
        <v>1</v>
      </c>
      <c r="D440" s="37" t="s">
        <v>1290</v>
      </c>
      <c r="E440" s="37" t="s">
        <v>2017</v>
      </c>
      <c r="F440" s="37" t="s">
        <v>1235</v>
      </c>
      <c r="G440" s="37" t="str">
        <f>_xlfn.XLOOKUP(F440,notes!$B$12:$B$18,notes!$C$12:$C$18,"Unknown")</f>
        <v>Male</v>
      </c>
      <c r="H440" s="38">
        <v>64</v>
      </c>
      <c r="I440" s="39" t="str">
        <f>_xlfn.XLOOKUP(H440,notes!$B$4:$B$8,notes!$C$4:$C$8,"Invalid",-1)</f>
        <v>Elderly</v>
      </c>
      <c r="J440" s="37">
        <v>1</v>
      </c>
      <c r="K440" s="37">
        <v>4</v>
      </c>
      <c r="L440" s="37">
        <f t="shared" si="26"/>
        <v>6</v>
      </c>
      <c r="M440" s="40" t="str">
        <f t="shared" si="24"/>
        <v>Not Survived</v>
      </c>
      <c r="N440" s="37" t="str">
        <f>_xlfn.XLOOKUP(L440,notes!$B$28:$B$30,notes!$C$28:$C$30,"Unknown",-1)</f>
        <v>Large Family</v>
      </c>
      <c r="O440" s="37">
        <v>19950</v>
      </c>
      <c r="P440" s="37">
        <v>263</v>
      </c>
      <c r="Q440" s="37" t="str">
        <f t="shared" si="27"/>
        <v>High</v>
      </c>
      <c r="R440" s="37" t="s">
        <v>58</v>
      </c>
      <c r="S440" s="37" t="s">
        <v>15</v>
      </c>
      <c r="T440" s="41" t="str">
        <f t="shared" si="25"/>
        <v>Southampton</v>
      </c>
    </row>
    <row r="441" spans="1:20">
      <c r="A441" s="37">
        <v>440</v>
      </c>
      <c r="B441" s="37">
        <v>0</v>
      </c>
      <c r="C441" s="37">
        <v>2</v>
      </c>
      <c r="D441" s="37" t="s">
        <v>2018</v>
      </c>
      <c r="E441" s="37" t="s">
        <v>2019</v>
      </c>
      <c r="F441" s="37" t="s">
        <v>1235</v>
      </c>
      <c r="G441" s="37" t="str">
        <f>_xlfn.XLOOKUP(F441,notes!$B$12:$B$18,notes!$C$12:$C$18,"Unknown")</f>
        <v>Male</v>
      </c>
      <c r="H441" s="38">
        <v>31</v>
      </c>
      <c r="I441" s="39" t="str">
        <f>_xlfn.XLOOKUP(H441,notes!$B$4:$B$8,notes!$C$4:$C$8,"Invalid",-1)</f>
        <v>Adult</v>
      </c>
      <c r="J441" s="37">
        <v>0</v>
      </c>
      <c r="K441" s="37">
        <v>0</v>
      </c>
      <c r="L441" s="37">
        <f t="shared" si="26"/>
        <v>1</v>
      </c>
      <c r="M441" s="40" t="str">
        <f t="shared" si="24"/>
        <v>Not Survived</v>
      </c>
      <c r="N441" s="37" t="str">
        <f>_xlfn.XLOOKUP(L441,notes!$B$28:$B$30,notes!$C$28:$C$30,"Unknown",-1)</f>
        <v>Alone</v>
      </c>
      <c r="O441" s="37" t="s">
        <v>638</v>
      </c>
      <c r="P441" s="37">
        <v>10.5</v>
      </c>
      <c r="Q441" s="37" t="str">
        <f t="shared" si="27"/>
        <v>Mid</v>
      </c>
      <c r="R441" s="37" t="s">
        <v>1236</v>
      </c>
      <c r="S441" s="37" t="s">
        <v>15</v>
      </c>
      <c r="T441" s="41" t="str">
        <f t="shared" si="25"/>
        <v>Southampton</v>
      </c>
    </row>
    <row r="442" spans="1:20">
      <c r="A442" s="37">
        <v>441</v>
      </c>
      <c r="B442" s="37">
        <v>1</v>
      </c>
      <c r="C442" s="37">
        <v>2</v>
      </c>
      <c r="D442" s="37" t="s">
        <v>1815</v>
      </c>
      <c r="E442" s="37" t="s">
        <v>2020</v>
      </c>
      <c r="F442" s="37" t="s">
        <v>1239</v>
      </c>
      <c r="G442" s="37" t="str">
        <f>_xlfn.XLOOKUP(F442,notes!$B$12:$B$18,notes!$C$12:$C$18,"Unknown")</f>
        <v>Female</v>
      </c>
      <c r="H442" s="38">
        <v>45</v>
      </c>
      <c r="I442" s="39" t="str">
        <f>_xlfn.XLOOKUP(H442,notes!$B$4:$B$8,notes!$C$4:$C$8,"Invalid",-1)</f>
        <v>Adult</v>
      </c>
      <c r="J442" s="37">
        <v>1</v>
      </c>
      <c r="K442" s="37">
        <v>1</v>
      </c>
      <c r="L442" s="37">
        <f t="shared" si="26"/>
        <v>3</v>
      </c>
      <c r="M442" s="40" t="str">
        <f t="shared" si="24"/>
        <v>Survived</v>
      </c>
      <c r="N442" s="37" t="str">
        <f>_xlfn.XLOOKUP(L442,notes!$B$28:$B$30,notes!$C$28:$C$30,"Unknown",-1)</f>
        <v>Small Family</v>
      </c>
      <c r="O442" s="37" t="s">
        <v>478</v>
      </c>
      <c r="P442" s="37">
        <v>26.25</v>
      </c>
      <c r="Q442" s="37" t="str">
        <f t="shared" si="27"/>
        <v>Mid</v>
      </c>
      <c r="R442" s="37" t="s">
        <v>1236</v>
      </c>
      <c r="S442" s="37" t="s">
        <v>15</v>
      </c>
      <c r="T442" s="41" t="str">
        <f t="shared" si="25"/>
        <v>Southampton</v>
      </c>
    </row>
    <row r="443" spans="1:20">
      <c r="A443" s="37">
        <v>442</v>
      </c>
      <c r="B443" s="37">
        <v>0</v>
      </c>
      <c r="C443" s="37">
        <v>3</v>
      </c>
      <c r="D443" s="37" t="s">
        <v>2021</v>
      </c>
      <c r="E443" s="37" t="s">
        <v>2022</v>
      </c>
      <c r="F443" s="37" t="s">
        <v>1235</v>
      </c>
      <c r="G443" s="37" t="str">
        <f>_xlfn.XLOOKUP(F443,notes!$B$12:$B$18,notes!$C$12:$C$18,"Unknown")</f>
        <v>Male</v>
      </c>
      <c r="H443" s="38">
        <v>20</v>
      </c>
      <c r="I443" s="39" t="str">
        <f>_xlfn.XLOOKUP(H443,notes!$B$4:$B$8,notes!$C$4:$C$8,"Invalid",-1)</f>
        <v>Adult</v>
      </c>
      <c r="J443" s="37">
        <v>0</v>
      </c>
      <c r="K443" s="37">
        <v>0</v>
      </c>
      <c r="L443" s="37">
        <f t="shared" si="26"/>
        <v>1</v>
      </c>
      <c r="M443" s="40" t="str">
        <f t="shared" si="24"/>
        <v>Not Survived</v>
      </c>
      <c r="N443" s="37" t="str">
        <f>_xlfn.XLOOKUP(L443,notes!$B$28:$B$30,notes!$C$28:$C$30,"Unknown",-1)</f>
        <v>Alone</v>
      </c>
      <c r="O443" s="37">
        <v>345769</v>
      </c>
      <c r="P443" s="37">
        <v>9.5</v>
      </c>
      <c r="Q443" s="37" t="str">
        <f t="shared" si="27"/>
        <v>Low</v>
      </c>
      <c r="R443" s="37" t="s">
        <v>1236</v>
      </c>
      <c r="S443" s="37" t="s">
        <v>15</v>
      </c>
      <c r="T443" s="41" t="str">
        <f t="shared" si="25"/>
        <v>Southampton</v>
      </c>
    </row>
    <row r="444" spans="1:20">
      <c r="A444" s="37">
        <v>443</v>
      </c>
      <c r="B444" s="37">
        <v>0</v>
      </c>
      <c r="C444" s="37">
        <v>3</v>
      </c>
      <c r="D444" s="37" t="s">
        <v>2023</v>
      </c>
      <c r="E444" s="37" t="s">
        <v>2024</v>
      </c>
      <c r="F444" s="37" t="s">
        <v>1235</v>
      </c>
      <c r="G444" s="37" t="str">
        <f>_xlfn.XLOOKUP(F444,notes!$B$12:$B$18,notes!$C$12:$C$18,"Unknown")</f>
        <v>Male</v>
      </c>
      <c r="H444" s="38">
        <v>25</v>
      </c>
      <c r="I444" s="39" t="str">
        <f>_xlfn.XLOOKUP(H444,notes!$B$4:$B$8,notes!$C$4:$C$8,"Invalid",-1)</f>
        <v>Adult</v>
      </c>
      <c r="J444" s="37">
        <v>1</v>
      </c>
      <c r="K444" s="37">
        <v>0</v>
      </c>
      <c r="L444" s="37">
        <f t="shared" si="26"/>
        <v>2</v>
      </c>
      <c r="M444" s="40" t="str">
        <f t="shared" si="24"/>
        <v>Not Survived</v>
      </c>
      <c r="N444" s="37" t="str">
        <f>_xlfn.XLOOKUP(L444,notes!$B$28:$B$30,notes!$C$28:$C$30,"Unknown",-1)</f>
        <v>Small Family</v>
      </c>
      <c r="O444" s="37">
        <v>347076</v>
      </c>
      <c r="P444" s="37">
        <v>7.775</v>
      </c>
      <c r="Q444" s="37" t="str">
        <f t="shared" si="27"/>
        <v>Low</v>
      </c>
      <c r="R444" s="37" t="s">
        <v>1236</v>
      </c>
      <c r="S444" s="37" t="s">
        <v>15</v>
      </c>
      <c r="T444" s="41" t="str">
        <f t="shared" si="25"/>
        <v>Southampton</v>
      </c>
    </row>
    <row r="445" spans="1:20">
      <c r="A445" s="37">
        <v>444</v>
      </c>
      <c r="B445" s="37">
        <v>1</v>
      </c>
      <c r="C445" s="37">
        <v>2</v>
      </c>
      <c r="D445" s="37" t="s">
        <v>2025</v>
      </c>
      <c r="E445" s="37" t="s">
        <v>2026</v>
      </c>
      <c r="F445" s="37" t="s">
        <v>2027</v>
      </c>
      <c r="G445" s="37" t="str">
        <f>_xlfn.XLOOKUP(F445,notes!$B$12:$B$18,notes!$C$12:$C$18,"Unknown")</f>
        <v>Unknown</v>
      </c>
      <c r="H445" s="38">
        <v>28</v>
      </c>
      <c r="I445" s="39" t="str">
        <f>_xlfn.XLOOKUP(H445,notes!$B$4:$B$8,notes!$C$4:$C$8,"Invalid",-1)</f>
        <v>Adult</v>
      </c>
      <c r="J445" s="37">
        <v>0</v>
      </c>
      <c r="K445" s="37">
        <v>0</v>
      </c>
      <c r="L445" s="37">
        <f t="shared" si="26"/>
        <v>1</v>
      </c>
      <c r="M445" s="40" t="str">
        <f t="shared" si="24"/>
        <v>Survived</v>
      </c>
      <c r="N445" s="37" t="str">
        <f>_xlfn.XLOOKUP(L445,notes!$B$28:$B$30,notes!$C$28:$C$30,"Unknown",-1)</f>
        <v>Alone</v>
      </c>
      <c r="O445" s="37">
        <v>230434</v>
      </c>
      <c r="P445" s="37">
        <v>13</v>
      </c>
      <c r="Q445" s="37" t="str">
        <f t="shared" si="27"/>
        <v>Mid</v>
      </c>
      <c r="R445" s="37" t="s">
        <v>1236</v>
      </c>
      <c r="S445" s="37" t="s">
        <v>15</v>
      </c>
      <c r="T445" s="41" t="str">
        <f t="shared" si="25"/>
        <v>Southampton</v>
      </c>
    </row>
    <row r="446" spans="1:20">
      <c r="A446" s="37">
        <v>445</v>
      </c>
      <c r="B446" s="37">
        <v>1</v>
      </c>
      <c r="C446" s="37">
        <v>3</v>
      </c>
      <c r="D446" s="37" t="s">
        <v>2028</v>
      </c>
      <c r="E446" s="37" t="s">
        <v>2029</v>
      </c>
      <c r="F446" s="37" t="s">
        <v>1235</v>
      </c>
      <c r="G446" s="37" t="str">
        <f>_xlfn.XLOOKUP(F446,notes!$B$12:$B$18,notes!$C$12:$C$18,"Unknown")</f>
        <v>Male</v>
      </c>
      <c r="H446" s="38" t="s">
        <v>1236</v>
      </c>
      <c r="I446" s="39" t="str">
        <f>_xlfn.XLOOKUP(H446,notes!$B$4:$B$8,notes!$C$4:$C$8,"Invalid",-1)</f>
        <v>Unknown</v>
      </c>
      <c r="J446" s="37">
        <v>0</v>
      </c>
      <c r="K446" s="37">
        <v>0</v>
      </c>
      <c r="L446" s="37">
        <f t="shared" si="26"/>
        <v>1</v>
      </c>
      <c r="M446" s="40" t="str">
        <f t="shared" si="24"/>
        <v>Survived</v>
      </c>
      <c r="N446" s="37" t="str">
        <f>_xlfn.XLOOKUP(L446,notes!$B$28:$B$30,notes!$C$28:$C$30,"Unknown",-1)</f>
        <v>Alone</v>
      </c>
      <c r="O446" s="37">
        <v>65306</v>
      </c>
      <c r="P446" s="37">
        <v>8.1125</v>
      </c>
      <c r="Q446" s="37" t="str">
        <f t="shared" si="27"/>
        <v>Low</v>
      </c>
      <c r="R446" s="37" t="s">
        <v>1236</v>
      </c>
      <c r="S446" s="37" t="s">
        <v>15</v>
      </c>
      <c r="T446" s="41" t="str">
        <f t="shared" si="25"/>
        <v>Southampton</v>
      </c>
    </row>
    <row r="447" spans="1:20">
      <c r="A447" s="37">
        <v>446</v>
      </c>
      <c r="B447" s="37">
        <v>1</v>
      </c>
      <c r="C447" s="37">
        <v>1</v>
      </c>
      <c r="D447" s="37" t="s">
        <v>2030</v>
      </c>
      <c r="E447" s="37" t="s">
        <v>2031</v>
      </c>
      <c r="F447" s="37" t="s">
        <v>1253</v>
      </c>
      <c r="G447" s="37" t="str">
        <f>_xlfn.XLOOKUP(F447,notes!$B$12:$B$18,notes!$C$12:$C$18,"Unknown")</f>
        <v>Male</v>
      </c>
      <c r="H447" s="38">
        <v>4</v>
      </c>
      <c r="I447" s="39" t="str">
        <f>_xlfn.XLOOKUP(H447,notes!$B$4:$B$8,notes!$C$4:$C$8,"Invalid",-1)</f>
        <v>Kid</v>
      </c>
      <c r="J447" s="37">
        <v>0</v>
      </c>
      <c r="K447" s="37">
        <v>2</v>
      </c>
      <c r="L447" s="37">
        <f t="shared" si="26"/>
        <v>3</v>
      </c>
      <c r="M447" s="40" t="str">
        <f t="shared" si="24"/>
        <v>Survived</v>
      </c>
      <c r="N447" s="37" t="str">
        <f>_xlfn.XLOOKUP(L447,notes!$B$28:$B$30,notes!$C$28:$C$30,"Unknown",-1)</f>
        <v>Small Family</v>
      </c>
      <c r="O447" s="37">
        <v>33638</v>
      </c>
      <c r="P447" s="37">
        <v>81.8583</v>
      </c>
      <c r="Q447" s="37" t="str">
        <f t="shared" si="27"/>
        <v>High</v>
      </c>
      <c r="R447" s="37" t="s">
        <v>645</v>
      </c>
      <c r="S447" s="37" t="s">
        <v>15</v>
      </c>
      <c r="T447" s="41" t="str">
        <f t="shared" si="25"/>
        <v>Southampton</v>
      </c>
    </row>
    <row r="448" spans="1:20">
      <c r="A448" s="37">
        <v>447</v>
      </c>
      <c r="B448" s="37">
        <v>1</v>
      </c>
      <c r="C448" s="37">
        <v>2</v>
      </c>
      <c r="D448" s="37" t="s">
        <v>1740</v>
      </c>
      <c r="E448" s="37" t="s">
        <v>2032</v>
      </c>
      <c r="F448" s="37" t="s">
        <v>1242</v>
      </c>
      <c r="G448" s="37" t="str">
        <f>_xlfn.XLOOKUP(F448,notes!$B$12:$B$18,notes!$C$12:$C$18,"Unknown")</f>
        <v>Female</v>
      </c>
      <c r="H448" s="38">
        <v>13</v>
      </c>
      <c r="I448" s="39" t="str">
        <f>_xlfn.XLOOKUP(H448,notes!$B$4:$B$8,notes!$C$4:$C$8,"Invalid",-1)</f>
        <v>Teenager</v>
      </c>
      <c r="J448" s="37">
        <v>0</v>
      </c>
      <c r="K448" s="37">
        <v>1</v>
      </c>
      <c r="L448" s="37">
        <f t="shared" si="26"/>
        <v>2</v>
      </c>
      <c r="M448" s="40" t="str">
        <f t="shared" si="24"/>
        <v>Survived</v>
      </c>
      <c r="N448" s="37" t="str">
        <f>_xlfn.XLOOKUP(L448,notes!$B$28:$B$30,notes!$C$28:$C$30,"Unknown",-1)</f>
        <v>Small Family</v>
      </c>
      <c r="O448" s="37">
        <v>250644</v>
      </c>
      <c r="P448" s="37">
        <v>19.5</v>
      </c>
      <c r="Q448" s="37" t="str">
        <f t="shared" si="27"/>
        <v>Mid</v>
      </c>
      <c r="R448" s="37" t="s">
        <v>1236</v>
      </c>
      <c r="S448" s="37" t="s">
        <v>15</v>
      </c>
      <c r="T448" s="41" t="str">
        <f t="shared" si="25"/>
        <v>Southampton</v>
      </c>
    </row>
    <row r="449" spans="1:20">
      <c r="A449" s="37">
        <v>448</v>
      </c>
      <c r="B449" s="37">
        <v>1</v>
      </c>
      <c r="C449" s="37">
        <v>1</v>
      </c>
      <c r="D449" s="37" t="s">
        <v>2033</v>
      </c>
      <c r="E449" s="37" t="s">
        <v>2034</v>
      </c>
      <c r="F449" s="37" t="s">
        <v>1235</v>
      </c>
      <c r="G449" s="37" t="str">
        <f>_xlfn.XLOOKUP(F449,notes!$B$12:$B$18,notes!$C$12:$C$18,"Unknown")</f>
        <v>Male</v>
      </c>
      <c r="H449" s="38">
        <v>34</v>
      </c>
      <c r="I449" s="39" t="str">
        <f>_xlfn.XLOOKUP(H449,notes!$B$4:$B$8,notes!$C$4:$C$8,"Invalid",-1)</f>
        <v>Adult</v>
      </c>
      <c r="J449" s="37">
        <v>0</v>
      </c>
      <c r="K449" s="37">
        <v>0</v>
      </c>
      <c r="L449" s="37">
        <f t="shared" si="26"/>
        <v>1</v>
      </c>
      <c r="M449" s="40" t="str">
        <f t="shared" si="24"/>
        <v>Survived</v>
      </c>
      <c r="N449" s="37" t="str">
        <f>_xlfn.XLOOKUP(L449,notes!$B$28:$B$30,notes!$C$28:$C$30,"Unknown",-1)</f>
        <v>Alone</v>
      </c>
      <c r="O449" s="37">
        <v>113794</v>
      </c>
      <c r="P449" s="37">
        <v>26.55</v>
      </c>
      <c r="Q449" s="37" t="str">
        <f t="shared" si="27"/>
        <v>Mid</v>
      </c>
      <c r="R449" s="37" t="s">
        <v>1236</v>
      </c>
      <c r="S449" s="37" t="s">
        <v>15</v>
      </c>
      <c r="T449" s="41" t="str">
        <f t="shared" si="25"/>
        <v>Southampton</v>
      </c>
    </row>
    <row r="450" spans="1:20">
      <c r="A450" s="37">
        <v>449</v>
      </c>
      <c r="B450" s="37">
        <v>1</v>
      </c>
      <c r="C450" s="37">
        <v>3</v>
      </c>
      <c r="D450" s="37" t="s">
        <v>2035</v>
      </c>
      <c r="E450" s="37" t="s">
        <v>2036</v>
      </c>
      <c r="F450" s="37" t="s">
        <v>1242</v>
      </c>
      <c r="G450" s="37" t="str">
        <f>_xlfn.XLOOKUP(F450,notes!$B$12:$B$18,notes!$C$12:$C$18,"Unknown")</f>
        <v>Female</v>
      </c>
      <c r="H450" s="38">
        <v>5</v>
      </c>
      <c r="I450" s="39" t="str">
        <f>_xlfn.XLOOKUP(H450,notes!$B$4:$B$8,notes!$C$4:$C$8,"Invalid",-1)</f>
        <v>Kid</v>
      </c>
      <c r="J450" s="37">
        <v>2</v>
      </c>
      <c r="K450" s="37">
        <v>1</v>
      </c>
      <c r="L450" s="37">
        <f t="shared" si="26"/>
        <v>4</v>
      </c>
      <c r="M450" s="40" t="str">
        <f t="shared" ref="M450:M513" si="28">IF(B450=1,"Survived","Not Survived")</f>
        <v>Survived</v>
      </c>
      <c r="N450" s="37" t="str">
        <f>_xlfn.XLOOKUP(L450,notes!$B$28:$B$30,notes!$C$28:$C$30,"Unknown",-1)</f>
        <v>Large Family</v>
      </c>
      <c r="O450" s="37">
        <v>2666</v>
      </c>
      <c r="P450" s="37">
        <v>19.2583</v>
      </c>
      <c r="Q450" s="37" t="str">
        <f t="shared" si="27"/>
        <v>Mid</v>
      </c>
      <c r="R450" s="37" t="s">
        <v>1236</v>
      </c>
      <c r="S450" s="37" t="s">
        <v>20</v>
      </c>
      <c r="T450" s="41" t="str">
        <f t="shared" ref="T450:T513" si="29">IF(S450="Q","Queenstown",IF(S450="C","Cherbourg",IF(S450="S","Southampton","Unknown")))</f>
        <v>Cherbourg</v>
      </c>
    </row>
    <row r="451" spans="1:20">
      <c r="A451" s="37">
        <v>450</v>
      </c>
      <c r="B451" s="37">
        <v>1</v>
      </c>
      <c r="C451" s="37">
        <v>1</v>
      </c>
      <c r="D451" s="37" t="s">
        <v>2037</v>
      </c>
      <c r="E451" s="37" t="s">
        <v>2038</v>
      </c>
      <c r="F451" s="37" t="s">
        <v>2039</v>
      </c>
      <c r="G451" s="37" t="str">
        <f>_xlfn.XLOOKUP(F451,notes!$B$12:$B$18,notes!$C$12:$C$18,"Unknown")</f>
        <v>Unknown</v>
      </c>
      <c r="H451" s="38">
        <v>52</v>
      </c>
      <c r="I451" s="39" t="str">
        <f>_xlfn.XLOOKUP(H451,notes!$B$4:$B$8,notes!$C$4:$C$8,"Invalid",-1)</f>
        <v>Adult</v>
      </c>
      <c r="J451" s="37">
        <v>0</v>
      </c>
      <c r="K451" s="37">
        <v>0</v>
      </c>
      <c r="L451" s="37">
        <f t="shared" ref="L451:L514" si="30">(J451+K451)+1</f>
        <v>1</v>
      </c>
      <c r="M451" s="40" t="str">
        <f t="shared" si="28"/>
        <v>Survived</v>
      </c>
      <c r="N451" s="37" t="str">
        <f>_xlfn.XLOOKUP(L451,notes!$B$28:$B$30,notes!$C$28:$C$30,"Unknown",-1)</f>
        <v>Alone</v>
      </c>
      <c r="O451" s="37">
        <v>113786</v>
      </c>
      <c r="P451" s="37">
        <v>30.5</v>
      </c>
      <c r="Q451" s="37" t="str">
        <f t="shared" ref="Q451:Q514" si="31">IF(P451&gt;=50,"High",IF(P451&gt;=10,"Mid",IF(P451&lt;10,"Low","invalid")))</f>
        <v>Mid</v>
      </c>
      <c r="R451" s="37" t="s">
        <v>650</v>
      </c>
      <c r="S451" s="37" t="s">
        <v>15</v>
      </c>
      <c r="T451" s="41" t="str">
        <f t="shared" si="29"/>
        <v>Southampton</v>
      </c>
    </row>
    <row r="452" spans="1:20">
      <c r="A452" s="37">
        <v>451</v>
      </c>
      <c r="B452" s="37">
        <v>0</v>
      </c>
      <c r="C452" s="37">
        <v>2</v>
      </c>
      <c r="D452" s="37" t="s">
        <v>1352</v>
      </c>
      <c r="E452" s="37" t="s">
        <v>2040</v>
      </c>
      <c r="F452" s="37" t="s">
        <v>1235</v>
      </c>
      <c r="G452" s="37" t="str">
        <f>_xlfn.XLOOKUP(F452,notes!$B$12:$B$18,notes!$C$12:$C$18,"Unknown")</f>
        <v>Male</v>
      </c>
      <c r="H452" s="38">
        <v>36</v>
      </c>
      <c r="I452" s="39" t="str">
        <f>_xlfn.XLOOKUP(H452,notes!$B$4:$B$8,notes!$C$4:$C$8,"Invalid",-1)</f>
        <v>Adult</v>
      </c>
      <c r="J452" s="37">
        <v>1</v>
      </c>
      <c r="K452" s="37">
        <v>2</v>
      </c>
      <c r="L452" s="37">
        <f t="shared" si="30"/>
        <v>4</v>
      </c>
      <c r="M452" s="40" t="str">
        <f t="shared" si="28"/>
        <v>Not Survived</v>
      </c>
      <c r="N452" s="37" t="str">
        <f>_xlfn.XLOOKUP(L452,notes!$B$28:$B$30,notes!$C$28:$C$30,"Unknown",-1)</f>
        <v>Large Family</v>
      </c>
      <c r="O452" s="37" t="s">
        <v>104</v>
      </c>
      <c r="P452" s="37">
        <v>27.75</v>
      </c>
      <c r="Q452" s="37" t="str">
        <f t="shared" si="31"/>
        <v>Mid</v>
      </c>
      <c r="R452" s="37" t="s">
        <v>1236</v>
      </c>
      <c r="S452" s="37" t="s">
        <v>15</v>
      </c>
      <c r="T452" s="41" t="str">
        <f t="shared" si="29"/>
        <v>Southampton</v>
      </c>
    </row>
    <row r="453" spans="1:20">
      <c r="A453" s="37">
        <v>452</v>
      </c>
      <c r="B453" s="37">
        <v>0</v>
      </c>
      <c r="C453" s="37">
        <v>3</v>
      </c>
      <c r="D453" s="37" t="s">
        <v>2041</v>
      </c>
      <c r="E453" s="37" t="s">
        <v>2042</v>
      </c>
      <c r="F453" s="37" t="s">
        <v>1235</v>
      </c>
      <c r="G453" s="37" t="str">
        <f>_xlfn.XLOOKUP(F453,notes!$B$12:$B$18,notes!$C$12:$C$18,"Unknown")</f>
        <v>Male</v>
      </c>
      <c r="H453" s="38" t="s">
        <v>1236</v>
      </c>
      <c r="I453" s="39" t="str">
        <f>_xlfn.XLOOKUP(H453,notes!$B$4:$B$8,notes!$C$4:$C$8,"Invalid",-1)</f>
        <v>Unknown</v>
      </c>
      <c r="J453" s="37">
        <v>1</v>
      </c>
      <c r="K453" s="37">
        <v>0</v>
      </c>
      <c r="L453" s="37">
        <f t="shared" si="30"/>
        <v>2</v>
      </c>
      <c r="M453" s="40" t="str">
        <f t="shared" si="28"/>
        <v>Not Survived</v>
      </c>
      <c r="N453" s="37" t="str">
        <f>_xlfn.XLOOKUP(L453,notes!$B$28:$B$30,notes!$C$28:$C$30,"Unknown",-1)</f>
        <v>Small Family</v>
      </c>
      <c r="O453" s="37">
        <v>65303</v>
      </c>
      <c r="P453" s="37">
        <v>19.9667</v>
      </c>
      <c r="Q453" s="37" t="str">
        <f t="shared" si="31"/>
        <v>Mid</v>
      </c>
      <c r="R453" s="37" t="s">
        <v>1236</v>
      </c>
      <c r="S453" s="37" t="s">
        <v>15</v>
      </c>
      <c r="T453" s="41" t="str">
        <f t="shared" si="29"/>
        <v>Southampton</v>
      </c>
    </row>
    <row r="454" spans="1:20">
      <c r="A454" s="37">
        <v>453</v>
      </c>
      <c r="B454" s="37">
        <v>0</v>
      </c>
      <c r="C454" s="37">
        <v>1</v>
      </c>
      <c r="D454" s="37" t="s">
        <v>2043</v>
      </c>
      <c r="E454" s="37" t="s">
        <v>2044</v>
      </c>
      <c r="F454" s="37" t="s">
        <v>1235</v>
      </c>
      <c r="G454" s="37" t="str">
        <f>_xlfn.XLOOKUP(F454,notes!$B$12:$B$18,notes!$C$12:$C$18,"Unknown")</f>
        <v>Male</v>
      </c>
      <c r="H454" s="38">
        <v>30</v>
      </c>
      <c r="I454" s="39" t="str">
        <f>_xlfn.XLOOKUP(H454,notes!$B$4:$B$8,notes!$C$4:$C$8,"Invalid",-1)</f>
        <v>Adult</v>
      </c>
      <c r="J454" s="37">
        <v>0</v>
      </c>
      <c r="K454" s="37">
        <v>0</v>
      </c>
      <c r="L454" s="37">
        <f t="shared" si="30"/>
        <v>1</v>
      </c>
      <c r="M454" s="40" t="str">
        <f t="shared" si="28"/>
        <v>Not Survived</v>
      </c>
      <c r="N454" s="37" t="str">
        <f>_xlfn.XLOOKUP(L454,notes!$B$28:$B$30,notes!$C$28:$C$30,"Unknown",-1)</f>
        <v>Alone</v>
      </c>
      <c r="O454" s="37">
        <v>113051</v>
      </c>
      <c r="P454" s="37">
        <v>27.75</v>
      </c>
      <c r="Q454" s="37" t="str">
        <f t="shared" si="31"/>
        <v>Mid</v>
      </c>
      <c r="R454" s="37" t="s">
        <v>654</v>
      </c>
      <c r="S454" s="37" t="s">
        <v>20</v>
      </c>
      <c r="T454" s="41" t="str">
        <f t="shared" si="29"/>
        <v>Cherbourg</v>
      </c>
    </row>
    <row r="455" spans="1:20">
      <c r="A455" s="37">
        <v>454</v>
      </c>
      <c r="B455" s="37">
        <v>1</v>
      </c>
      <c r="C455" s="37">
        <v>1</v>
      </c>
      <c r="D455" s="37" t="s">
        <v>2045</v>
      </c>
      <c r="E455" s="37" t="s">
        <v>2046</v>
      </c>
      <c r="F455" s="37" t="s">
        <v>1235</v>
      </c>
      <c r="G455" s="37" t="str">
        <f>_xlfn.XLOOKUP(F455,notes!$B$12:$B$18,notes!$C$12:$C$18,"Unknown")</f>
        <v>Male</v>
      </c>
      <c r="H455" s="38">
        <v>49</v>
      </c>
      <c r="I455" s="39" t="str">
        <f>_xlfn.XLOOKUP(H455,notes!$B$4:$B$8,notes!$C$4:$C$8,"Invalid",-1)</f>
        <v>Adult</v>
      </c>
      <c r="J455" s="37">
        <v>1</v>
      </c>
      <c r="K455" s="37">
        <v>0</v>
      </c>
      <c r="L455" s="37">
        <f t="shared" si="30"/>
        <v>2</v>
      </c>
      <c r="M455" s="40" t="str">
        <f t="shared" si="28"/>
        <v>Survived</v>
      </c>
      <c r="N455" s="37" t="str">
        <f>_xlfn.XLOOKUP(L455,notes!$B$28:$B$30,notes!$C$28:$C$30,"Unknown",-1)</f>
        <v>Small Family</v>
      </c>
      <c r="O455" s="37">
        <v>17453</v>
      </c>
      <c r="P455" s="37">
        <v>89.1042</v>
      </c>
      <c r="Q455" s="37" t="str">
        <f t="shared" si="31"/>
        <v>High</v>
      </c>
      <c r="R455" s="37" t="s">
        <v>656</v>
      </c>
      <c r="S455" s="37" t="s">
        <v>20</v>
      </c>
      <c r="T455" s="41" t="str">
        <f t="shared" si="29"/>
        <v>Cherbourg</v>
      </c>
    </row>
    <row r="456" spans="1:20">
      <c r="A456" s="37">
        <v>455</v>
      </c>
      <c r="B456" s="37">
        <v>0</v>
      </c>
      <c r="C456" s="37">
        <v>3</v>
      </c>
      <c r="D456" s="37" t="s">
        <v>2047</v>
      </c>
      <c r="E456" s="37" t="s">
        <v>2048</v>
      </c>
      <c r="F456" s="37" t="s">
        <v>1235</v>
      </c>
      <c r="G456" s="37" t="str">
        <f>_xlfn.XLOOKUP(F456,notes!$B$12:$B$18,notes!$C$12:$C$18,"Unknown")</f>
        <v>Male</v>
      </c>
      <c r="H456" s="38" t="s">
        <v>1236</v>
      </c>
      <c r="I456" s="39" t="str">
        <f>_xlfn.XLOOKUP(H456,notes!$B$4:$B$8,notes!$C$4:$C$8,"Invalid",-1)</f>
        <v>Unknown</v>
      </c>
      <c r="J456" s="37">
        <v>0</v>
      </c>
      <c r="K456" s="37">
        <v>0</v>
      </c>
      <c r="L456" s="37">
        <f t="shared" si="30"/>
        <v>1</v>
      </c>
      <c r="M456" s="40" t="str">
        <f t="shared" si="28"/>
        <v>Not Survived</v>
      </c>
      <c r="N456" s="37" t="str">
        <f>_xlfn.XLOOKUP(L456,notes!$B$28:$B$30,notes!$C$28:$C$30,"Unknown",-1)</f>
        <v>Alone</v>
      </c>
      <c r="O456" s="37" t="s">
        <v>658</v>
      </c>
      <c r="P456" s="37">
        <v>8.05</v>
      </c>
      <c r="Q456" s="37" t="str">
        <f t="shared" si="31"/>
        <v>Low</v>
      </c>
      <c r="R456" s="37" t="s">
        <v>1236</v>
      </c>
      <c r="S456" s="37" t="s">
        <v>15</v>
      </c>
      <c r="T456" s="41" t="str">
        <f t="shared" si="29"/>
        <v>Southampton</v>
      </c>
    </row>
    <row r="457" spans="1:20">
      <c r="A457" s="37">
        <v>456</v>
      </c>
      <c r="B457" s="37">
        <v>1</v>
      </c>
      <c r="C457" s="37">
        <v>3</v>
      </c>
      <c r="D457" s="37" t="s">
        <v>2049</v>
      </c>
      <c r="E457" s="37" t="s">
        <v>1387</v>
      </c>
      <c r="F457" s="37" t="s">
        <v>1235</v>
      </c>
      <c r="G457" s="37" t="str">
        <f>_xlfn.XLOOKUP(F457,notes!$B$12:$B$18,notes!$C$12:$C$18,"Unknown")</f>
        <v>Male</v>
      </c>
      <c r="H457" s="38">
        <v>29</v>
      </c>
      <c r="I457" s="39" t="str">
        <f>_xlfn.XLOOKUP(H457,notes!$B$4:$B$8,notes!$C$4:$C$8,"Invalid",-1)</f>
        <v>Adult</v>
      </c>
      <c r="J457" s="37">
        <v>0</v>
      </c>
      <c r="K457" s="37">
        <v>0</v>
      </c>
      <c r="L457" s="37">
        <f t="shared" si="30"/>
        <v>1</v>
      </c>
      <c r="M457" s="40" t="str">
        <f t="shared" si="28"/>
        <v>Survived</v>
      </c>
      <c r="N457" s="37" t="str">
        <f>_xlfn.XLOOKUP(L457,notes!$B$28:$B$30,notes!$C$28:$C$30,"Unknown",-1)</f>
        <v>Alone</v>
      </c>
      <c r="O457" s="37">
        <v>349240</v>
      </c>
      <c r="P457" s="37">
        <v>7.8958</v>
      </c>
      <c r="Q457" s="37" t="str">
        <f t="shared" si="31"/>
        <v>Low</v>
      </c>
      <c r="R457" s="37" t="s">
        <v>1236</v>
      </c>
      <c r="S457" s="37" t="s">
        <v>20</v>
      </c>
      <c r="T457" s="41" t="str">
        <f t="shared" si="29"/>
        <v>Cherbourg</v>
      </c>
    </row>
    <row r="458" spans="1:20">
      <c r="A458" s="37">
        <v>457</v>
      </c>
      <c r="B458" s="37">
        <v>0</v>
      </c>
      <c r="C458" s="37">
        <v>1</v>
      </c>
      <c r="D458" s="37" t="s">
        <v>2050</v>
      </c>
      <c r="E458" s="37" t="s">
        <v>2051</v>
      </c>
      <c r="F458" s="37" t="s">
        <v>1235</v>
      </c>
      <c r="G458" s="37" t="str">
        <f>_xlfn.XLOOKUP(F458,notes!$B$12:$B$18,notes!$C$12:$C$18,"Unknown")</f>
        <v>Male</v>
      </c>
      <c r="H458" s="38">
        <v>65</v>
      </c>
      <c r="I458" s="39" t="str">
        <f>_xlfn.XLOOKUP(H458,notes!$B$4:$B$8,notes!$C$4:$C$8,"Invalid",-1)</f>
        <v>Elderly</v>
      </c>
      <c r="J458" s="37">
        <v>0</v>
      </c>
      <c r="K458" s="37">
        <v>0</v>
      </c>
      <c r="L458" s="37">
        <f t="shared" si="30"/>
        <v>1</v>
      </c>
      <c r="M458" s="40" t="str">
        <f t="shared" si="28"/>
        <v>Not Survived</v>
      </c>
      <c r="N458" s="37" t="str">
        <f>_xlfn.XLOOKUP(L458,notes!$B$28:$B$30,notes!$C$28:$C$30,"Unknown",-1)</f>
        <v>Alone</v>
      </c>
      <c r="O458" s="37">
        <v>13509</v>
      </c>
      <c r="P458" s="37">
        <v>26.55</v>
      </c>
      <c r="Q458" s="37" t="str">
        <f t="shared" si="31"/>
        <v>Mid</v>
      </c>
      <c r="R458" s="37" t="s">
        <v>661</v>
      </c>
      <c r="S458" s="37" t="s">
        <v>15</v>
      </c>
      <c r="T458" s="41" t="str">
        <f t="shared" si="29"/>
        <v>Southampton</v>
      </c>
    </row>
    <row r="459" spans="1:20">
      <c r="A459" s="37">
        <v>458</v>
      </c>
      <c r="B459" s="37">
        <v>1</v>
      </c>
      <c r="C459" s="37">
        <v>1</v>
      </c>
      <c r="D459" s="37" t="s">
        <v>2052</v>
      </c>
      <c r="E459" s="37" t="s">
        <v>2053</v>
      </c>
      <c r="F459" s="37" t="s">
        <v>1239</v>
      </c>
      <c r="G459" s="37" t="str">
        <f>_xlfn.XLOOKUP(F459,notes!$B$12:$B$18,notes!$C$12:$C$18,"Unknown")</f>
        <v>Female</v>
      </c>
      <c r="H459" s="38" t="s">
        <v>1236</v>
      </c>
      <c r="I459" s="39" t="str">
        <f>_xlfn.XLOOKUP(H459,notes!$B$4:$B$8,notes!$C$4:$C$8,"Invalid",-1)</f>
        <v>Unknown</v>
      </c>
      <c r="J459" s="37">
        <v>1</v>
      </c>
      <c r="K459" s="37">
        <v>0</v>
      </c>
      <c r="L459" s="37">
        <f t="shared" si="30"/>
        <v>2</v>
      </c>
      <c r="M459" s="40" t="str">
        <f t="shared" si="28"/>
        <v>Survived</v>
      </c>
      <c r="N459" s="37" t="str">
        <f>_xlfn.XLOOKUP(L459,notes!$B$28:$B$30,notes!$C$28:$C$30,"Unknown",-1)</f>
        <v>Small Family</v>
      </c>
      <c r="O459" s="37">
        <v>17464</v>
      </c>
      <c r="P459" s="37">
        <v>51.8625</v>
      </c>
      <c r="Q459" s="37" t="str">
        <f t="shared" si="31"/>
        <v>High</v>
      </c>
      <c r="R459" s="37" t="s">
        <v>663</v>
      </c>
      <c r="S459" s="37" t="s">
        <v>15</v>
      </c>
      <c r="T459" s="41" t="str">
        <f t="shared" si="29"/>
        <v>Southampton</v>
      </c>
    </row>
    <row r="460" spans="1:20">
      <c r="A460" s="37">
        <v>459</v>
      </c>
      <c r="B460" s="37">
        <v>1</v>
      </c>
      <c r="C460" s="37">
        <v>2</v>
      </c>
      <c r="D460" s="37" t="s">
        <v>2054</v>
      </c>
      <c r="E460" s="37" t="s">
        <v>2055</v>
      </c>
      <c r="F460" s="37" t="s">
        <v>1242</v>
      </c>
      <c r="G460" s="37" t="str">
        <f>_xlfn.XLOOKUP(F460,notes!$B$12:$B$18,notes!$C$12:$C$18,"Unknown")</f>
        <v>Female</v>
      </c>
      <c r="H460" s="38">
        <v>50</v>
      </c>
      <c r="I460" s="39" t="str">
        <f>_xlfn.XLOOKUP(H460,notes!$B$4:$B$8,notes!$C$4:$C$8,"Invalid",-1)</f>
        <v>Adult</v>
      </c>
      <c r="J460" s="37">
        <v>0</v>
      </c>
      <c r="K460" s="37">
        <v>0</v>
      </c>
      <c r="L460" s="37">
        <f t="shared" si="30"/>
        <v>1</v>
      </c>
      <c r="M460" s="40" t="str">
        <f t="shared" si="28"/>
        <v>Survived</v>
      </c>
      <c r="N460" s="37" t="str">
        <f>_xlfn.XLOOKUP(L460,notes!$B$28:$B$30,notes!$C$28:$C$30,"Unknown",-1)</f>
        <v>Alone</v>
      </c>
      <c r="O460" s="37" t="s">
        <v>665</v>
      </c>
      <c r="P460" s="37">
        <v>10.5</v>
      </c>
      <c r="Q460" s="37" t="str">
        <f t="shared" si="31"/>
        <v>Mid</v>
      </c>
      <c r="R460" s="37" t="s">
        <v>1236</v>
      </c>
      <c r="S460" s="37" t="s">
        <v>15</v>
      </c>
      <c r="T460" s="41" t="str">
        <f t="shared" si="29"/>
        <v>Southampton</v>
      </c>
    </row>
    <row r="461" spans="1:20">
      <c r="A461" s="37">
        <v>460</v>
      </c>
      <c r="B461" s="37">
        <v>0</v>
      </c>
      <c r="C461" s="37">
        <v>3</v>
      </c>
      <c r="D461" s="37" t="s">
        <v>2056</v>
      </c>
      <c r="E461" s="37" t="s">
        <v>2057</v>
      </c>
      <c r="F461" s="37" t="s">
        <v>1235</v>
      </c>
      <c r="G461" s="37" t="str">
        <f>_xlfn.XLOOKUP(F461,notes!$B$12:$B$18,notes!$C$12:$C$18,"Unknown")</f>
        <v>Male</v>
      </c>
      <c r="H461" s="38" t="s">
        <v>1236</v>
      </c>
      <c r="I461" s="39" t="str">
        <f>_xlfn.XLOOKUP(H461,notes!$B$4:$B$8,notes!$C$4:$C$8,"Invalid",-1)</f>
        <v>Unknown</v>
      </c>
      <c r="J461" s="37">
        <v>0</v>
      </c>
      <c r="K461" s="37">
        <v>0</v>
      </c>
      <c r="L461" s="37">
        <f t="shared" si="30"/>
        <v>1</v>
      </c>
      <c r="M461" s="40" t="str">
        <f t="shared" si="28"/>
        <v>Not Survived</v>
      </c>
      <c r="N461" s="37" t="str">
        <f>_xlfn.XLOOKUP(L461,notes!$B$28:$B$30,notes!$C$28:$C$30,"Unknown",-1)</f>
        <v>Alone</v>
      </c>
      <c r="O461" s="37">
        <v>371060</v>
      </c>
      <c r="P461" s="37">
        <v>7.75</v>
      </c>
      <c r="Q461" s="37" t="str">
        <f t="shared" si="31"/>
        <v>Low</v>
      </c>
      <c r="R461" s="37" t="s">
        <v>1236</v>
      </c>
      <c r="S461" s="37" t="s">
        <v>28</v>
      </c>
      <c r="T461" s="41" t="str">
        <f t="shared" si="29"/>
        <v>Queenstown</v>
      </c>
    </row>
    <row r="462" spans="1:20">
      <c r="A462" s="37">
        <v>461</v>
      </c>
      <c r="B462" s="37">
        <v>1</v>
      </c>
      <c r="C462" s="37">
        <v>1</v>
      </c>
      <c r="D462" s="37" t="s">
        <v>2058</v>
      </c>
      <c r="E462" s="37" t="s">
        <v>1537</v>
      </c>
      <c r="F462" s="37" t="s">
        <v>1235</v>
      </c>
      <c r="G462" s="37" t="str">
        <f>_xlfn.XLOOKUP(F462,notes!$B$12:$B$18,notes!$C$12:$C$18,"Unknown")</f>
        <v>Male</v>
      </c>
      <c r="H462" s="38">
        <v>48</v>
      </c>
      <c r="I462" s="39" t="str">
        <f>_xlfn.XLOOKUP(H462,notes!$B$4:$B$8,notes!$C$4:$C$8,"Invalid",-1)</f>
        <v>Adult</v>
      </c>
      <c r="J462" s="37">
        <v>0</v>
      </c>
      <c r="K462" s="37">
        <v>0</v>
      </c>
      <c r="L462" s="37">
        <f t="shared" si="30"/>
        <v>1</v>
      </c>
      <c r="M462" s="40" t="str">
        <f t="shared" si="28"/>
        <v>Survived</v>
      </c>
      <c r="N462" s="37" t="str">
        <f>_xlfn.XLOOKUP(L462,notes!$B$28:$B$30,notes!$C$28:$C$30,"Unknown",-1)</f>
        <v>Alone</v>
      </c>
      <c r="O462" s="37">
        <v>19952</v>
      </c>
      <c r="P462" s="37">
        <v>26.55</v>
      </c>
      <c r="Q462" s="37" t="str">
        <f t="shared" si="31"/>
        <v>Mid</v>
      </c>
      <c r="R462" s="37" t="s">
        <v>668</v>
      </c>
      <c r="S462" s="37" t="s">
        <v>15</v>
      </c>
      <c r="T462" s="41" t="str">
        <f t="shared" si="29"/>
        <v>Southampton</v>
      </c>
    </row>
    <row r="463" spans="1:20">
      <c r="A463" s="37">
        <v>462</v>
      </c>
      <c r="B463" s="37">
        <v>0</v>
      </c>
      <c r="C463" s="37">
        <v>3</v>
      </c>
      <c r="D463" s="37" t="s">
        <v>2059</v>
      </c>
      <c r="E463" s="37" t="s">
        <v>1598</v>
      </c>
      <c r="F463" s="37" t="s">
        <v>1235</v>
      </c>
      <c r="G463" s="37" t="str">
        <f>_xlfn.XLOOKUP(F463,notes!$B$12:$B$18,notes!$C$12:$C$18,"Unknown")</f>
        <v>Male</v>
      </c>
      <c r="H463" s="38">
        <v>34</v>
      </c>
      <c r="I463" s="39" t="str">
        <f>_xlfn.XLOOKUP(H463,notes!$B$4:$B$8,notes!$C$4:$C$8,"Invalid",-1)</f>
        <v>Adult</v>
      </c>
      <c r="J463" s="37">
        <v>0</v>
      </c>
      <c r="K463" s="37">
        <v>0</v>
      </c>
      <c r="L463" s="37">
        <f t="shared" si="30"/>
        <v>1</v>
      </c>
      <c r="M463" s="40" t="str">
        <f t="shared" si="28"/>
        <v>Not Survived</v>
      </c>
      <c r="N463" s="37" t="str">
        <f>_xlfn.XLOOKUP(L463,notes!$B$28:$B$30,notes!$C$28:$C$30,"Unknown",-1)</f>
        <v>Alone</v>
      </c>
      <c r="O463" s="37">
        <v>364506</v>
      </c>
      <c r="P463" s="37">
        <v>8.05</v>
      </c>
      <c r="Q463" s="37" t="str">
        <f t="shared" si="31"/>
        <v>Low</v>
      </c>
      <c r="R463" s="37" t="s">
        <v>1236</v>
      </c>
      <c r="S463" s="37" t="s">
        <v>15</v>
      </c>
      <c r="T463" s="41" t="str">
        <f t="shared" si="29"/>
        <v>Southampton</v>
      </c>
    </row>
    <row r="464" spans="1:20">
      <c r="A464" s="37">
        <v>463</v>
      </c>
      <c r="B464" s="37">
        <v>0</v>
      </c>
      <c r="C464" s="37">
        <v>1</v>
      </c>
      <c r="D464" s="37" t="s">
        <v>2060</v>
      </c>
      <c r="E464" s="37" t="s">
        <v>2061</v>
      </c>
      <c r="F464" s="37" t="s">
        <v>1235</v>
      </c>
      <c r="G464" s="37" t="str">
        <f>_xlfn.XLOOKUP(F464,notes!$B$12:$B$18,notes!$C$12:$C$18,"Unknown")</f>
        <v>Male</v>
      </c>
      <c r="H464" s="38">
        <v>47</v>
      </c>
      <c r="I464" s="39" t="str">
        <f>_xlfn.XLOOKUP(H464,notes!$B$4:$B$8,notes!$C$4:$C$8,"Invalid",-1)</f>
        <v>Adult</v>
      </c>
      <c r="J464" s="37">
        <v>0</v>
      </c>
      <c r="K464" s="37">
        <v>0</v>
      </c>
      <c r="L464" s="37">
        <f t="shared" si="30"/>
        <v>1</v>
      </c>
      <c r="M464" s="40" t="str">
        <f t="shared" si="28"/>
        <v>Not Survived</v>
      </c>
      <c r="N464" s="37" t="str">
        <f>_xlfn.XLOOKUP(L464,notes!$B$28:$B$30,notes!$C$28:$C$30,"Unknown",-1)</f>
        <v>Alone</v>
      </c>
      <c r="O464" s="37">
        <v>111320</v>
      </c>
      <c r="P464" s="37">
        <v>38.5</v>
      </c>
      <c r="Q464" s="37" t="str">
        <f t="shared" si="31"/>
        <v>Mid</v>
      </c>
      <c r="R464" s="37" t="s">
        <v>671</v>
      </c>
      <c r="S464" s="37" t="s">
        <v>15</v>
      </c>
      <c r="T464" s="41" t="str">
        <f t="shared" si="29"/>
        <v>Southampton</v>
      </c>
    </row>
    <row r="465" spans="1:20">
      <c r="A465" s="37">
        <v>464</v>
      </c>
      <c r="B465" s="37">
        <v>0</v>
      </c>
      <c r="C465" s="37">
        <v>2</v>
      </c>
      <c r="D465" s="37" t="s">
        <v>2062</v>
      </c>
      <c r="E465" s="37" t="s">
        <v>2063</v>
      </c>
      <c r="F465" s="37" t="s">
        <v>1235</v>
      </c>
      <c r="G465" s="37" t="str">
        <f>_xlfn.XLOOKUP(F465,notes!$B$12:$B$18,notes!$C$12:$C$18,"Unknown")</f>
        <v>Male</v>
      </c>
      <c r="H465" s="38">
        <v>48</v>
      </c>
      <c r="I465" s="39" t="str">
        <f>_xlfn.XLOOKUP(H465,notes!$B$4:$B$8,notes!$C$4:$C$8,"Invalid",-1)</f>
        <v>Adult</v>
      </c>
      <c r="J465" s="37">
        <v>0</v>
      </c>
      <c r="K465" s="37">
        <v>0</v>
      </c>
      <c r="L465" s="37">
        <f t="shared" si="30"/>
        <v>1</v>
      </c>
      <c r="M465" s="40" t="str">
        <f t="shared" si="28"/>
        <v>Not Survived</v>
      </c>
      <c r="N465" s="37" t="str">
        <f>_xlfn.XLOOKUP(L465,notes!$B$28:$B$30,notes!$C$28:$C$30,"Unknown",-1)</f>
        <v>Alone</v>
      </c>
      <c r="O465" s="37">
        <v>234360</v>
      </c>
      <c r="P465" s="37">
        <v>13</v>
      </c>
      <c r="Q465" s="37" t="str">
        <f t="shared" si="31"/>
        <v>Mid</v>
      </c>
      <c r="R465" s="37" t="s">
        <v>1236</v>
      </c>
      <c r="S465" s="37" t="s">
        <v>15</v>
      </c>
      <c r="T465" s="41" t="str">
        <f t="shared" si="29"/>
        <v>Southampton</v>
      </c>
    </row>
    <row r="466" spans="1:20">
      <c r="A466" s="37">
        <v>465</v>
      </c>
      <c r="B466" s="37">
        <v>0</v>
      </c>
      <c r="C466" s="37">
        <v>3</v>
      </c>
      <c r="D466" s="37" t="s">
        <v>2064</v>
      </c>
      <c r="E466" s="37" t="s">
        <v>2065</v>
      </c>
      <c r="F466" s="37" t="s">
        <v>1235</v>
      </c>
      <c r="G466" s="37" t="str">
        <f>_xlfn.XLOOKUP(F466,notes!$B$12:$B$18,notes!$C$12:$C$18,"Unknown")</f>
        <v>Male</v>
      </c>
      <c r="H466" s="38" t="s">
        <v>1236</v>
      </c>
      <c r="I466" s="39" t="str">
        <f>_xlfn.XLOOKUP(H466,notes!$B$4:$B$8,notes!$C$4:$C$8,"Invalid",-1)</f>
        <v>Unknown</v>
      </c>
      <c r="J466" s="37">
        <v>0</v>
      </c>
      <c r="K466" s="37">
        <v>0</v>
      </c>
      <c r="L466" s="37">
        <f t="shared" si="30"/>
        <v>1</v>
      </c>
      <c r="M466" s="40" t="str">
        <f t="shared" si="28"/>
        <v>Not Survived</v>
      </c>
      <c r="N466" s="37" t="str">
        <f>_xlfn.XLOOKUP(L466,notes!$B$28:$B$30,notes!$C$28:$C$30,"Unknown",-1)</f>
        <v>Alone</v>
      </c>
      <c r="O466" s="37" t="s">
        <v>674</v>
      </c>
      <c r="P466" s="37">
        <v>8.05</v>
      </c>
      <c r="Q466" s="37" t="str">
        <f t="shared" si="31"/>
        <v>Low</v>
      </c>
      <c r="R466" s="37" t="s">
        <v>1236</v>
      </c>
      <c r="S466" s="37" t="s">
        <v>15</v>
      </c>
      <c r="T466" s="41" t="str">
        <f t="shared" si="29"/>
        <v>Southampton</v>
      </c>
    </row>
    <row r="467" spans="1:20">
      <c r="A467" s="37">
        <v>466</v>
      </c>
      <c r="B467" s="37">
        <v>0</v>
      </c>
      <c r="C467" s="37">
        <v>3</v>
      </c>
      <c r="D467" s="37" t="s">
        <v>2066</v>
      </c>
      <c r="E467" s="37" t="s">
        <v>2067</v>
      </c>
      <c r="F467" s="37" t="s">
        <v>1235</v>
      </c>
      <c r="G467" s="37" t="str">
        <f>_xlfn.XLOOKUP(F467,notes!$B$12:$B$18,notes!$C$12:$C$18,"Unknown")</f>
        <v>Male</v>
      </c>
      <c r="H467" s="38">
        <v>38</v>
      </c>
      <c r="I467" s="39" t="str">
        <f>_xlfn.XLOOKUP(H467,notes!$B$4:$B$8,notes!$C$4:$C$8,"Invalid",-1)</f>
        <v>Adult</v>
      </c>
      <c r="J467" s="37">
        <v>0</v>
      </c>
      <c r="K467" s="37">
        <v>0</v>
      </c>
      <c r="L467" s="37">
        <f t="shared" si="30"/>
        <v>1</v>
      </c>
      <c r="M467" s="40" t="str">
        <f t="shared" si="28"/>
        <v>Not Survived</v>
      </c>
      <c r="N467" s="37" t="str">
        <f>_xlfn.XLOOKUP(L467,notes!$B$28:$B$30,notes!$C$28:$C$30,"Unknown",-1)</f>
        <v>Alone</v>
      </c>
      <c r="O467" s="37" t="s">
        <v>676</v>
      </c>
      <c r="P467" s="37">
        <v>7.05</v>
      </c>
      <c r="Q467" s="37" t="str">
        <f t="shared" si="31"/>
        <v>Low</v>
      </c>
      <c r="R467" s="37" t="s">
        <v>1236</v>
      </c>
      <c r="S467" s="37" t="s">
        <v>15</v>
      </c>
      <c r="T467" s="41" t="str">
        <f t="shared" si="29"/>
        <v>Southampton</v>
      </c>
    </row>
    <row r="468" spans="1:20">
      <c r="A468" s="37">
        <v>467</v>
      </c>
      <c r="B468" s="37">
        <v>0</v>
      </c>
      <c r="C468" s="37">
        <v>2</v>
      </c>
      <c r="D468" s="37" t="s">
        <v>2068</v>
      </c>
      <c r="E468" s="37" t="s">
        <v>1598</v>
      </c>
      <c r="F468" s="37" t="s">
        <v>1235</v>
      </c>
      <c r="G468" s="37" t="str">
        <f>_xlfn.XLOOKUP(F468,notes!$B$12:$B$18,notes!$C$12:$C$18,"Unknown")</f>
        <v>Male</v>
      </c>
      <c r="H468" s="38" t="s">
        <v>1236</v>
      </c>
      <c r="I468" s="39" t="str">
        <f>_xlfn.XLOOKUP(H468,notes!$B$4:$B$8,notes!$C$4:$C$8,"Invalid",-1)</f>
        <v>Unknown</v>
      </c>
      <c r="J468" s="37">
        <v>0</v>
      </c>
      <c r="K468" s="37">
        <v>0</v>
      </c>
      <c r="L468" s="37">
        <f t="shared" si="30"/>
        <v>1</v>
      </c>
      <c r="M468" s="40" t="str">
        <f t="shared" si="28"/>
        <v>Not Survived</v>
      </c>
      <c r="N468" s="37" t="str">
        <f>_xlfn.XLOOKUP(L468,notes!$B$28:$B$30,notes!$C$28:$C$30,"Unknown",-1)</f>
        <v>Alone</v>
      </c>
      <c r="O468" s="37">
        <v>239853</v>
      </c>
      <c r="P468" s="37">
        <v>0</v>
      </c>
      <c r="Q468" s="37" t="str">
        <f t="shared" si="31"/>
        <v>Low</v>
      </c>
      <c r="R468" s="37" t="s">
        <v>1236</v>
      </c>
      <c r="S468" s="37" t="s">
        <v>15</v>
      </c>
      <c r="T468" s="41" t="str">
        <f t="shared" si="29"/>
        <v>Southampton</v>
      </c>
    </row>
    <row r="469" spans="1:20">
      <c r="A469" s="37">
        <v>468</v>
      </c>
      <c r="B469" s="37">
        <v>0</v>
      </c>
      <c r="C469" s="37">
        <v>1</v>
      </c>
      <c r="D469" s="37" t="s">
        <v>2069</v>
      </c>
      <c r="E469" s="37" t="s">
        <v>2070</v>
      </c>
      <c r="F469" s="37" t="s">
        <v>1235</v>
      </c>
      <c r="G469" s="37" t="str">
        <f>_xlfn.XLOOKUP(F469,notes!$B$12:$B$18,notes!$C$12:$C$18,"Unknown")</f>
        <v>Male</v>
      </c>
      <c r="H469" s="38">
        <v>56</v>
      </c>
      <c r="I469" s="39" t="str">
        <f>_xlfn.XLOOKUP(H469,notes!$B$4:$B$8,notes!$C$4:$C$8,"Invalid",-1)</f>
        <v>Adult</v>
      </c>
      <c r="J469" s="37">
        <v>0</v>
      </c>
      <c r="K469" s="37">
        <v>0</v>
      </c>
      <c r="L469" s="37">
        <f t="shared" si="30"/>
        <v>1</v>
      </c>
      <c r="M469" s="40" t="str">
        <f t="shared" si="28"/>
        <v>Not Survived</v>
      </c>
      <c r="N469" s="37" t="str">
        <f>_xlfn.XLOOKUP(L469,notes!$B$28:$B$30,notes!$C$28:$C$30,"Unknown",-1)</f>
        <v>Alone</v>
      </c>
      <c r="O469" s="37">
        <v>113792</v>
      </c>
      <c r="P469" s="37">
        <v>26.55</v>
      </c>
      <c r="Q469" s="37" t="str">
        <f t="shared" si="31"/>
        <v>Mid</v>
      </c>
      <c r="R469" s="37" t="s">
        <v>1236</v>
      </c>
      <c r="S469" s="37" t="s">
        <v>15</v>
      </c>
      <c r="T469" s="41" t="str">
        <f t="shared" si="29"/>
        <v>Southampton</v>
      </c>
    </row>
    <row r="470" spans="1:20">
      <c r="A470" s="37">
        <v>469</v>
      </c>
      <c r="B470" s="37">
        <v>0</v>
      </c>
      <c r="C470" s="37">
        <v>3</v>
      </c>
      <c r="D470" s="37" t="s">
        <v>2071</v>
      </c>
      <c r="E470" s="37" t="s">
        <v>1248</v>
      </c>
      <c r="F470" s="37" t="s">
        <v>1235</v>
      </c>
      <c r="G470" s="37" t="str">
        <f>_xlfn.XLOOKUP(F470,notes!$B$12:$B$18,notes!$C$12:$C$18,"Unknown")</f>
        <v>Male</v>
      </c>
      <c r="H470" s="38" t="s">
        <v>1236</v>
      </c>
      <c r="I470" s="39" t="str">
        <f>_xlfn.XLOOKUP(H470,notes!$B$4:$B$8,notes!$C$4:$C$8,"Invalid",-1)</f>
        <v>Unknown</v>
      </c>
      <c r="J470" s="37">
        <v>0</v>
      </c>
      <c r="K470" s="37">
        <v>0</v>
      </c>
      <c r="L470" s="37">
        <f t="shared" si="30"/>
        <v>1</v>
      </c>
      <c r="M470" s="40" t="str">
        <f t="shared" si="28"/>
        <v>Not Survived</v>
      </c>
      <c r="N470" s="37" t="str">
        <f>_xlfn.XLOOKUP(L470,notes!$B$28:$B$30,notes!$C$28:$C$30,"Unknown",-1)</f>
        <v>Alone</v>
      </c>
      <c r="O470" s="37">
        <v>36209</v>
      </c>
      <c r="P470" s="37">
        <v>7.725</v>
      </c>
      <c r="Q470" s="37" t="str">
        <f t="shared" si="31"/>
        <v>Low</v>
      </c>
      <c r="R470" s="37" t="s">
        <v>1236</v>
      </c>
      <c r="S470" s="37" t="s">
        <v>28</v>
      </c>
      <c r="T470" s="41" t="str">
        <f t="shared" si="29"/>
        <v>Queenstown</v>
      </c>
    </row>
    <row r="471" spans="1:20">
      <c r="A471" s="37">
        <v>470</v>
      </c>
      <c r="B471" s="37">
        <v>1</v>
      </c>
      <c r="C471" s="37">
        <v>3</v>
      </c>
      <c r="D471" s="37" t="s">
        <v>2035</v>
      </c>
      <c r="E471" s="37" t="s">
        <v>2072</v>
      </c>
      <c r="F471" s="37" t="s">
        <v>1242</v>
      </c>
      <c r="G471" s="37" t="str">
        <f>_xlfn.XLOOKUP(F471,notes!$B$12:$B$18,notes!$C$12:$C$18,"Unknown")</f>
        <v>Female</v>
      </c>
      <c r="H471" s="38">
        <v>0.75</v>
      </c>
      <c r="I471" s="39" t="str">
        <f>_xlfn.XLOOKUP(H471,notes!$B$4:$B$8,notes!$C$4:$C$8,"Invalid",-1)</f>
        <v>Kid</v>
      </c>
      <c r="J471" s="37">
        <v>2</v>
      </c>
      <c r="K471" s="37">
        <v>1</v>
      </c>
      <c r="L471" s="37">
        <f t="shared" si="30"/>
        <v>4</v>
      </c>
      <c r="M471" s="40" t="str">
        <f t="shared" si="28"/>
        <v>Survived</v>
      </c>
      <c r="N471" s="37" t="str">
        <f>_xlfn.XLOOKUP(L471,notes!$B$28:$B$30,notes!$C$28:$C$30,"Unknown",-1)</f>
        <v>Large Family</v>
      </c>
      <c r="O471" s="37">
        <v>2666</v>
      </c>
      <c r="P471" s="37">
        <v>19.2583</v>
      </c>
      <c r="Q471" s="37" t="str">
        <f t="shared" si="31"/>
        <v>Mid</v>
      </c>
      <c r="R471" s="37" t="s">
        <v>1236</v>
      </c>
      <c r="S471" s="37" t="s">
        <v>20</v>
      </c>
      <c r="T471" s="41" t="str">
        <f t="shared" si="29"/>
        <v>Cherbourg</v>
      </c>
    </row>
    <row r="472" spans="1:20">
      <c r="A472" s="37">
        <v>471</v>
      </c>
      <c r="B472" s="37">
        <v>0</v>
      </c>
      <c r="C472" s="37">
        <v>3</v>
      </c>
      <c r="D472" s="37" t="s">
        <v>2073</v>
      </c>
      <c r="E472" s="37" t="s">
        <v>1561</v>
      </c>
      <c r="F472" s="37" t="s">
        <v>1235</v>
      </c>
      <c r="G472" s="37" t="str">
        <f>_xlfn.XLOOKUP(F472,notes!$B$12:$B$18,notes!$C$12:$C$18,"Unknown")</f>
        <v>Male</v>
      </c>
      <c r="H472" s="38" t="s">
        <v>1236</v>
      </c>
      <c r="I472" s="39" t="str">
        <f>_xlfn.XLOOKUP(H472,notes!$B$4:$B$8,notes!$C$4:$C$8,"Invalid",-1)</f>
        <v>Unknown</v>
      </c>
      <c r="J472" s="37">
        <v>0</v>
      </c>
      <c r="K472" s="37">
        <v>0</v>
      </c>
      <c r="L472" s="37">
        <f t="shared" si="30"/>
        <v>1</v>
      </c>
      <c r="M472" s="40" t="str">
        <f t="shared" si="28"/>
        <v>Not Survived</v>
      </c>
      <c r="N472" s="37" t="str">
        <f>_xlfn.XLOOKUP(L472,notes!$B$28:$B$30,notes!$C$28:$C$30,"Unknown",-1)</f>
        <v>Alone</v>
      </c>
      <c r="O472" s="37">
        <v>323592</v>
      </c>
      <c r="P472" s="37">
        <v>7.25</v>
      </c>
      <c r="Q472" s="37" t="str">
        <f t="shared" si="31"/>
        <v>Low</v>
      </c>
      <c r="R472" s="37" t="s">
        <v>1236</v>
      </c>
      <c r="S472" s="37" t="s">
        <v>15</v>
      </c>
      <c r="T472" s="41" t="str">
        <f t="shared" si="29"/>
        <v>Southampton</v>
      </c>
    </row>
    <row r="473" spans="1:20">
      <c r="A473" s="37">
        <v>472</v>
      </c>
      <c r="B473" s="37">
        <v>0</v>
      </c>
      <c r="C473" s="37">
        <v>3</v>
      </c>
      <c r="D473" s="37" t="s">
        <v>2074</v>
      </c>
      <c r="E473" s="37" t="s">
        <v>2075</v>
      </c>
      <c r="F473" s="37" t="s">
        <v>1235</v>
      </c>
      <c r="G473" s="37" t="str">
        <f>_xlfn.XLOOKUP(F473,notes!$B$12:$B$18,notes!$C$12:$C$18,"Unknown")</f>
        <v>Male</v>
      </c>
      <c r="H473" s="38">
        <v>38</v>
      </c>
      <c r="I473" s="39" t="str">
        <f>_xlfn.XLOOKUP(H473,notes!$B$4:$B$8,notes!$C$4:$C$8,"Invalid",-1)</f>
        <v>Adult</v>
      </c>
      <c r="J473" s="37">
        <v>0</v>
      </c>
      <c r="K473" s="37">
        <v>0</v>
      </c>
      <c r="L473" s="37">
        <f t="shared" si="30"/>
        <v>1</v>
      </c>
      <c r="M473" s="40" t="str">
        <f t="shared" si="28"/>
        <v>Not Survived</v>
      </c>
      <c r="N473" s="37" t="str">
        <f>_xlfn.XLOOKUP(L473,notes!$B$28:$B$30,notes!$C$28:$C$30,"Unknown",-1)</f>
        <v>Alone</v>
      </c>
      <c r="O473" s="37">
        <v>315089</v>
      </c>
      <c r="P473" s="37">
        <v>8.6625</v>
      </c>
      <c r="Q473" s="37" t="str">
        <f t="shared" si="31"/>
        <v>Low</v>
      </c>
      <c r="R473" s="37" t="s">
        <v>1236</v>
      </c>
      <c r="S473" s="37" t="s">
        <v>15</v>
      </c>
      <c r="T473" s="41" t="str">
        <f t="shared" si="29"/>
        <v>Southampton</v>
      </c>
    </row>
    <row r="474" spans="1:20">
      <c r="A474" s="37">
        <v>473</v>
      </c>
      <c r="B474" s="37">
        <v>1</v>
      </c>
      <c r="C474" s="37">
        <v>2</v>
      </c>
      <c r="D474" s="37" t="s">
        <v>1352</v>
      </c>
      <c r="E474" s="37" t="s">
        <v>2076</v>
      </c>
      <c r="F474" s="37" t="s">
        <v>1239</v>
      </c>
      <c r="G474" s="37" t="str">
        <f>_xlfn.XLOOKUP(F474,notes!$B$12:$B$18,notes!$C$12:$C$18,"Unknown")</f>
        <v>Female</v>
      </c>
      <c r="H474" s="38">
        <v>33</v>
      </c>
      <c r="I474" s="39" t="str">
        <f>_xlfn.XLOOKUP(H474,notes!$B$4:$B$8,notes!$C$4:$C$8,"Invalid",-1)</f>
        <v>Adult</v>
      </c>
      <c r="J474" s="37">
        <v>1</v>
      </c>
      <c r="K474" s="37">
        <v>2</v>
      </c>
      <c r="L474" s="37">
        <f t="shared" si="30"/>
        <v>4</v>
      </c>
      <c r="M474" s="40" t="str">
        <f t="shared" si="28"/>
        <v>Survived</v>
      </c>
      <c r="N474" s="37" t="str">
        <f>_xlfn.XLOOKUP(L474,notes!$B$28:$B$30,notes!$C$28:$C$30,"Unknown",-1)</f>
        <v>Large Family</v>
      </c>
      <c r="O474" s="37" t="s">
        <v>104</v>
      </c>
      <c r="P474" s="37">
        <v>27.75</v>
      </c>
      <c r="Q474" s="37" t="str">
        <f t="shared" si="31"/>
        <v>Mid</v>
      </c>
      <c r="R474" s="37" t="s">
        <v>1236</v>
      </c>
      <c r="S474" s="37" t="s">
        <v>15</v>
      </c>
      <c r="T474" s="41" t="str">
        <f t="shared" si="29"/>
        <v>Southampton</v>
      </c>
    </row>
    <row r="475" spans="1:20">
      <c r="A475" s="37">
        <v>474</v>
      </c>
      <c r="B475" s="37">
        <v>1</v>
      </c>
      <c r="C475" s="37">
        <v>2</v>
      </c>
      <c r="D475" s="37" t="s">
        <v>2077</v>
      </c>
      <c r="E475" s="37" t="s">
        <v>2078</v>
      </c>
      <c r="F475" s="37" t="s">
        <v>1239</v>
      </c>
      <c r="G475" s="37" t="str">
        <f>_xlfn.XLOOKUP(F475,notes!$B$12:$B$18,notes!$C$12:$C$18,"Unknown")</f>
        <v>Female</v>
      </c>
      <c r="H475" s="38">
        <v>23</v>
      </c>
      <c r="I475" s="39" t="str">
        <f>_xlfn.XLOOKUP(H475,notes!$B$4:$B$8,notes!$C$4:$C$8,"Invalid",-1)</f>
        <v>Adult</v>
      </c>
      <c r="J475" s="37">
        <v>0</v>
      </c>
      <c r="K475" s="37">
        <v>0</v>
      </c>
      <c r="L475" s="37">
        <f t="shared" si="30"/>
        <v>1</v>
      </c>
      <c r="M475" s="40" t="str">
        <f t="shared" si="28"/>
        <v>Survived</v>
      </c>
      <c r="N475" s="37" t="str">
        <f>_xlfn.XLOOKUP(L475,notes!$B$28:$B$30,notes!$C$28:$C$30,"Unknown",-1)</f>
        <v>Alone</v>
      </c>
      <c r="O475" s="37" t="s">
        <v>685</v>
      </c>
      <c r="P475" s="37">
        <v>13.7917</v>
      </c>
      <c r="Q475" s="37" t="str">
        <f t="shared" si="31"/>
        <v>Mid</v>
      </c>
      <c r="R475" s="37" t="s">
        <v>443</v>
      </c>
      <c r="S475" s="37" t="s">
        <v>20</v>
      </c>
      <c r="T475" s="41" t="str">
        <f t="shared" si="29"/>
        <v>Cherbourg</v>
      </c>
    </row>
    <row r="476" spans="1:20">
      <c r="A476" s="37">
        <v>475</v>
      </c>
      <c r="B476" s="37">
        <v>0</v>
      </c>
      <c r="C476" s="37">
        <v>3</v>
      </c>
      <c r="D476" s="37" t="s">
        <v>2079</v>
      </c>
      <c r="E476" s="37" t="s">
        <v>2080</v>
      </c>
      <c r="F476" s="37" t="s">
        <v>1242</v>
      </c>
      <c r="G476" s="37" t="str">
        <f>_xlfn.XLOOKUP(F476,notes!$B$12:$B$18,notes!$C$12:$C$18,"Unknown")</f>
        <v>Female</v>
      </c>
      <c r="H476" s="38">
        <v>22</v>
      </c>
      <c r="I476" s="39" t="str">
        <f>_xlfn.XLOOKUP(H476,notes!$B$4:$B$8,notes!$C$4:$C$8,"Invalid",-1)</f>
        <v>Adult</v>
      </c>
      <c r="J476" s="37">
        <v>0</v>
      </c>
      <c r="K476" s="37">
        <v>0</v>
      </c>
      <c r="L476" s="37">
        <f t="shared" si="30"/>
        <v>1</v>
      </c>
      <c r="M476" s="40" t="str">
        <f t="shared" si="28"/>
        <v>Not Survived</v>
      </c>
      <c r="N476" s="37" t="str">
        <f>_xlfn.XLOOKUP(L476,notes!$B$28:$B$30,notes!$C$28:$C$30,"Unknown",-1)</f>
        <v>Alone</v>
      </c>
      <c r="O476" s="37">
        <v>7553</v>
      </c>
      <c r="P476" s="37">
        <v>9.8375</v>
      </c>
      <c r="Q476" s="37" t="str">
        <f t="shared" si="31"/>
        <v>Low</v>
      </c>
      <c r="R476" s="37" t="s">
        <v>1236</v>
      </c>
      <c r="S476" s="37" t="s">
        <v>15</v>
      </c>
      <c r="T476" s="41" t="str">
        <f t="shared" si="29"/>
        <v>Southampton</v>
      </c>
    </row>
    <row r="477" spans="1:20">
      <c r="A477" s="37">
        <v>476</v>
      </c>
      <c r="B477" s="37">
        <v>0</v>
      </c>
      <c r="C477" s="37">
        <v>1</v>
      </c>
      <c r="D477" s="37" t="s">
        <v>2081</v>
      </c>
      <c r="E477" s="37" t="s">
        <v>2082</v>
      </c>
      <c r="F477" s="37" t="s">
        <v>1235</v>
      </c>
      <c r="G477" s="37" t="str">
        <f>_xlfn.XLOOKUP(F477,notes!$B$12:$B$18,notes!$C$12:$C$18,"Unknown")</f>
        <v>Male</v>
      </c>
      <c r="H477" s="38" t="s">
        <v>1236</v>
      </c>
      <c r="I477" s="39" t="str">
        <f>_xlfn.XLOOKUP(H477,notes!$B$4:$B$8,notes!$C$4:$C$8,"Invalid",-1)</f>
        <v>Unknown</v>
      </c>
      <c r="J477" s="37">
        <v>0</v>
      </c>
      <c r="K477" s="37">
        <v>0</v>
      </c>
      <c r="L477" s="37">
        <f t="shared" si="30"/>
        <v>1</v>
      </c>
      <c r="M477" s="40" t="str">
        <f t="shared" si="28"/>
        <v>Not Survived</v>
      </c>
      <c r="N477" s="37" t="str">
        <f>_xlfn.XLOOKUP(L477,notes!$B$28:$B$30,notes!$C$28:$C$30,"Unknown",-1)</f>
        <v>Alone</v>
      </c>
      <c r="O477" s="37">
        <v>110465</v>
      </c>
      <c r="P477" s="37">
        <v>52</v>
      </c>
      <c r="Q477" s="37" t="str">
        <f t="shared" si="31"/>
        <v>High</v>
      </c>
      <c r="R477" s="37" t="s">
        <v>688</v>
      </c>
      <c r="S477" s="37" t="s">
        <v>15</v>
      </c>
      <c r="T477" s="41" t="str">
        <f t="shared" si="29"/>
        <v>Southampton</v>
      </c>
    </row>
    <row r="478" spans="1:20">
      <c r="A478" s="37">
        <v>477</v>
      </c>
      <c r="B478" s="37">
        <v>0</v>
      </c>
      <c r="C478" s="37">
        <v>2</v>
      </c>
      <c r="D478" s="37" t="s">
        <v>2083</v>
      </c>
      <c r="E478" s="37" t="s">
        <v>2084</v>
      </c>
      <c r="F478" s="37" t="s">
        <v>1235</v>
      </c>
      <c r="G478" s="37" t="str">
        <f>_xlfn.XLOOKUP(F478,notes!$B$12:$B$18,notes!$C$12:$C$18,"Unknown")</f>
        <v>Male</v>
      </c>
      <c r="H478" s="38">
        <v>34</v>
      </c>
      <c r="I478" s="39" t="str">
        <f>_xlfn.XLOOKUP(H478,notes!$B$4:$B$8,notes!$C$4:$C$8,"Invalid",-1)</f>
        <v>Adult</v>
      </c>
      <c r="J478" s="37">
        <v>1</v>
      </c>
      <c r="K478" s="37">
        <v>0</v>
      </c>
      <c r="L478" s="37">
        <f t="shared" si="30"/>
        <v>2</v>
      </c>
      <c r="M478" s="40" t="str">
        <f t="shared" si="28"/>
        <v>Not Survived</v>
      </c>
      <c r="N478" s="37" t="str">
        <f>_xlfn.XLOOKUP(L478,notes!$B$28:$B$30,notes!$C$28:$C$30,"Unknown",-1)</f>
        <v>Small Family</v>
      </c>
      <c r="O478" s="37">
        <v>31027</v>
      </c>
      <c r="P478" s="37">
        <v>21</v>
      </c>
      <c r="Q478" s="37" t="str">
        <f t="shared" si="31"/>
        <v>Mid</v>
      </c>
      <c r="R478" s="37" t="s">
        <v>1236</v>
      </c>
      <c r="S478" s="37" t="s">
        <v>15</v>
      </c>
      <c r="T478" s="41" t="str">
        <f t="shared" si="29"/>
        <v>Southampton</v>
      </c>
    </row>
    <row r="479" spans="1:20">
      <c r="A479" s="37">
        <v>478</v>
      </c>
      <c r="B479" s="37">
        <v>0</v>
      </c>
      <c r="C479" s="37">
        <v>3</v>
      </c>
      <c r="D479" s="37" t="s">
        <v>1233</v>
      </c>
      <c r="E479" s="37" t="s">
        <v>2085</v>
      </c>
      <c r="F479" s="37" t="s">
        <v>1235</v>
      </c>
      <c r="G479" s="37" t="str">
        <f>_xlfn.XLOOKUP(F479,notes!$B$12:$B$18,notes!$C$12:$C$18,"Unknown")</f>
        <v>Male</v>
      </c>
      <c r="H479" s="38">
        <v>29</v>
      </c>
      <c r="I479" s="39" t="str">
        <f>_xlfn.XLOOKUP(H479,notes!$B$4:$B$8,notes!$C$4:$C$8,"Invalid",-1)</f>
        <v>Adult</v>
      </c>
      <c r="J479" s="37">
        <v>1</v>
      </c>
      <c r="K479" s="37">
        <v>0</v>
      </c>
      <c r="L479" s="37">
        <f t="shared" si="30"/>
        <v>2</v>
      </c>
      <c r="M479" s="40" t="str">
        <f t="shared" si="28"/>
        <v>Not Survived</v>
      </c>
      <c r="N479" s="37" t="str">
        <f>_xlfn.XLOOKUP(L479,notes!$B$28:$B$30,notes!$C$28:$C$30,"Unknown",-1)</f>
        <v>Small Family</v>
      </c>
      <c r="O479" s="37">
        <v>3460</v>
      </c>
      <c r="P479" s="37">
        <v>7.0458</v>
      </c>
      <c r="Q479" s="37" t="str">
        <f t="shared" si="31"/>
        <v>Low</v>
      </c>
      <c r="R479" s="37" t="s">
        <v>1236</v>
      </c>
      <c r="S479" s="37" t="s">
        <v>15</v>
      </c>
      <c r="T479" s="41" t="str">
        <f t="shared" si="29"/>
        <v>Southampton</v>
      </c>
    </row>
    <row r="480" spans="1:20">
      <c r="A480" s="37">
        <v>479</v>
      </c>
      <c r="B480" s="37">
        <v>0</v>
      </c>
      <c r="C480" s="37">
        <v>3</v>
      </c>
      <c r="D480" s="37" t="s">
        <v>2086</v>
      </c>
      <c r="E480" s="37" t="s">
        <v>2087</v>
      </c>
      <c r="F480" s="37" t="s">
        <v>1235</v>
      </c>
      <c r="G480" s="37" t="str">
        <f>_xlfn.XLOOKUP(F480,notes!$B$12:$B$18,notes!$C$12:$C$18,"Unknown")</f>
        <v>Male</v>
      </c>
      <c r="H480" s="38">
        <v>22</v>
      </c>
      <c r="I480" s="39" t="str">
        <f>_xlfn.XLOOKUP(H480,notes!$B$4:$B$8,notes!$C$4:$C$8,"Invalid",-1)</f>
        <v>Adult</v>
      </c>
      <c r="J480" s="37">
        <v>0</v>
      </c>
      <c r="K480" s="37">
        <v>0</v>
      </c>
      <c r="L480" s="37">
        <f t="shared" si="30"/>
        <v>1</v>
      </c>
      <c r="M480" s="40" t="str">
        <f t="shared" si="28"/>
        <v>Not Survived</v>
      </c>
      <c r="N480" s="37" t="str">
        <f>_xlfn.XLOOKUP(L480,notes!$B$28:$B$30,notes!$C$28:$C$30,"Unknown",-1)</f>
        <v>Alone</v>
      </c>
      <c r="O480" s="37">
        <v>350060</v>
      </c>
      <c r="P480" s="37">
        <v>7.5208</v>
      </c>
      <c r="Q480" s="37" t="str">
        <f t="shared" si="31"/>
        <v>Low</v>
      </c>
      <c r="R480" s="37" t="s">
        <v>1236</v>
      </c>
      <c r="S480" s="37" t="s">
        <v>15</v>
      </c>
      <c r="T480" s="41" t="str">
        <f t="shared" si="29"/>
        <v>Southampton</v>
      </c>
    </row>
    <row r="481" spans="1:20">
      <c r="A481" s="37">
        <v>480</v>
      </c>
      <c r="B481" s="37">
        <v>1</v>
      </c>
      <c r="C481" s="37">
        <v>3</v>
      </c>
      <c r="D481" s="37" t="s">
        <v>2088</v>
      </c>
      <c r="E481" s="37" t="s">
        <v>2089</v>
      </c>
      <c r="F481" s="37" t="s">
        <v>1242</v>
      </c>
      <c r="G481" s="37" t="str">
        <f>_xlfn.XLOOKUP(F481,notes!$B$12:$B$18,notes!$C$12:$C$18,"Unknown")</f>
        <v>Female</v>
      </c>
      <c r="H481" s="38">
        <v>2</v>
      </c>
      <c r="I481" s="39" t="str">
        <f>_xlfn.XLOOKUP(H481,notes!$B$4:$B$8,notes!$C$4:$C$8,"Invalid",-1)</f>
        <v>Kid</v>
      </c>
      <c r="J481" s="37">
        <v>0</v>
      </c>
      <c r="K481" s="37">
        <v>1</v>
      </c>
      <c r="L481" s="37">
        <f t="shared" si="30"/>
        <v>2</v>
      </c>
      <c r="M481" s="40" t="str">
        <f t="shared" si="28"/>
        <v>Survived</v>
      </c>
      <c r="N481" s="37" t="str">
        <f>_xlfn.XLOOKUP(L481,notes!$B$28:$B$30,notes!$C$28:$C$30,"Unknown",-1)</f>
        <v>Small Family</v>
      </c>
      <c r="O481" s="37">
        <v>3101298</v>
      </c>
      <c r="P481" s="37">
        <v>12.2875</v>
      </c>
      <c r="Q481" s="37" t="str">
        <f t="shared" si="31"/>
        <v>Mid</v>
      </c>
      <c r="R481" s="37" t="s">
        <v>1236</v>
      </c>
      <c r="S481" s="37" t="s">
        <v>15</v>
      </c>
      <c r="T481" s="41" t="str">
        <f t="shared" si="29"/>
        <v>Southampton</v>
      </c>
    </row>
    <row r="482" spans="1:20">
      <c r="A482" s="37">
        <v>481</v>
      </c>
      <c r="B482" s="37">
        <v>0</v>
      </c>
      <c r="C482" s="37">
        <v>3</v>
      </c>
      <c r="D482" s="37" t="s">
        <v>1354</v>
      </c>
      <c r="E482" s="37" t="s">
        <v>2090</v>
      </c>
      <c r="F482" s="37" t="s">
        <v>1253</v>
      </c>
      <c r="G482" s="37" t="str">
        <f>_xlfn.XLOOKUP(F482,notes!$B$12:$B$18,notes!$C$12:$C$18,"Unknown")</f>
        <v>Male</v>
      </c>
      <c r="H482" s="38">
        <v>9</v>
      </c>
      <c r="I482" s="39" t="str">
        <f>_xlfn.XLOOKUP(H482,notes!$B$4:$B$8,notes!$C$4:$C$8,"Invalid",-1)</f>
        <v>Kid</v>
      </c>
      <c r="J482" s="37">
        <v>5</v>
      </c>
      <c r="K482" s="37">
        <v>2</v>
      </c>
      <c r="L482" s="37">
        <f t="shared" si="30"/>
        <v>8</v>
      </c>
      <c r="M482" s="40" t="str">
        <f t="shared" si="28"/>
        <v>Not Survived</v>
      </c>
      <c r="N482" s="37" t="str">
        <f>_xlfn.XLOOKUP(L482,notes!$B$28:$B$30,notes!$C$28:$C$30,"Unknown",-1)</f>
        <v>Large Family</v>
      </c>
      <c r="O482" s="37" t="s">
        <v>106</v>
      </c>
      <c r="P482" s="37">
        <v>46.9</v>
      </c>
      <c r="Q482" s="37" t="str">
        <f t="shared" si="31"/>
        <v>Mid</v>
      </c>
      <c r="R482" s="37" t="s">
        <v>1236</v>
      </c>
      <c r="S482" s="37" t="s">
        <v>15</v>
      </c>
      <c r="T482" s="41" t="str">
        <f t="shared" si="29"/>
        <v>Southampton</v>
      </c>
    </row>
    <row r="483" spans="1:20">
      <c r="A483" s="37">
        <v>482</v>
      </c>
      <c r="B483" s="37">
        <v>0</v>
      </c>
      <c r="C483" s="37">
        <v>2</v>
      </c>
      <c r="D483" s="37" t="s">
        <v>2091</v>
      </c>
      <c r="E483" s="37" t="s">
        <v>2092</v>
      </c>
      <c r="F483" s="37" t="s">
        <v>1235</v>
      </c>
      <c r="G483" s="37" t="str">
        <f>_xlfn.XLOOKUP(F483,notes!$B$12:$B$18,notes!$C$12:$C$18,"Unknown")</f>
        <v>Male</v>
      </c>
      <c r="H483" s="38" t="s">
        <v>1236</v>
      </c>
      <c r="I483" s="39" t="str">
        <f>_xlfn.XLOOKUP(H483,notes!$B$4:$B$8,notes!$C$4:$C$8,"Invalid",-1)</f>
        <v>Unknown</v>
      </c>
      <c r="J483" s="37">
        <v>0</v>
      </c>
      <c r="K483" s="37">
        <v>0</v>
      </c>
      <c r="L483" s="37">
        <f t="shared" si="30"/>
        <v>1</v>
      </c>
      <c r="M483" s="40" t="str">
        <f t="shared" si="28"/>
        <v>Not Survived</v>
      </c>
      <c r="N483" s="37" t="str">
        <f>_xlfn.XLOOKUP(L483,notes!$B$28:$B$30,notes!$C$28:$C$30,"Unknown",-1)</f>
        <v>Alone</v>
      </c>
      <c r="O483" s="37">
        <v>239854</v>
      </c>
      <c r="P483" s="37">
        <v>0</v>
      </c>
      <c r="Q483" s="37" t="str">
        <f t="shared" si="31"/>
        <v>Low</v>
      </c>
      <c r="R483" s="37" t="s">
        <v>1236</v>
      </c>
      <c r="S483" s="37" t="s">
        <v>15</v>
      </c>
      <c r="T483" s="41" t="str">
        <f t="shared" si="29"/>
        <v>Southampton</v>
      </c>
    </row>
    <row r="484" spans="1:20">
      <c r="A484" s="37">
        <v>483</v>
      </c>
      <c r="B484" s="37">
        <v>0</v>
      </c>
      <c r="C484" s="37">
        <v>3</v>
      </c>
      <c r="D484" s="37" t="s">
        <v>2093</v>
      </c>
      <c r="E484" s="37" t="s">
        <v>2094</v>
      </c>
      <c r="F484" s="37" t="s">
        <v>1235</v>
      </c>
      <c r="G484" s="37" t="str">
        <f>_xlfn.XLOOKUP(F484,notes!$B$12:$B$18,notes!$C$12:$C$18,"Unknown")</f>
        <v>Male</v>
      </c>
      <c r="H484" s="38">
        <v>50</v>
      </c>
      <c r="I484" s="39" t="str">
        <f>_xlfn.XLOOKUP(H484,notes!$B$4:$B$8,notes!$C$4:$C$8,"Invalid",-1)</f>
        <v>Adult</v>
      </c>
      <c r="J484" s="37">
        <v>0</v>
      </c>
      <c r="K484" s="37">
        <v>0</v>
      </c>
      <c r="L484" s="37">
        <f t="shared" si="30"/>
        <v>1</v>
      </c>
      <c r="M484" s="40" t="str">
        <f t="shared" si="28"/>
        <v>Not Survived</v>
      </c>
      <c r="N484" s="37" t="str">
        <f>_xlfn.XLOOKUP(L484,notes!$B$28:$B$30,notes!$C$28:$C$30,"Unknown",-1)</f>
        <v>Alone</v>
      </c>
      <c r="O484" s="37" t="s">
        <v>696</v>
      </c>
      <c r="P484" s="37">
        <v>8.05</v>
      </c>
      <c r="Q484" s="37" t="str">
        <f t="shared" si="31"/>
        <v>Low</v>
      </c>
      <c r="R484" s="37" t="s">
        <v>1236</v>
      </c>
      <c r="S484" s="37" t="s">
        <v>15</v>
      </c>
      <c r="T484" s="41" t="str">
        <f t="shared" si="29"/>
        <v>Southampton</v>
      </c>
    </row>
    <row r="485" spans="1:20">
      <c r="A485" s="37">
        <v>484</v>
      </c>
      <c r="B485" s="37">
        <v>1</v>
      </c>
      <c r="C485" s="37">
        <v>3</v>
      </c>
      <c r="D485" s="37" t="s">
        <v>2095</v>
      </c>
      <c r="E485" s="37" t="s">
        <v>2096</v>
      </c>
      <c r="F485" s="37" t="s">
        <v>1239</v>
      </c>
      <c r="G485" s="37" t="str">
        <f>_xlfn.XLOOKUP(F485,notes!$B$12:$B$18,notes!$C$12:$C$18,"Unknown")</f>
        <v>Female</v>
      </c>
      <c r="H485" s="38">
        <v>63</v>
      </c>
      <c r="I485" s="39" t="str">
        <f>_xlfn.XLOOKUP(H485,notes!$B$4:$B$8,notes!$C$4:$C$8,"Invalid",-1)</f>
        <v>Elderly</v>
      </c>
      <c r="J485" s="37">
        <v>0</v>
      </c>
      <c r="K485" s="37">
        <v>0</v>
      </c>
      <c r="L485" s="37">
        <f t="shared" si="30"/>
        <v>1</v>
      </c>
      <c r="M485" s="40" t="str">
        <f t="shared" si="28"/>
        <v>Survived</v>
      </c>
      <c r="N485" s="37" t="str">
        <f>_xlfn.XLOOKUP(L485,notes!$B$28:$B$30,notes!$C$28:$C$30,"Unknown",-1)</f>
        <v>Alone</v>
      </c>
      <c r="O485" s="37">
        <v>4134</v>
      </c>
      <c r="P485" s="37">
        <v>9.5875</v>
      </c>
      <c r="Q485" s="37" t="str">
        <f t="shared" si="31"/>
        <v>Low</v>
      </c>
      <c r="R485" s="37" t="s">
        <v>1236</v>
      </c>
      <c r="S485" s="37" t="s">
        <v>15</v>
      </c>
      <c r="T485" s="41" t="str">
        <f t="shared" si="29"/>
        <v>Southampton</v>
      </c>
    </row>
    <row r="486" spans="1:20">
      <c r="A486" s="37">
        <v>485</v>
      </c>
      <c r="B486" s="37">
        <v>1</v>
      </c>
      <c r="C486" s="37">
        <v>1</v>
      </c>
      <c r="D486" s="37" t="s">
        <v>1774</v>
      </c>
      <c r="E486" s="37" t="s">
        <v>2097</v>
      </c>
      <c r="F486" s="37" t="s">
        <v>1235</v>
      </c>
      <c r="G486" s="37" t="str">
        <f>_xlfn.XLOOKUP(F486,notes!$B$12:$B$18,notes!$C$12:$C$18,"Unknown")</f>
        <v>Male</v>
      </c>
      <c r="H486" s="38">
        <v>25</v>
      </c>
      <c r="I486" s="39" t="str">
        <f>_xlfn.XLOOKUP(H486,notes!$B$4:$B$8,notes!$C$4:$C$8,"Invalid",-1)</f>
        <v>Adult</v>
      </c>
      <c r="J486" s="37">
        <v>1</v>
      </c>
      <c r="K486" s="37">
        <v>0</v>
      </c>
      <c r="L486" s="37">
        <f t="shared" si="30"/>
        <v>2</v>
      </c>
      <c r="M486" s="40" t="str">
        <f t="shared" si="28"/>
        <v>Survived</v>
      </c>
      <c r="N486" s="37" t="str">
        <f>_xlfn.XLOOKUP(L486,notes!$B$28:$B$30,notes!$C$28:$C$30,"Unknown",-1)</f>
        <v>Small Family</v>
      </c>
      <c r="O486" s="37">
        <v>11967</v>
      </c>
      <c r="P486" s="37">
        <v>91.0792</v>
      </c>
      <c r="Q486" s="37" t="str">
        <f t="shared" si="31"/>
        <v>High</v>
      </c>
      <c r="R486" s="37" t="s">
        <v>440</v>
      </c>
      <c r="S486" s="37" t="s">
        <v>20</v>
      </c>
      <c r="T486" s="41" t="str">
        <f t="shared" si="29"/>
        <v>Cherbourg</v>
      </c>
    </row>
    <row r="487" spans="1:20">
      <c r="A487" s="37">
        <v>486</v>
      </c>
      <c r="B487" s="37">
        <v>0</v>
      </c>
      <c r="C487" s="37">
        <v>3</v>
      </c>
      <c r="D487" s="37" t="s">
        <v>1569</v>
      </c>
      <c r="E487" s="37" t="s">
        <v>2098</v>
      </c>
      <c r="F487" s="37" t="s">
        <v>1242</v>
      </c>
      <c r="G487" s="37" t="str">
        <f>_xlfn.XLOOKUP(F487,notes!$B$12:$B$18,notes!$C$12:$C$18,"Unknown")</f>
        <v>Female</v>
      </c>
      <c r="H487" s="38" t="s">
        <v>1236</v>
      </c>
      <c r="I487" s="39" t="str">
        <f>_xlfn.XLOOKUP(H487,notes!$B$4:$B$8,notes!$C$4:$C$8,"Invalid",-1)</f>
        <v>Unknown</v>
      </c>
      <c r="J487" s="37">
        <v>3</v>
      </c>
      <c r="K487" s="37">
        <v>1</v>
      </c>
      <c r="L487" s="37">
        <f t="shared" si="30"/>
        <v>5</v>
      </c>
      <c r="M487" s="40" t="str">
        <f t="shared" si="28"/>
        <v>Not Survived</v>
      </c>
      <c r="N487" s="37" t="str">
        <f>_xlfn.XLOOKUP(L487,notes!$B$28:$B$30,notes!$C$28:$C$30,"Unknown",-1)</f>
        <v>Large Family</v>
      </c>
      <c r="O487" s="37">
        <v>4133</v>
      </c>
      <c r="P487" s="37">
        <v>25.4667</v>
      </c>
      <c r="Q487" s="37" t="str">
        <f t="shared" si="31"/>
        <v>Mid</v>
      </c>
      <c r="R487" s="37" t="s">
        <v>1236</v>
      </c>
      <c r="S487" s="37" t="s">
        <v>15</v>
      </c>
      <c r="T487" s="41" t="str">
        <f t="shared" si="29"/>
        <v>Southampton</v>
      </c>
    </row>
    <row r="488" spans="1:20">
      <c r="A488" s="37">
        <v>487</v>
      </c>
      <c r="B488" s="37">
        <v>1</v>
      </c>
      <c r="C488" s="37">
        <v>1</v>
      </c>
      <c r="D488" s="37" t="s">
        <v>1658</v>
      </c>
      <c r="E488" s="37" t="s">
        <v>2099</v>
      </c>
      <c r="F488" s="37" t="s">
        <v>1239</v>
      </c>
      <c r="G488" s="37" t="str">
        <f>_xlfn.XLOOKUP(F488,notes!$B$12:$B$18,notes!$C$12:$C$18,"Unknown")</f>
        <v>Female</v>
      </c>
      <c r="H488" s="38">
        <v>35</v>
      </c>
      <c r="I488" s="39" t="str">
        <f>_xlfn.XLOOKUP(H488,notes!$B$4:$B$8,notes!$C$4:$C$8,"Invalid",-1)</f>
        <v>Adult</v>
      </c>
      <c r="J488" s="37">
        <v>1</v>
      </c>
      <c r="K488" s="37">
        <v>0</v>
      </c>
      <c r="L488" s="37">
        <f t="shared" si="30"/>
        <v>2</v>
      </c>
      <c r="M488" s="40" t="str">
        <f t="shared" si="28"/>
        <v>Survived</v>
      </c>
      <c r="N488" s="37" t="str">
        <f>_xlfn.XLOOKUP(L488,notes!$B$28:$B$30,notes!$C$28:$C$30,"Unknown",-1)</f>
        <v>Small Family</v>
      </c>
      <c r="O488" s="37">
        <v>19943</v>
      </c>
      <c r="P488" s="37">
        <v>90</v>
      </c>
      <c r="Q488" s="37" t="str">
        <f t="shared" si="31"/>
        <v>High</v>
      </c>
      <c r="R488" s="37" t="s">
        <v>343</v>
      </c>
      <c r="S488" s="37" t="s">
        <v>15</v>
      </c>
      <c r="T488" s="41" t="str">
        <f t="shared" si="29"/>
        <v>Southampton</v>
      </c>
    </row>
    <row r="489" spans="1:20">
      <c r="A489" s="37">
        <v>488</v>
      </c>
      <c r="B489" s="37">
        <v>0</v>
      </c>
      <c r="C489" s="37">
        <v>1</v>
      </c>
      <c r="D489" s="37" t="s">
        <v>2100</v>
      </c>
      <c r="E489" s="37" t="s">
        <v>2101</v>
      </c>
      <c r="F489" s="37" t="s">
        <v>1235</v>
      </c>
      <c r="G489" s="37" t="str">
        <f>_xlfn.XLOOKUP(F489,notes!$B$12:$B$18,notes!$C$12:$C$18,"Unknown")</f>
        <v>Male</v>
      </c>
      <c r="H489" s="38">
        <v>58</v>
      </c>
      <c r="I489" s="39" t="str">
        <f>_xlfn.XLOOKUP(H489,notes!$B$4:$B$8,notes!$C$4:$C$8,"Invalid",-1)</f>
        <v>Adult</v>
      </c>
      <c r="J489" s="37">
        <v>0</v>
      </c>
      <c r="K489" s="37">
        <v>0</v>
      </c>
      <c r="L489" s="37">
        <f t="shared" si="30"/>
        <v>1</v>
      </c>
      <c r="M489" s="40" t="str">
        <f t="shared" si="28"/>
        <v>Not Survived</v>
      </c>
      <c r="N489" s="37" t="str">
        <f>_xlfn.XLOOKUP(L489,notes!$B$28:$B$30,notes!$C$28:$C$30,"Unknown",-1)</f>
        <v>Alone</v>
      </c>
      <c r="O489" s="37">
        <v>11771</v>
      </c>
      <c r="P489" s="37">
        <v>29.7</v>
      </c>
      <c r="Q489" s="37" t="str">
        <f t="shared" si="31"/>
        <v>Mid</v>
      </c>
      <c r="R489" s="37" t="s">
        <v>702</v>
      </c>
      <c r="S489" s="37" t="s">
        <v>20</v>
      </c>
      <c r="T489" s="41" t="str">
        <f t="shared" si="29"/>
        <v>Cherbourg</v>
      </c>
    </row>
    <row r="490" spans="1:20">
      <c r="A490" s="37">
        <v>489</v>
      </c>
      <c r="B490" s="37">
        <v>0</v>
      </c>
      <c r="C490" s="37">
        <v>3</v>
      </c>
      <c r="D490" s="37" t="s">
        <v>2102</v>
      </c>
      <c r="E490" s="37" t="s">
        <v>2103</v>
      </c>
      <c r="F490" s="37" t="s">
        <v>1235</v>
      </c>
      <c r="G490" s="37" t="str">
        <f>_xlfn.XLOOKUP(F490,notes!$B$12:$B$18,notes!$C$12:$C$18,"Unknown")</f>
        <v>Male</v>
      </c>
      <c r="H490" s="38">
        <v>30</v>
      </c>
      <c r="I490" s="39" t="str">
        <f>_xlfn.XLOOKUP(H490,notes!$B$4:$B$8,notes!$C$4:$C$8,"Invalid",-1)</f>
        <v>Adult</v>
      </c>
      <c r="J490" s="37">
        <v>0</v>
      </c>
      <c r="K490" s="37">
        <v>0</v>
      </c>
      <c r="L490" s="37">
        <f t="shared" si="30"/>
        <v>1</v>
      </c>
      <c r="M490" s="40" t="str">
        <f t="shared" si="28"/>
        <v>Not Survived</v>
      </c>
      <c r="N490" s="37" t="str">
        <f>_xlfn.XLOOKUP(L490,notes!$B$28:$B$30,notes!$C$28:$C$30,"Unknown",-1)</f>
        <v>Alone</v>
      </c>
      <c r="O490" s="37" t="s">
        <v>704</v>
      </c>
      <c r="P490" s="37">
        <v>8.05</v>
      </c>
      <c r="Q490" s="37" t="str">
        <f t="shared" si="31"/>
        <v>Low</v>
      </c>
      <c r="R490" s="37" t="s">
        <v>1236</v>
      </c>
      <c r="S490" s="37" t="s">
        <v>15</v>
      </c>
      <c r="T490" s="41" t="str">
        <f t="shared" si="29"/>
        <v>Southampton</v>
      </c>
    </row>
    <row r="491" spans="1:20">
      <c r="A491" s="37">
        <v>490</v>
      </c>
      <c r="B491" s="37">
        <v>1</v>
      </c>
      <c r="C491" s="37">
        <v>3</v>
      </c>
      <c r="D491" s="37" t="s">
        <v>1870</v>
      </c>
      <c r="E491" s="37" t="s">
        <v>2104</v>
      </c>
      <c r="F491" s="37" t="s">
        <v>1253</v>
      </c>
      <c r="G491" s="37" t="str">
        <f>_xlfn.XLOOKUP(F491,notes!$B$12:$B$18,notes!$C$12:$C$18,"Unknown")</f>
        <v>Male</v>
      </c>
      <c r="H491" s="38">
        <v>9</v>
      </c>
      <c r="I491" s="39" t="str">
        <f>_xlfn.XLOOKUP(H491,notes!$B$4:$B$8,notes!$C$4:$C$8,"Invalid",-1)</f>
        <v>Kid</v>
      </c>
      <c r="J491" s="37">
        <v>1</v>
      </c>
      <c r="K491" s="37">
        <v>1</v>
      </c>
      <c r="L491" s="37">
        <f t="shared" si="30"/>
        <v>3</v>
      </c>
      <c r="M491" s="40" t="str">
        <f t="shared" si="28"/>
        <v>Survived</v>
      </c>
      <c r="N491" s="37" t="str">
        <f>_xlfn.XLOOKUP(L491,notes!$B$28:$B$30,notes!$C$28:$C$30,"Unknown",-1)</f>
        <v>Small Family</v>
      </c>
      <c r="O491" s="37" t="s">
        <v>523</v>
      </c>
      <c r="P491" s="37">
        <v>15.9</v>
      </c>
      <c r="Q491" s="37" t="str">
        <f t="shared" si="31"/>
        <v>Mid</v>
      </c>
      <c r="R491" s="37" t="s">
        <v>1236</v>
      </c>
      <c r="S491" s="37" t="s">
        <v>15</v>
      </c>
      <c r="T491" s="41" t="str">
        <f t="shared" si="29"/>
        <v>Southampton</v>
      </c>
    </row>
    <row r="492" spans="1:20">
      <c r="A492" s="37">
        <v>491</v>
      </c>
      <c r="B492" s="37">
        <v>0</v>
      </c>
      <c r="C492" s="37">
        <v>3</v>
      </c>
      <c r="D492" s="37" t="s">
        <v>2041</v>
      </c>
      <c r="E492" s="37" t="s">
        <v>2105</v>
      </c>
      <c r="F492" s="37" t="s">
        <v>1235</v>
      </c>
      <c r="G492" s="37" t="str">
        <f>_xlfn.XLOOKUP(F492,notes!$B$12:$B$18,notes!$C$12:$C$18,"Unknown")</f>
        <v>Male</v>
      </c>
      <c r="H492" s="38" t="s">
        <v>1236</v>
      </c>
      <c r="I492" s="39" t="str">
        <f>_xlfn.XLOOKUP(H492,notes!$B$4:$B$8,notes!$C$4:$C$8,"Invalid",-1)</f>
        <v>Unknown</v>
      </c>
      <c r="J492" s="37">
        <v>1</v>
      </c>
      <c r="K492" s="37">
        <v>0</v>
      </c>
      <c r="L492" s="37">
        <f t="shared" si="30"/>
        <v>2</v>
      </c>
      <c r="M492" s="40" t="str">
        <f t="shared" si="28"/>
        <v>Not Survived</v>
      </c>
      <c r="N492" s="37" t="str">
        <f>_xlfn.XLOOKUP(L492,notes!$B$28:$B$30,notes!$C$28:$C$30,"Unknown",-1)</f>
        <v>Small Family</v>
      </c>
      <c r="O492" s="37">
        <v>65304</v>
      </c>
      <c r="P492" s="37">
        <v>19.9667</v>
      </c>
      <c r="Q492" s="37" t="str">
        <f t="shared" si="31"/>
        <v>Mid</v>
      </c>
      <c r="R492" s="37" t="s">
        <v>1236</v>
      </c>
      <c r="S492" s="37" t="s">
        <v>15</v>
      </c>
      <c r="T492" s="41" t="str">
        <f t="shared" si="29"/>
        <v>Southampton</v>
      </c>
    </row>
    <row r="493" spans="1:20">
      <c r="A493" s="37">
        <v>492</v>
      </c>
      <c r="B493" s="37">
        <v>0</v>
      </c>
      <c r="C493" s="37">
        <v>3</v>
      </c>
      <c r="D493" s="37" t="s">
        <v>2106</v>
      </c>
      <c r="E493" s="37" t="s">
        <v>2107</v>
      </c>
      <c r="F493" s="37" t="s">
        <v>1235</v>
      </c>
      <c r="G493" s="37" t="str">
        <f>_xlfn.XLOOKUP(F493,notes!$B$12:$B$18,notes!$C$12:$C$18,"Unknown")</f>
        <v>Male</v>
      </c>
      <c r="H493" s="38">
        <v>21</v>
      </c>
      <c r="I493" s="39" t="str">
        <f>_xlfn.XLOOKUP(H493,notes!$B$4:$B$8,notes!$C$4:$C$8,"Invalid",-1)</f>
        <v>Adult</v>
      </c>
      <c r="J493" s="37">
        <v>0</v>
      </c>
      <c r="K493" s="37">
        <v>0</v>
      </c>
      <c r="L493" s="37">
        <f t="shared" si="30"/>
        <v>1</v>
      </c>
      <c r="M493" s="40" t="str">
        <f t="shared" si="28"/>
        <v>Not Survived</v>
      </c>
      <c r="N493" s="37" t="str">
        <f>_xlfn.XLOOKUP(L493,notes!$B$28:$B$30,notes!$C$28:$C$30,"Unknown",-1)</f>
        <v>Alone</v>
      </c>
      <c r="O493" s="37" t="s">
        <v>708</v>
      </c>
      <c r="P493" s="37">
        <v>7.25</v>
      </c>
      <c r="Q493" s="37" t="str">
        <f t="shared" si="31"/>
        <v>Low</v>
      </c>
      <c r="R493" s="37" t="s">
        <v>1236</v>
      </c>
      <c r="S493" s="37" t="s">
        <v>15</v>
      </c>
      <c r="T493" s="41" t="str">
        <f t="shared" si="29"/>
        <v>Southampton</v>
      </c>
    </row>
    <row r="494" spans="1:20">
      <c r="A494" s="37">
        <v>493</v>
      </c>
      <c r="B494" s="37">
        <v>0</v>
      </c>
      <c r="C494" s="37">
        <v>1</v>
      </c>
      <c r="D494" s="37" t="s">
        <v>2108</v>
      </c>
      <c r="E494" s="37" t="s">
        <v>2109</v>
      </c>
      <c r="F494" s="37" t="s">
        <v>1235</v>
      </c>
      <c r="G494" s="37" t="str">
        <f>_xlfn.XLOOKUP(F494,notes!$B$12:$B$18,notes!$C$12:$C$18,"Unknown")</f>
        <v>Male</v>
      </c>
      <c r="H494" s="38">
        <v>55</v>
      </c>
      <c r="I494" s="39" t="str">
        <f>_xlfn.XLOOKUP(H494,notes!$B$4:$B$8,notes!$C$4:$C$8,"Invalid",-1)</f>
        <v>Adult</v>
      </c>
      <c r="J494" s="37">
        <v>0</v>
      </c>
      <c r="K494" s="37">
        <v>0</v>
      </c>
      <c r="L494" s="37">
        <f t="shared" si="30"/>
        <v>1</v>
      </c>
      <c r="M494" s="40" t="str">
        <f t="shared" si="28"/>
        <v>Not Survived</v>
      </c>
      <c r="N494" s="37" t="str">
        <f>_xlfn.XLOOKUP(L494,notes!$B$28:$B$30,notes!$C$28:$C$30,"Unknown",-1)</f>
        <v>Alone</v>
      </c>
      <c r="O494" s="37">
        <v>113787</v>
      </c>
      <c r="P494" s="37">
        <v>30.5</v>
      </c>
      <c r="Q494" s="37" t="str">
        <f t="shared" si="31"/>
        <v>Mid</v>
      </c>
      <c r="R494" s="37" t="s">
        <v>710</v>
      </c>
      <c r="S494" s="37" t="s">
        <v>15</v>
      </c>
      <c r="T494" s="41" t="str">
        <f t="shared" si="29"/>
        <v>Southampton</v>
      </c>
    </row>
    <row r="495" spans="1:20">
      <c r="A495" s="37">
        <v>494</v>
      </c>
      <c r="B495" s="37">
        <v>0</v>
      </c>
      <c r="C495" s="37">
        <v>1</v>
      </c>
      <c r="D495" s="37" t="s">
        <v>2110</v>
      </c>
      <c r="E495" s="37" t="s">
        <v>2111</v>
      </c>
      <c r="F495" s="37" t="s">
        <v>1235</v>
      </c>
      <c r="G495" s="37" t="str">
        <f>_xlfn.XLOOKUP(F495,notes!$B$12:$B$18,notes!$C$12:$C$18,"Unknown")</f>
        <v>Male</v>
      </c>
      <c r="H495" s="38">
        <v>71</v>
      </c>
      <c r="I495" s="39" t="str">
        <f>_xlfn.XLOOKUP(H495,notes!$B$4:$B$8,notes!$C$4:$C$8,"Invalid",-1)</f>
        <v>Elderly</v>
      </c>
      <c r="J495" s="37">
        <v>0</v>
      </c>
      <c r="K495" s="37">
        <v>0</v>
      </c>
      <c r="L495" s="37">
        <f t="shared" si="30"/>
        <v>1</v>
      </c>
      <c r="M495" s="40" t="str">
        <f t="shared" si="28"/>
        <v>Not Survived</v>
      </c>
      <c r="N495" s="37" t="str">
        <f>_xlfn.XLOOKUP(L495,notes!$B$28:$B$30,notes!$C$28:$C$30,"Unknown",-1)</f>
        <v>Alone</v>
      </c>
      <c r="O495" s="37" t="s">
        <v>712</v>
      </c>
      <c r="P495" s="37">
        <v>49.5042</v>
      </c>
      <c r="Q495" s="37" t="str">
        <f t="shared" si="31"/>
        <v>Mid</v>
      </c>
      <c r="R495" s="37" t="s">
        <v>1236</v>
      </c>
      <c r="S495" s="37" t="s">
        <v>20</v>
      </c>
      <c r="T495" s="41" t="str">
        <f t="shared" si="29"/>
        <v>Cherbourg</v>
      </c>
    </row>
    <row r="496" spans="1:20">
      <c r="A496" s="37">
        <v>495</v>
      </c>
      <c r="B496" s="37">
        <v>0</v>
      </c>
      <c r="C496" s="37">
        <v>3</v>
      </c>
      <c r="D496" s="37" t="s">
        <v>2112</v>
      </c>
      <c r="E496" s="37" t="s">
        <v>2113</v>
      </c>
      <c r="F496" s="37" t="s">
        <v>1235</v>
      </c>
      <c r="G496" s="37" t="str">
        <f>_xlfn.XLOOKUP(F496,notes!$B$12:$B$18,notes!$C$12:$C$18,"Unknown")</f>
        <v>Male</v>
      </c>
      <c r="H496" s="38">
        <v>21</v>
      </c>
      <c r="I496" s="39" t="str">
        <f>_xlfn.XLOOKUP(H496,notes!$B$4:$B$8,notes!$C$4:$C$8,"Invalid",-1)</f>
        <v>Adult</v>
      </c>
      <c r="J496" s="37">
        <v>0</v>
      </c>
      <c r="K496" s="37">
        <v>0</v>
      </c>
      <c r="L496" s="37">
        <f t="shared" si="30"/>
        <v>1</v>
      </c>
      <c r="M496" s="40" t="str">
        <f t="shared" si="28"/>
        <v>Not Survived</v>
      </c>
      <c r="N496" s="37" t="str">
        <f>_xlfn.XLOOKUP(L496,notes!$B$28:$B$30,notes!$C$28:$C$30,"Unknown",-1)</f>
        <v>Alone</v>
      </c>
      <c r="O496" s="37" t="s">
        <v>714</v>
      </c>
      <c r="P496" s="37">
        <v>8.05</v>
      </c>
      <c r="Q496" s="37" t="str">
        <f t="shared" si="31"/>
        <v>Low</v>
      </c>
      <c r="R496" s="37" t="s">
        <v>1236</v>
      </c>
      <c r="S496" s="37" t="s">
        <v>15</v>
      </c>
      <c r="T496" s="41" t="str">
        <f t="shared" si="29"/>
        <v>Southampton</v>
      </c>
    </row>
    <row r="497" spans="1:20">
      <c r="A497" s="37">
        <v>496</v>
      </c>
      <c r="B497" s="37">
        <v>0</v>
      </c>
      <c r="C497" s="37">
        <v>3</v>
      </c>
      <c r="D497" s="37" t="s">
        <v>2114</v>
      </c>
      <c r="E497" s="37" t="s">
        <v>1619</v>
      </c>
      <c r="F497" s="37" t="s">
        <v>1235</v>
      </c>
      <c r="G497" s="37" t="str">
        <f>_xlfn.XLOOKUP(F497,notes!$B$12:$B$18,notes!$C$12:$C$18,"Unknown")</f>
        <v>Male</v>
      </c>
      <c r="H497" s="38" t="s">
        <v>1236</v>
      </c>
      <c r="I497" s="39" t="str">
        <f>_xlfn.XLOOKUP(H497,notes!$B$4:$B$8,notes!$C$4:$C$8,"Invalid",-1)</f>
        <v>Unknown</v>
      </c>
      <c r="J497" s="37">
        <v>0</v>
      </c>
      <c r="K497" s="37">
        <v>0</v>
      </c>
      <c r="L497" s="37">
        <f t="shared" si="30"/>
        <v>1</v>
      </c>
      <c r="M497" s="40" t="str">
        <f t="shared" si="28"/>
        <v>Not Survived</v>
      </c>
      <c r="N497" s="37" t="str">
        <f>_xlfn.XLOOKUP(L497,notes!$B$28:$B$30,notes!$C$28:$C$30,"Unknown",-1)</f>
        <v>Alone</v>
      </c>
      <c r="O497" s="37">
        <v>2627</v>
      </c>
      <c r="P497" s="37">
        <v>14.4583</v>
      </c>
      <c r="Q497" s="37" t="str">
        <f t="shared" si="31"/>
        <v>Mid</v>
      </c>
      <c r="R497" s="37" t="s">
        <v>1236</v>
      </c>
      <c r="S497" s="37" t="s">
        <v>20</v>
      </c>
      <c r="T497" s="41" t="str">
        <f t="shared" si="29"/>
        <v>Cherbourg</v>
      </c>
    </row>
    <row r="498" spans="1:20">
      <c r="A498" s="37">
        <v>497</v>
      </c>
      <c r="B498" s="37">
        <v>1</v>
      </c>
      <c r="C498" s="37">
        <v>1</v>
      </c>
      <c r="D498" s="37" t="s">
        <v>2115</v>
      </c>
      <c r="E498" s="37" t="s">
        <v>2116</v>
      </c>
      <c r="F498" s="37" t="s">
        <v>1242</v>
      </c>
      <c r="G498" s="37" t="str">
        <f>_xlfn.XLOOKUP(F498,notes!$B$12:$B$18,notes!$C$12:$C$18,"Unknown")</f>
        <v>Female</v>
      </c>
      <c r="H498" s="38">
        <v>54</v>
      </c>
      <c r="I498" s="39" t="str">
        <f>_xlfn.XLOOKUP(H498,notes!$B$4:$B$8,notes!$C$4:$C$8,"Invalid",-1)</f>
        <v>Adult</v>
      </c>
      <c r="J498" s="37">
        <v>1</v>
      </c>
      <c r="K498" s="37">
        <v>0</v>
      </c>
      <c r="L498" s="37">
        <f t="shared" si="30"/>
        <v>2</v>
      </c>
      <c r="M498" s="40" t="str">
        <f t="shared" si="28"/>
        <v>Survived</v>
      </c>
      <c r="N498" s="37" t="str">
        <f>_xlfn.XLOOKUP(L498,notes!$B$28:$B$30,notes!$C$28:$C$30,"Unknown",-1)</f>
        <v>Small Family</v>
      </c>
      <c r="O498" s="37">
        <v>36947</v>
      </c>
      <c r="P498" s="37">
        <v>78.2667</v>
      </c>
      <c r="Q498" s="37" t="str">
        <f t="shared" si="31"/>
        <v>High</v>
      </c>
      <c r="R498" s="37" t="s">
        <v>717</v>
      </c>
      <c r="S498" s="37" t="s">
        <v>20</v>
      </c>
      <c r="T498" s="41" t="str">
        <f t="shared" si="29"/>
        <v>Cherbourg</v>
      </c>
    </row>
    <row r="499" spans="1:20">
      <c r="A499" s="37">
        <v>498</v>
      </c>
      <c r="B499" s="37">
        <v>0</v>
      </c>
      <c r="C499" s="37">
        <v>3</v>
      </c>
      <c r="D499" s="37" t="s">
        <v>2117</v>
      </c>
      <c r="E499" s="37" t="s">
        <v>1683</v>
      </c>
      <c r="F499" s="37" t="s">
        <v>1235</v>
      </c>
      <c r="G499" s="37" t="str">
        <f>_xlfn.XLOOKUP(F499,notes!$B$12:$B$18,notes!$C$12:$C$18,"Unknown")</f>
        <v>Male</v>
      </c>
      <c r="H499" s="38" t="s">
        <v>1236</v>
      </c>
      <c r="I499" s="39" t="str">
        <f>_xlfn.XLOOKUP(H499,notes!$B$4:$B$8,notes!$C$4:$C$8,"Invalid",-1)</f>
        <v>Unknown</v>
      </c>
      <c r="J499" s="37">
        <v>0</v>
      </c>
      <c r="K499" s="37">
        <v>0</v>
      </c>
      <c r="L499" s="37">
        <f t="shared" si="30"/>
        <v>1</v>
      </c>
      <c r="M499" s="40" t="str">
        <f t="shared" si="28"/>
        <v>Not Survived</v>
      </c>
      <c r="N499" s="37" t="str">
        <f>_xlfn.XLOOKUP(L499,notes!$B$28:$B$30,notes!$C$28:$C$30,"Unknown",-1)</f>
        <v>Alone</v>
      </c>
      <c r="O499" s="37" t="s">
        <v>719</v>
      </c>
      <c r="P499" s="37">
        <v>15.1</v>
      </c>
      <c r="Q499" s="37" t="str">
        <f t="shared" si="31"/>
        <v>Mid</v>
      </c>
      <c r="R499" s="37" t="s">
        <v>1236</v>
      </c>
      <c r="S499" s="37" t="s">
        <v>15</v>
      </c>
      <c r="T499" s="41" t="str">
        <f t="shared" si="29"/>
        <v>Southampton</v>
      </c>
    </row>
    <row r="500" spans="1:20">
      <c r="A500" s="37">
        <v>499</v>
      </c>
      <c r="B500" s="37">
        <v>0</v>
      </c>
      <c r="C500" s="37">
        <v>1</v>
      </c>
      <c r="D500" s="37" t="s">
        <v>1785</v>
      </c>
      <c r="E500" s="37" t="s">
        <v>2118</v>
      </c>
      <c r="F500" s="37" t="s">
        <v>1239</v>
      </c>
      <c r="G500" s="37" t="str">
        <f>_xlfn.XLOOKUP(F500,notes!$B$12:$B$18,notes!$C$12:$C$18,"Unknown")</f>
        <v>Female</v>
      </c>
      <c r="H500" s="38">
        <v>25</v>
      </c>
      <c r="I500" s="39" t="str">
        <f>_xlfn.XLOOKUP(H500,notes!$B$4:$B$8,notes!$C$4:$C$8,"Invalid",-1)</f>
        <v>Adult</v>
      </c>
      <c r="J500" s="37">
        <v>1</v>
      </c>
      <c r="K500" s="37">
        <v>2</v>
      </c>
      <c r="L500" s="37">
        <f t="shared" si="30"/>
        <v>4</v>
      </c>
      <c r="M500" s="40" t="str">
        <f t="shared" si="28"/>
        <v>Not Survived</v>
      </c>
      <c r="N500" s="37" t="str">
        <f>_xlfn.XLOOKUP(L500,notes!$B$28:$B$30,notes!$C$28:$C$30,"Unknown",-1)</f>
        <v>Large Family</v>
      </c>
      <c r="O500" s="37">
        <v>113781</v>
      </c>
      <c r="P500" s="37">
        <v>151.55</v>
      </c>
      <c r="Q500" s="37" t="str">
        <f t="shared" si="31"/>
        <v>High</v>
      </c>
      <c r="R500" s="37" t="s">
        <v>450</v>
      </c>
      <c r="S500" s="37" t="s">
        <v>15</v>
      </c>
      <c r="T500" s="41" t="str">
        <f t="shared" si="29"/>
        <v>Southampton</v>
      </c>
    </row>
    <row r="501" spans="1:20">
      <c r="A501" s="37">
        <v>500</v>
      </c>
      <c r="B501" s="37">
        <v>0</v>
      </c>
      <c r="C501" s="37">
        <v>3</v>
      </c>
      <c r="D501" s="37" t="s">
        <v>2119</v>
      </c>
      <c r="E501" s="37" t="s">
        <v>2120</v>
      </c>
      <c r="F501" s="37" t="s">
        <v>1235</v>
      </c>
      <c r="G501" s="37" t="str">
        <f>_xlfn.XLOOKUP(F501,notes!$B$12:$B$18,notes!$C$12:$C$18,"Unknown")</f>
        <v>Male</v>
      </c>
      <c r="H501" s="38">
        <v>24</v>
      </c>
      <c r="I501" s="39" t="str">
        <f>_xlfn.XLOOKUP(H501,notes!$B$4:$B$8,notes!$C$4:$C$8,"Invalid",-1)</f>
        <v>Adult</v>
      </c>
      <c r="J501" s="37">
        <v>0</v>
      </c>
      <c r="K501" s="37">
        <v>0</v>
      </c>
      <c r="L501" s="37">
        <f t="shared" si="30"/>
        <v>1</v>
      </c>
      <c r="M501" s="40" t="str">
        <f t="shared" si="28"/>
        <v>Not Survived</v>
      </c>
      <c r="N501" s="37" t="str">
        <f>_xlfn.XLOOKUP(L501,notes!$B$28:$B$30,notes!$C$28:$C$30,"Unknown",-1)</f>
        <v>Alone</v>
      </c>
      <c r="O501" s="37">
        <v>350035</v>
      </c>
      <c r="P501" s="37">
        <v>7.7958</v>
      </c>
      <c r="Q501" s="37" t="str">
        <f t="shared" si="31"/>
        <v>Low</v>
      </c>
      <c r="R501" s="37" t="s">
        <v>1236</v>
      </c>
      <c r="S501" s="37" t="s">
        <v>15</v>
      </c>
      <c r="T501" s="41" t="str">
        <f t="shared" si="29"/>
        <v>Southampton</v>
      </c>
    </row>
    <row r="502" spans="1:20">
      <c r="A502" s="37">
        <v>501</v>
      </c>
      <c r="B502" s="37">
        <v>0</v>
      </c>
      <c r="C502" s="37">
        <v>3</v>
      </c>
      <c r="D502" s="37" t="s">
        <v>1548</v>
      </c>
      <c r="E502" s="37" t="s">
        <v>2121</v>
      </c>
      <c r="F502" s="37" t="s">
        <v>1235</v>
      </c>
      <c r="G502" s="37" t="str">
        <f>_xlfn.XLOOKUP(F502,notes!$B$12:$B$18,notes!$C$12:$C$18,"Unknown")</f>
        <v>Male</v>
      </c>
      <c r="H502" s="38">
        <v>17</v>
      </c>
      <c r="I502" s="39" t="str">
        <f>_xlfn.XLOOKUP(H502,notes!$B$4:$B$8,notes!$C$4:$C$8,"Invalid",-1)</f>
        <v>Teenager</v>
      </c>
      <c r="J502" s="37">
        <v>0</v>
      </c>
      <c r="K502" s="37">
        <v>0</v>
      </c>
      <c r="L502" s="37">
        <f t="shared" si="30"/>
        <v>1</v>
      </c>
      <c r="M502" s="40" t="str">
        <f t="shared" si="28"/>
        <v>Not Survived</v>
      </c>
      <c r="N502" s="37" t="str">
        <f>_xlfn.XLOOKUP(L502,notes!$B$28:$B$30,notes!$C$28:$C$30,"Unknown",-1)</f>
        <v>Alone</v>
      </c>
      <c r="O502" s="37">
        <v>315086</v>
      </c>
      <c r="P502" s="37">
        <v>8.6625</v>
      </c>
      <c r="Q502" s="37" t="str">
        <f t="shared" si="31"/>
        <v>Low</v>
      </c>
      <c r="R502" s="37" t="s">
        <v>1236</v>
      </c>
      <c r="S502" s="37" t="s">
        <v>15</v>
      </c>
      <c r="T502" s="41" t="str">
        <f t="shared" si="29"/>
        <v>Southampton</v>
      </c>
    </row>
    <row r="503" spans="1:20">
      <c r="A503" s="37">
        <v>502</v>
      </c>
      <c r="B503" s="37">
        <v>0</v>
      </c>
      <c r="C503" s="37">
        <v>3</v>
      </c>
      <c r="D503" s="37" t="s">
        <v>2122</v>
      </c>
      <c r="E503" s="37" t="s">
        <v>1890</v>
      </c>
      <c r="F503" s="37" t="s">
        <v>1242</v>
      </c>
      <c r="G503" s="37" t="str">
        <f>_xlfn.XLOOKUP(F503,notes!$B$12:$B$18,notes!$C$12:$C$18,"Unknown")</f>
        <v>Female</v>
      </c>
      <c r="H503" s="38">
        <v>21</v>
      </c>
      <c r="I503" s="39" t="str">
        <f>_xlfn.XLOOKUP(H503,notes!$B$4:$B$8,notes!$C$4:$C$8,"Invalid",-1)</f>
        <v>Adult</v>
      </c>
      <c r="J503" s="37">
        <v>0</v>
      </c>
      <c r="K503" s="37">
        <v>0</v>
      </c>
      <c r="L503" s="37">
        <f t="shared" si="30"/>
        <v>1</v>
      </c>
      <c r="M503" s="40" t="str">
        <f t="shared" si="28"/>
        <v>Not Survived</v>
      </c>
      <c r="N503" s="37" t="str">
        <f>_xlfn.XLOOKUP(L503,notes!$B$28:$B$30,notes!$C$28:$C$30,"Unknown",-1)</f>
        <v>Alone</v>
      </c>
      <c r="O503" s="37">
        <v>364846</v>
      </c>
      <c r="P503" s="37">
        <v>7.75</v>
      </c>
      <c r="Q503" s="37" t="str">
        <f t="shared" si="31"/>
        <v>Low</v>
      </c>
      <c r="R503" s="37" t="s">
        <v>1236</v>
      </c>
      <c r="S503" s="37" t="s">
        <v>28</v>
      </c>
      <c r="T503" s="41" t="str">
        <f t="shared" si="29"/>
        <v>Queenstown</v>
      </c>
    </row>
    <row r="504" spans="1:20">
      <c r="A504" s="37">
        <v>503</v>
      </c>
      <c r="B504" s="37">
        <v>0</v>
      </c>
      <c r="C504" s="37">
        <v>3</v>
      </c>
      <c r="D504" s="37" t="s">
        <v>2123</v>
      </c>
      <c r="E504" s="37" t="s">
        <v>2124</v>
      </c>
      <c r="F504" s="37" t="s">
        <v>1242</v>
      </c>
      <c r="G504" s="37" t="str">
        <f>_xlfn.XLOOKUP(F504,notes!$B$12:$B$18,notes!$C$12:$C$18,"Unknown")</f>
        <v>Female</v>
      </c>
      <c r="H504" s="38" t="s">
        <v>1236</v>
      </c>
      <c r="I504" s="39" t="str">
        <f>_xlfn.XLOOKUP(H504,notes!$B$4:$B$8,notes!$C$4:$C$8,"Invalid",-1)</f>
        <v>Unknown</v>
      </c>
      <c r="J504" s="37">
        <v>0</v>
      </c>
      <c r="K504" s="37">
        <v>0</v>
      </c>
      <c r="L504" s="37">
        <f t="shared" si="30"/>
        <v>1</v>
      </c>
      <c r="M504" s="40" t="str">
        <f t="shared" si="28"/>
        <v>Not Survived</v>
      </c>
      <c r="N504" s="37" t="str">
        <f>_xlfn.XLOOKUP(L504,notes!$B$28:$B$30,notes!$C$28:$C$30,"Unknown",-1)</f>
        <v>Alone</v>
      </c>
      <c r="O504" s="37">
        <v>330909</v>
      </c>
      <c r="P504" s="37">
        <v>7.6292</v>
      </c>
      <c r="Q504" s="37" t="str">
        <f t="shared" si="31"/>
        <v>Low</v>
      </c>
      <c r="R504" s="37" t="s">
        <v>1236</v>
      </c>
      <c r="S504" s="37" t="s">
        <v>28</v>
      </c>
      <c r="T504" s="41" t="str">
        <f t="shared" si="29"/>
        <v>Queenstown</v>
      </c>
    </row>
    <row r="505" spans="1:20">
      <c r="A505" s="37">
        <v>504</v>
      </c>
      <c r="B505" s="37">
        <v>0</v>
      </c>
      <c r="C505" s="37">
        <v>3</v>
      </c>
      <c r="D505" s="37" t="s">
        <v>2125</v>
      </c>
      <c r="E505" s="37" t="s">
        <v>2126</v>
      </c>
      <c r="F505" s="37" t="s">
        <v>1242</v>
      </c>
      <c r="G505" s="37" t="str">
        <f>_xlfn.XLOOKUP(F505,notes!$B$12:$B$18,notes!$C$12:$C$18,"Unknown")</f>
        <v>Female</v>
      </c>
      <c r="H505" s="38">
        <v>37</v>
      </c>
      <c r="I505" s="39" t="str">
        <f>_xlfn.XLOOKUP(H505,notes!$B$4:$B$8,notes!$C$4:$C$8,"Invalid",-1)</f>
        <v>Adult</v>
      </c>
      <c r="J505" s="37">
        <v>0</v>
      </c>
      <c r="K505" s="37">
        <v>0</v>
      </c>
      <c r="L505" s="37">
        <f t="shared" si="30"/>
        <v>1</v>
      </c>
      <c r="M505" s="40" t="str">
        <f t="shared" si="28"/>
        <v>Not Survived</v>
      </c>
      <c r="N505" s="37" t="str">
        <f>_xlfn.XLOOKUP(L505,notes!$B$28:$B$30,notes!$C$28:$C$30,"Unknown",-1)</f>
        <v>Alone</v>
      </c>
      <c r="O505" s="37">
        <v>4135</v>
      </c>
      <c r="P505" s="37">
        <v>9.5875</v>
      </c>
      <c r="Q505" s="37" t="str">
        <f t="shared" si="31"/>
        <v>Low</v>
      </c>
      <c r="R505" s="37" t="s">
        <v>1236</v>
      </c>
      <c r="S505" s="37" t="s">
        <v>15</v>
      </c>
      <c r="T505" s="41" t="str">
        <f t="shared" si="29"/>
        <v>Southampton</v>
      </c>
    </row>
    <row r="506" spans="1:20">
      <c r="A506" s="37">
        <v>505</v>
      </c>
      <c r="B506" s="37">
        <v>1</v>
      </c>
      <c r="C506" s="37">
        <v>1</v>
      </c>
      <c r="D506" s="37" t="s">
        <v>2127</v>
      </c>
      <c r="E506" s="37" t="s">
        <v>2128</v>
      </c>
      <c r="F506" s="37" t="s">
        <v>1242</v>
      </c>
      <c r="G506" s="37" t="str">
        <f>_xlfn.XLOOKUP(F506,notes!$B$12:$B$18,notes!$C$12:$C$18,"Unknown")</f>
        <v>Female</v>
      </c>
      <c r="H506" s="38">
        <v>16</v>
      </c>
      <c r="I506" s="39" t="str">
        <f>_xlfn.XLOOKUP(H506,notes!$B$4:$B$8,notes!$C$4:$C$8,"Invalid",-1)</f>
        <v>Teenager</v>
      </c>
      <c r="J506" s="37">
        <v>0</v>
      </c>
      <c r="K506" s="37">
        <v>0</v>
      </c>
      <c r="L506" s="37">
        <f t="shared" si="30"/>
        <v>1</v>
      </c>
      <c r="M506" s="40" t="str">
        <f t="shared" si="28"/>
        <v>Survived</v>
      </c>
      <c r="N506" s="37" t="str">
        <f>_xlfn.XLOOKUP(L506,notes!$B$28:$B$30,notes!$C$28:$C$30,"Unknown",-1)</f>
        <v>Alone</v>
      </c>
      <c r="O506" s="37">
        <v>110152</v>
      </c>
      <c r="P506" s="37">
        <v>86.5</v>
      </c>
      <c r="Q506" s="37" t="str">
        <f t="shared" si="31"/>
        <v>High</v>
      </c>
      <c r="R506" s="37" t="s">
        <v>727</v>
      </c>
      <c r="S506" s="37" t="s">
        <v>15</v>
      </c>
      <c r="T506" s="41" t="str">
        <f t="shared" si="29"/>
        <v>Southampton</v>
      </c>
    </row>
    <row r="507" spans="1:20">
      <c r="A507" s="37">
        <v>506</v>
      </c>
      <c r="B507" s="37">
        <v>0</v>
      </c>
      <c r="C507" s="37">
        <v>1</v>
      </c>
      <c r="D507" s="37" t="s">
        <v>1801</v>
      </c>
      <c r="E507" s="37" t="s">
        <v>2129</v>
      </c>
      <c r="F507" s="37" t="s">
        <v>1235</v>
      </c>
      <c r="G507" s="37" t="str">
        <f>_xlfn.XLOOKUP(F507,notes!$B$12:$B$18,notes!$C$12:$C$18,"Unknown")</f>
        <v>Male</v>
      </c>
      <c r="H507" s="38">
        <v>18</v>
      </c>
      <c r="I507" s="39" t="str">
        <f>_xlfn.XLOOKUP(H507,notes!$B$4:$B$8,notes!$C$4:$C$8,"Invalid",-1)</f>
        <v>Teenager</v>
      </c>
      <c r="J507" s="37">
        <v>1</v>
      </c>
      <c r="K507" s="37">
        <v>0</v>
      </c>
      <c r="L507" s="37">
        <f t="shared" si="30"/>
        <v>2</v>
      </c>
      <c r="M507" s="40" t="str">
        <f t="shared" si="28"/>
        <v>Not Survived</v>
      </c>
      <c r="N507" s="37" t="str">
        <f>_xlfn.XLOOKUP(L507,notes!$B$28:$B$30,notes!$C$28:$C$30,"Unknown",-1)</f>
        <v>Small Family</v>
      </c>
      <c r="O507" s="37" t="s">
        <v>463</v>
      </c>
      <c r="P507" s="37">
        <v>108.9</v>
      </c>
      <c r="Q507" s="37" t="str">
        <f t="shared" si="31"/>
        <v>High</v>
      </c>
      <c r="R507" s="37" t="s">
        <v>464</v>
      </c>
      <c r="S507" s="37" t="s">
        <v>20</v>
      </c>
      <c r="T507" s="41" t="str">
        <f t="shared" si="29"/>
        <v>Cherbourg</v>
      </c>
    </row>
    <row r="508" spans="1:20">
      <c r="A508" s="37">
        <v>507</v>
      </c>
      <c r="B508" s="37">
        <v>1</v>
      </c>
      <c r="C508" s="37">
        <v>2</v>
      </c>
      <c r="D508" s="37" t="s">
        <v>2130</v>
      </c>
      <c r="E508" s="37" t="s">
        <v>2131</v>
      </c>
      <c r="F508" s="37" t="s">
        <v>1239</v>
      </c>
      <c r="G508" s="37" t="str">
        <f>_xlfn.XLOOKUP(F508,notes!$B$12:$B$18,notes!$C$12:$C$18,"Unknown")</f>
        <v>Female</v>
      </c>
      <c r="H508" s="38">
        <v>33</v>
      </c>
      <c r="I508" s="39" t="str">
        <f>_xlfn.XLOOKUP(H508,notes!$B$4:$B$8,notes!$C$4:$C$8,"Invalid",-1)</f>
        <v>Adult</v>
      </c>
      <c r="J508" s="37">
        <v>0</v>
      </c>
      <c r="K508" s="37">
        <v>2</v>
      </c>
      <c r="L508" s="37">
        <f t="shared" si="30"/>
        <v>3</v>
      </c>
      <c r="M508" s="40" t="str">
        <f t="shared" si="28"/>
        <v>Survived</v>
      </c>
      <c r="N508" s="37" t="str">
        <f>_xlfn.XLOOKUP(L508,notes!$B$28:$B$30,notes!$C$28:$C$30,"Unknown",-1)</f>
        <v>Small Family</v>
      </c>
      <c r="O508" s="37">
        <v>26360</v>
      </c>
      <c r="P508" s="37">
        <v>26</v>
      </c>
      <c r="Q508" s="37" t="str">
        <f t="shared" si="31"/>
        <v>Mid</v>
      </c>
      <c r="R508" s="37" t="s">
        <v>1236</v>
      </c>
      <c r="S508" s="37" t="s">
        <v>15</v>
      </c>
      <c r="T508" s="41" t="str">
        <f t="shared" si="29"/>
        <v>Southampton</v>
      </c>
    </row>
    <row r="509" spans="1:20">
      <c r="A509" s="37">
        <v>508</v>
      </c>
      <c r="B509" s="37">
        <v>1</v>
      </c>
      <c r="C509" s="37">
        <v>1</v>
      </c>
      <c r="D509" s="37" t="s">
        <v>2132</v>
      </c>
      <c r="E509" s="37" t="s">
        <v>2133</v>
      </c>
      <c r="F509" s="37" t="s">
        <v>1235</v>
      </c>
      <c r="G509" s="37" t="str">
        <f>_xlfn.XLOOKUP(F509,notes!$B$12:$B$18,notes!$C$12:$C$18,"Unknown")</f>
        <v>Male</v>
      </c>
      <c r="H509" s="38" t="s">
        <v>1236</v>
      </c>
      <c r="I509" s="39" t="str">
        <f>_xlfn.XLOOKUP(H509,notes!$B$4:$B$8,notes!$C$4:$C$8,"Invalid",-1)</f>
        <v>Unknown</v>
      </c>
      <c r="J509" s="37">
        <v>0</v>
      </c>
      <c r="K509" s="37">
        <v>0</v>
      </c>
      <c r="L509" s="37">
        <f t="shared" si="30"/>
        <v>1</v>
      </c>
      <c r="M509" s="40" t="str">
        <f t="shared" si="28"/>
        <v>Survived</v>
      </c>
      <c r="N509" s="37" t="str">
        <f>_xlfn.XLOOKUP(L509,notes!$B$28:$B$30,notes!$C$28:$C$30,"Unknown",-1)</f>
        <v>Alone</v>
      </c>
      <c r="O509" s="37">
        <v>111427</v>
      </c>
      <c r="P509" s="37">
        <v>26.55</v>
      </c>
      <c r="Q509" s="37" t="str">
        <f t="shared" si="31"/>
        <v>Mid</v>
      </c>
      <c r="R509" s="37" t="s">
        <v>1236</v>
      </c>
      <c r="S509" s="37" t="s">
        <v>15</v>
      </c>
      <c r="T509" s="41" t="str">
        <f t="shared" si="29"/>
        <v>Southampton</v>
      </c>
    </row>
    <row r="510" spans="1:20">
      <c r="A510" s="37">
        <v>509</v>
      </c>
      <c r="B510" s="37">
        <v>0</v>
      </c>
      <c r="C510" s="37">
        <v>3</v>
      </c>
      <c r="D510" s="37" t="s">
        <v>1531</v>
      </c>
      <c r="E510" s="37" t="s">
        <v>2134</v>
      </c>
      <c r="F510" s="37" t="s">
        <v>1235</v>
      </c>
      <c r="G510" s="37" t="str">
        <f>_xlfn.XLOOKUP(F510,notes!$B$12:$B$18,notes!$C$12:$C$18,"Unknown")</f>
        <v>Male</v>
      </c>
      <c r="H510" s="38">
        <v>28</v>
      </c>
      <c r="I510" s="39" t="str">
        <f>_xlfn.XLOOKUP(H510,notes!$B$4:$B$8,notes!$C$4:$C$8,"Invalid",-1)</f>
        <v>Adult</v>
      </c>
      <c r="J510" s="37">
        <v>0</v>
      </c>
      <c r="K510" s="37">
        <v>0</v>
      </c>
      <c r="L510" s="37">
        <f t="shared" si="30"/>
        <v>1</v>
      </c>
      <c r="M510" s="40" t="str">
        <f t="shared" si="28"/>
        <v>Not Survived</v>
      </c>
      <c r="N510" s="37" t="str">
        <f>_xlfn.XLOOKUP(L510,notes!$B$28:$B$30,notes!$C$28:$C$30,"Unknown",-1)</f>
        <v>Alone</v>
      </c>
      <c r="O510" s="37" t="s">
        <v>732</v>
      </c>
      <c r="P510" s="37">
        <v>22.525</v>
      </c>
      <c r="Q510" s="37" t="str">
        <f t="shared" si="31"/>
        <v>Mid</v>
      </c>
      <c r="R510" s="37" t="s">
        <v>1236</v>
      </c>
      <c r="S510" s="37" t="s">
        <v>15</v>
      </c>
      <c r="T510" s="41" t="str">
        <f t="shared" si="29"/>
        <v>Southampton</v>
      </c>
    </row>
    <row r="511" spans="1:20">
      <c r="A511" s="37">
        <v>510</v>
      </c>
      <c r="B511" s="37">
        <v>1</v>
      </c>
      <c r="C511" s="37">
        <v>3</v>
      </c>
      <c r="D511" s="37" t="s">
        <v>2135</v>
      </c>
      <c r="E511" s="37" t="s">
        <v>2136</v>
      </c>
      <c r="F511" s="37" t="s">
        <v>1235</v>
      </c>
      <c r="G511" s="37" t="str">
        <f>_xlfn.XLOOKUP(F511,notes!$B$12:$B$18,notes!$C$12:$C$18,"Unknown")</f>
        <v>Male</v>
      </c>
      <c r="H511" s="38">
        <v>26</v>
      </c>
      <c r="I511" s="39" t="str">
        <f>_xlfn.XLOOKUP(H511,notes!$B$4:$B$8,notes!$C$4:$C$8,"Invalid",-1)</f>
        <v>Adult</v>
      </c>
      <c r="J511" s="37">
        <v>0</v>
      </c>
      <c r="K511" s="37">
        <v>0</v>
      </c>
      <c r="L511" s="37">
        <f t="shared" si="30"/>
        <v>1</v>
      </c>
      <c r="M511" s="40" t="str">
        <f t="shared" si="28"/>
        <v>Survived</v>
      </c>
      <c r="N511" s="37" t="str">
        <f>_xlfn.XLOOKUP(L511,notes!$B$28:$B$30,notes!$C$28:$C$30,"Unknown",-1)</f>
        <v>Alone</v>
      </c>
      <c r="O511" s="37">
        <v>1601</v>
      </c>
      <c r="P511" s="37">
        <v>56.4958</v>
      </c>
      <c r="Q511" s="37" t="str">
        <f t="shared" si="31"/>
        <v>High</v>
      </c>
      <c r="R511" s="37" t="s">
        <v>1236</v>
      </c>
      <c r="S511" s="37" t="s">
        <v>15</v>
      </c>
      <c r="T511" s="41" t="str">
        <f t="shared" si="29"/>
        <v>Southampton</v>
      </c>
    </row>
    <row r="512" spans="1:20">
      <c r="A512" s="37">
        <v>511</v>
      </c>
      <c r="B512" s="37">
        <v>1</v>
      </c>
      <c r="C512" s="37">
        <v>3</v>
      </c>
      <c r="D512" s="37" t="s">
        <v>2137</v>
      </c>
      <c r="E512" s="37" t="s">
        <v>2138</v>
      </c>
      <c r="F512" s="37" t="s">
        <v>1235</v>
      </c>
      <c r="G512" s="37" t="str">
        <f>_xlfn.XLOOKUP(F512,notes!$B$12:$B$18,notes!$C$12:$C$18,"Unknown")</f>
        <v>Male</v>
      </c>
      <c r="H512" s="38">
        <v>29</v>
      </c>
      <c r="I512" s="39" t="str">
        <f>_xlfn.XLOOKUP(H512,notes!$B$4:$B$8,notes!$C$4:$C$8,"Invalid",-1)</f>
        <v>Adult</v>
      </c>
      <c r="J512" s="37">
        <v>0</v>
      </c>
      <c r="K512" s="37">
        <v>0</v>
      </c>
      <c r="L512" s="37">
        <f t="shared" si="30"/>
        <v>1</v>
      </c>
      <c r="M512" s="40" t="str">
        <f t="shared" si="28"/>
        <v>Survived</v>
      </c>
      <c r="N512" s="37" t="str">
        <f>_xlfn.XLOOKUP(L512,notes!$B$28:$B$30,notes!$C$28:$C$30,"Unknown",-1)</f>
        <v>Alone</v>
      </c>
      <c r="O512" s="37">
        <v>382651</v>
      </c>
      <c r="P512" s="37">
        <v>7.75</v>
      </c>
      <c r="Q512" s="37" t="str">
        <f t="shared" si="31"/>
        <v>Low</v>
      </c>
      <c r="R512" s="37" t="s">
        <v>1236</v>
      </c>
      <c r="S512" s="37" t="s">
        <v>28</v>
      </c>
      <c r="T512" s="41" t="str">
        <f t="shared" si="29"/>
        <v>Queenstown</v>
      </c>
    </row>
    <row r="513" spans="1:20">
      <c r="A513" s="37">
        <v>512</v>
      </c>
      <c r="B513" s="37">
        <v>0</v>
      </c>
      <c r="C513" s="37">
        <v>3</v>
      </c>
      <c r="D513" s="37" t="s">
        <v>1473</v>
      </c>
      <c r="E513" s="37" t="s">
        <v>1248</v>
      </c>
      <c r="F513" s="37" t="s">
        <v>1235</v>
      </c>
      <c r="G513" s="37" t="str">
        <f>_xlfn.XLOOKUP(F513,notes!$B$12:$B$18,notes!$C$12:$C$18,"Unknown")</f>
        <v>Male</v>
      </c>
      <c r="H513" s="38" t="s">
        <v>1236</v>
      </c>
      <c r="I513" s="39" t="str">
        <f>_xlfn.XLOOKUP(H513,notes!$B$4:$B$8,notes!$C$4:$C$8,"Invalid",-1)</f>
        <v>Unknown</v>
      </c>
      <c r="J513" s="37">
        <v>0</v>
      </c>
      <c r="K513" s="37">
        <v>0</v>
      </c>
      <c r="L513" s="37">
        <f t="shared" si="30"/>
        <v>1</v>
      </c>
      <c r="M513" s="40" t="str">
        <f t="shared" si="28"/>
        <v>Not Survived</v>
      </c>
      <c r="N513" s="37" t="str">
        <f>_xlfn.XLOOKUP(L513,notes!$B$28:$B$30,notes!$C$28:$C$30,"Unknown",-1)</f>
        <v>Alone</v>
      </c>
      <c r="O513" s="37" t="s">
        <v>736</v>
      </c>
      <c r="P513" s="37">
        <v>8.05</v>
      </c>
      <c r="Q513" s="37" t="str">
        <f t="shared" si="31"/>
        <v>Low</v>
      </c>
      <c r="R513" s="37" t="s">
        <v>1236</v>
      </c>
      <c r="S513" s="37" t="s">
        <v>15</v>
      </c>
      <c r="T513" s="41" t="str">
        <f t="shared" si="29"/>
        <v>Southampton</v>
      </c>
    </row>
    <row r="514" spans="1:20">
      <c r="A514" s="37">
        <v>513</v>
      </c>
      <c r="B514" s="37">
        <v>1</v>
      </c>
      <c r="C514" s="37">
        <v>1</v>
      </c>
      <c r="D514" s="37" t="s">
        <v>2139</v>
      </c>
      <c r="E514" s="37" t="s">
        <v>2140</v>
      </c>
      <c r="F514" s="37" t="s">
        <v>1235</v>
      </c>
      <c r="G514" s="37" t="str">
        <f>_xlfn.XLOOKUP(F514,notes!$B$12:$B$18,notes!$C$12:$C$18,"Unknown")</f>
        <v>Male</v>
      </c>
      <c r="H514" s="38">
        <v>36</v>
      </c>
      <c r="I514" s="39" t="str">
        <f>_xlfn.XLOOKUP(H514,notes!$B$4:$B$8,notes!$C$4:$C$8,"Invalid",-1)</f>
        <v>Adult</v>
      </c>
      <c r="J514" s="37">
        <v>0</v>
      </c>
      <c r="K514" s="37">
        <v>0</v>
      </c>
      <c r="L514" s="37">
        <f t="shared" si="30"/>
        <v>1</v>
      </c>
      <c r="M514" s="40" t="str">
        <f t="shared" ref="M514:M577" si="32">IF(B514=1,"Survived","Not Survived")</f>
        <v>Survived</v>
      </c>
      <c r="N514" s="37" t="str">
        <f>_xlfn.XLOOKUP(L514,notes!$B$28:$B$30,notes!$C$28:$C$30,"Unknown",-1)</f>
        <v>Alone</v>
      </c>
      <c r="O514" s="37" t="s">
        <v>738</v>
      </c>
      <c r="P514" s="37">
        <v>26.2875</v>
      </c>
      <c r="Q514" s="37" t="str">
        <f t="shared" si="31"/>
        <v>Mid</v>
      </c>
      <c r="R514" s="37" t="s">
        <v>739</v>
      </c>
      <c r="S514" s="37" t="s">
        <v>15</v>
      </c>
      <c r="T514" s="41" t="str">
        <f t="shared" ref="T514:T577" si="33">IF(S514="Q","Queenstown",IF(S514="C","Cherbourg",IF(S514="S","Southampton","Unknown")))</f>
        <v>Southampton</v>
      </c>
    </row>
    <row r="515" spans="1:20">
      <c r="A515" s="37">
        <v>514</v>
      </c>
      <c r="B515" s="37">
        <v>1</v>
      </c>
      <c r="C515" s="37">
        <v>1</v>
      </c>
      <c r="D515" s="37" t="s">
        <v>2141</v>
      </c>
      <c r="E515" s="37" t="s">
        <v>2142</v>
      </c>
      <c r="F515" s="37" t="s">
        <v>1239</v>
      </c>
      <c r="G515" s="37" t="str">
        <f>_xlfn.XLOOKUP(F515,notes!$B$12:$B$18,notes!$C$12:$C$18,"Unknown")</f>
        <v>Female</v>
      </c>
      <c r="H515" s="38">
        <v>54</v>
      </c>
      <c r="I515" s="39" t="str">
        <f>_xlfn.XLOOKUP(H515,notes!$B$4:$B$8,notes!$C$4:$C$8,"Invalid",-1)</f>
        <v>Adult</v>
      </c>
      <c r="J515" s="37">
        <v>1</v>
      </c>
      <c r="K515" s="37">
        <v>0</v>
      </c>
      <c r="L515" s="37">
        <f t="shared" ref="L515:L578" si="34">(J515+K515)+1</f>
        <v>2</v>
      </c>
      <c r="M515" s="40" t="str">
        <f t="shared" si="32"/>
        <v>Survived</v>
      </c>
      <c r="N515" s="37" t="str">
        <f>_xlfn.XLOOKUP(L515,notes!$B$28:$B$30,notes!$C$28:$C$30,"Unknown",-1)</f>
        <v>Small Family</v>
      </c>
      <c r="O515" s="37" t="s">
        <v>741</v>
      </c>
      <c r="P515" s="37">
        <v>59.4</v>
      </c>
      <c r="Q515" s="37" t="str">
        <f t="shared" ref="Q515:Q578" si="35">IF(P515&gt;=50,"High",IF(P515&gt;=10,"Mid",IF(P515&lt;10,"Low","invalid")))</f>
        <v>High</v>
      </c>
      <c r="R515" s="37" t="s">
        <v>1236</v>
      </c>
      <c r="S515" s="37" t="s">
        <v>20</v>
      </c>
      <c r="T515" s="41" t="str">
        <f t="shared" si="33"/>
        <v>Cherbourg</v>
      </c>
    </row>
    <row r="516" spans="1:20">
      <c r="A516" s="37">
        <v>515</v>
      </c>
      <c r="B516" s="37">
        <v>0</v>
      </c>
      <c r="C516" s="37">
        <v>3</v>
      </c>
      <c r="D516" s="37" t="s">
        <v>2143</v>
      </c>
      <c r="E516" s="37" t="s">
        <v>2144</v>
      </c>
      <c r="F516" s="37" t="s">
        <v>1235</v>
      </c>
      <c r="G516" s="37" t="str">
        <f>_xlfn.XLOOKUP(F516,notes!$B$12:$B$18,notes!$C$12:$C$18,"Unknown")</f>
        <v>Male</v>
      </c>
      <c r="H516" s="38">
        <v>24</v>
      </c>
      <c r="I516" s="39" t="str">
        <f>_xlfn.XLOOKUP(H516,notes!$B$4:$B$8,notes!$C$4:$C$8,"Invalid",-1)</f>
        <v>Adult</v>
      </c>
      <c r="J516" s="37">
        <v>0</v>
      </c>
      <c r="K516" s="37">
        <v>0</v>
      </c>
      <c r="L516" s="37">
        <f t="shared" si="34"/>
        <v>1</v>
      </c>
      <c r="M516" s="40" t="str">
        <f t="shared" si="32"/>
        <v>Not Survived</v>
      </c>
      <c r="N516" s="37" t="str">
        <f>_xlfn.XLOOKUP(L516,notes!$B$28:$B$30,notes!$C$28:$C$30,"Unknown",-1)</f>
        <v>Alone</v>
      </c>
      <c r="O516" s="37">
        <v>349209</v>
      </c>
      <c r="P516" s="37">
        <v>7.4958</v>
      </c>
      <c r="Q516" s="37" t="str">
        <f t="shared" si="35"/>
        <v>Low</v>
      </c>
      <c r="R516" s="37" t="s">
        <v>1236</v>
      </c>
      <c r="S516" s="37" t="s">
        <v>15</v>
      </c>
      <c r="T516" s="41" t="str">
        <f t="shared" si="33"/>
        <v>Southampton</v>
      </c>
    </row>
    <row r="517" spans="1:20">
      <c r="A517" s="37">
        <v>516</v>
      </c>
      <c r="B517" s="37">
        <v>0</v>
      </c>
      <c r="C517" s="37">
        <v>1</v>
      </c>
      <c r="D517" s="37" t="s">
        <v>2145</v>
      </c>
      <c r="E517" s="37" t="s">
        <v>2146</v>
      </c>
      <c r="F517" s="37" t="s">
        <v>1235</v>
      </c>
      <c r="G517" s="37" t="str">
        <f>_xlfn.XLOOKUP(F517,notes!$B$12:$B$18,notes!$C$12:$C$18,"Unknown")</f>
        <v>Male</v>
      </c>
      <c r="H517" s="38">
        <v>47</v>
      </c>
      <c r="I517" s="39" t="str">
        <f>_xlfn.XLOOKUP(H517,notes!$B$4:$B$8,notes!$C$4:$C$8,"Invalid",-1)</f>
        <v>Adult</v>
      </c>
      <c r="J517" s="37">
        <v>0</v>
      </c>
      <c r="K517" s="37">
        <v>0</v>
      </c>
      <c r="L517" s="37">
        <f t="shared" si="34"/>
        <v>1</v>
      </c>
      <c r="M517" s="40" t="str">
        <f t="shared" si="32"/>
        <v>Not Survived</v>
      </c>
      <c r="N517" s="37" t="str">
        <f>_xlfn.XLOOKUP(L517,notes!$B$28:$B$30,notes!$C$28:$C$30,"Unknown",-1)</f>
        <v>Alone</v>
      </c>
      <c r="O517" s="37">
        <v>36967</v>
      </c>
      <c r="P517" s="37">
        <v>34.0208</v>
      </c>
      <c r="Q517" s="37" t="str">
        <f t="shared" si="35"/>
        <v>Mid</v>
      </c>
      <c r="R517" s="37" t="s">
        <v>744</v>
      </c>
      <c r="S517" s="37" t="s">
        <v>15</v>
      </c>
      <c r="T517" s="41" t="str">
        <f t="shared" si="33"/>
        <v>Southampton</v>
      </c>
    </row>
    <row r="518" spans="1:20">
      <c r="A518" s="37">
        <v>517</v>
      </c>
      <c r="B518" s="37">
        <v>1</v>
      </c>
      <c r="C518" s="37">
        <v>2</v>
      </c>
      <c r="D518" s="37" t="s">
        <v>2147</v>
      </c>
      <c r="E518" s="37" t="s">
        <v>2148</v>
      </c>
      <c r="F518" s="37" t="s">
        <v>1239</v>
      </c>
      <c r="G518" s="37" t="str">
        <f>_xlfn.XLOOKUP(F518,notes!$B$12:$B$18,notes!$C$12:$C$18,"Unknown")</f>
        <v>Female</v>
      </c>
      <c r="H518" s="38">
        <v>34</v>
      </c>
      <c r="I518" s="39" t="str">
        <f>_xlfn.XLOOKUP(H518,notes!$B$4:$B$8,notes!$C$4:$C$8,"Invalid",-1)</f>
        <v>Adult</v>
      </c>
      <c r="J518" s="37">
        <v>0</v>
      </c>
      <c r="K518" s="37">
        <v>0</v>
      </c>
      <c r="L518" s="37">
        <f t="shared" si="34"/>
        <v>1</v>
      </c>
      <c r="M518" s="40" t="str">
        <f t="shared" si="32"/>
        <v>Survived</v>
      </c>
      <c r="N518" s="37" t="str">
        <f>_xlfn.XLOOKUP(L518,notes!$B$28:$B$30,notes!$C$28:$C$30,"Unknown",-1)</f>
        <v>Alone</v>
      </c>
      <c r="O518" s="37" t="s">
        <v>746</v>
      </c>
      <c r="P518" s="37">
        <v>10.5</v>
      </c>
      <c r="Q518" s="37" t="str">
        <f t="shared" si="35"/>
        <v>Mid</v>
      </c>
      <c r="R518" s="37" t="s">
        <v>118</v>
      </c>
      <c r="S518" s="37" t="s">
        <v>15</v>
      </c>
      <c r="T518" s="41" t="str">
        <f t="shared" si="33"/>
        <v>Southampton</v>
      </c>
    </row>
    <row r="519" spans="1:20">
      <c r="A519" s="37">
        <v>518</v>
      </c>
      <c r="B519" s="37">
        <v>0</v>
      </c>
      <c r="C519" s="37">
        <v>3</v>
      </c>
      <c r="D519" s="37" t="s">
        <v>2149</v>
      </c>
      <c r="E519" s="37" t="s">
        <v>1463</v>
      </c>
      <c r="F519" s="37" t="s">
        <v>1235</v>
      </c>
      <c r="G519" s="37" t="str">
        <f>_xlfn.XLOOKUP(F519,notes!$B$12:$B$18,notes!$C$12:$C$18,"Unknown")</f>
        <v>Male</v>
      </c>
      <c r="H519" s="38" t="s">
        <v>1236</v>
      </c>
      <c r="I519" s="39" t="str">
        <f>_xlfn.XLOOKUP(H519,notes!$B$4:$B$8,notes!$C$4:$C$8,"Invalid",-1)</f>
        <v>Unknown</v>
      </c>
      <c r="J519" s="37">
        <v>0</v>
      </c>
      <c r="K519" s="37">
        <v>0</v>
      </c>
      <c r="L519" s="37">
        <f t="shared" si="34"/>
        <v>1</v>
      </c>
      <c r="M519" s="40" t="str">
        <f t="shared" si="32"/>
        <v>Not Survived</v>
      </c>
      <c r="N519" s="37" t="str">
        <f>_xlfn.XLOOKUP(L519,notes!$B$28:$B$30,notes!$C$28:$C$30,"Unknown",-1)</f>
        <v>Alone</v>
      </c>
      <c r="O519" s="37">
        <v>371110</v>
      </c>
      <c r="P519" s="37">
        <v>24.15</v>
      </c>
      <c r="Q519" s="37" t="str">
        <f t="shared" si="35"/>
        <v>Mid</v>
      </c>
      <c r="R519" s="37" t="s">
        <v>1236</v>
      </c>
      <c r="S519" s="37" t="s">
        <v>28</v>
      </c>
      <c r="T519" s="41" t="str">
        <f t="shared" si="33"/>
        <v>Queenstown</v>
      </c>
    </row>
    <row r="520" spans="1:20">
      <c r="A520" s="37">
        <v>519</v>
      </c>
      <c r="B520" s="37">
        <v>1</v>
      </c>
      <c r="C520" s="37">
        <v>2</v>
      </c>
      <c r="D520" s="37" t="s">
        <v>2150</v>
      </c>
      <c r="E520" s="37" t="s">
        <v>2151</v>
      </c>
      <c r="F520" s="37" t="s">
        <v>1239</v>
      </c>
      <c r="G520" s="37" t="str">
        <f>_xlfn.XLOOKUP(F520,notes!$B$12:$B$18,notes!$C$12:$C$18,"Unknown")</f>
        <v>Female</v>
      </c>
      <c r="H520" s="38">
        <v>36</v>
      </c>
      <c r="I520" s="39" t="str">
        <f>_xlfn.XLOOKUP(H520,notes!$B$4:$B$8,notes!$C$4:$C$8,"Invalid",-1)</f>
        <v>Adult</v>
      </c>
      <c r="J520" s="37">
        <v>1</v>
      </c>
      <c r="K520" s="37">
        <v>0</v>
      </c>
      <c r="L520" s="37">
        <f t="shared" si="34"/>
        <v>2</v>
      </c>
      <c r="M520" s="40" t="str">
        <f t="shared" si="32"/>
        <v>Survived</v>
      </c>
      <c r="N520" s="37" t="str">
        <f>_xlfn.XLOOKUP(L520,notes!$B$28:$B$30,notes!$C$28:$C$30,"Unknown",-1)</f>
        <v>Small Family</v>
      </c>
      <c r="O520" s="37">
        <v>226875</v>
      </c>
      <c r="P520" s="37">
        <v>26</v>
      </c>
      <c r="Q520" s="37" t="str">
        <f t="shared" si="35"/>
        <v>Mid</v>
      </c>
      <c r="R520" s="37" t="s">
        <v>1236</v>
      </c>
      <c r="S520" s="37" t="s">
        <v>15</v>
      </c>
      <c r="T520" s="41" t="str">
        <f t="shared" si="33"/>
        <v>Southampton</v>
      </c>
    </row>
    <row r="521" spans="1:20">
      <c r="A521" s="37">
        <v>520</v>
      </c>
      <c r="B521" s="37">
        <v>0</v>
      </c>
      <c r="C521" s="37">
        <v>3</v>
      </c>
      <c r="D521" s="37" t="s">
        <v>2152</v>
      </c>
      <c r="E521" s="37" t="s">
        <v>2153</v>
      </c>
      <c r="F521" s="37" t="s">
        <v>1235</v>
      </c>
      <c r="G521" s="37" t="str">
        <f>_xlfn.XLOOKUP(F521,notes!$B$12:$B$18,notes!$C$12:$C$18,"Unknown")</f>
        <v>Male</v>
      </c>
      <c r="H521" s="38">
        <v>32</v>
      </c>
      <c r="I521" s="39" t="str">
        <f>_xlfn.XLOOKUP(H521,notes!$B$4:$B$8,notes!$C$4:$C$8,"Invalid",-1)</f>
        <v>Adult</v>
      </c>
      <c r="J521" s="37">
        <v>0</v>
      </c>
      <c r="K521" s="37">
        <v>0</v>
      </c>
      <c r="L521" s="37">
        <f t="shared" si="34"/>
        <v>1</v>
      </c>
      <c r="M521" s="40" t="str">
        <f t="shared" si="32"/>
        <v>Not Survived</v>
      </c>
      <c r="N521" s="37" t="str">
        <f>_xlfn.XLOOKUP(L521,notes!$B$28:$B$30,notes!$C$28:$C$30,"Unknown",-1)</f>
        <v>Alone</v>
      </c>
      <c r="O521" s="37">
        <v>349242</v>
      </c>
      <c r="P521" s="37">
        <v>7.8958</v>
      </c>
      <c r="Q521" s="37" t="str">
        <f t="shared" si="35"/>
        <v>Low</v>
      </c>
      <c r="R521" s="37" t="s">
        <v>1236</v>
      </c>
      <c r="S521" s="37" t="s">
        <v>15</v>
      </c>
      <c r="T521" s="41" t="str">
        <f t="shared" si="33"/>
        <v>Southampton</v>
      </c>
    </row>
    <row r="522" spans="1:20">
      <c r="A522" s="37">
        <v>521</v>
      </c>
      <c r="B522" s="37">
        <v>1</v>
      </c>
      <c r="C522" s="37">
        <v>1</v>
      </c>
      <c r="D522" s="37" t="s">
        <v>2154</v>
      </c>
      <c r="E522" s="37" t="s">
        <v>2155</v>
      </c>
      <c r="F522" s="37" t="s">
        <v>1242</v>
      </c>
      <c r="G522" s="37" t="str">
        <f>_xlfn.XLOOKUP(F522,notes!$B$12:$B$18,notes!$C$12:$C$18,"Unknown")</f>
        <v>Female</v>
      </c>
      <c r="H522" s="38">
        <v>30</v>
      </c>
      <c r="I522" s="39" t="str">
        <f>_xlfn.XLOOKUP(H522,notes!$B$4:$B$8,notes!$C$4:$C$8,"Invalid",-1)</f>
        <v>Adult</v>
      </c>
      <c r="J522" s="37">
        <v>0</v>
      </c>
      <c r="K522" s="37">
        <v>0</v>
      </c>
      <c r="L522" s="37">
        <f t="shared" si="34"/>
        <v>1</v>
      </c>
      <c r="M522" s="40" t="str">
        <f t="shared" si="32"/>
        <v>Survived</v>
      </c>
      <c r="N522" s="37" t="str">
        <f>_xlfn.XLOOKUP(L522,notes!$B$28:$B$30,notes!$C$28:$C$30,"Unknown",-1)</f>
        <v>Alone</v>
      </c>
      <c r="O522" s="37">
        <v>12749</v>
      </c>
      <c r="P522" s="37">
        <v>93.5</v>
      </c>
      <c r="Q522" s="37" t="str">
        <f t="shared" si="35"/>
        <v>High</v>
      </c>
      <c r="R522" s="37" t="s">
        <v>751</v>
      </c>
      <c r="S522" s="37" t="s">
        <v>15</v>
      </c>
      <c r="T522" s="41" t="str">
        <f t="shared" si="33"/>
        <v>Southampton</v>
      </c>
    </row>
    <row r="523" spans="1:20">
      <c r="A523" s="37">
        <v>522</v>
      </c>
      <c r="B523" s="37">
        <v>0</v>
      </c>
      <c r="C523" s="37">
        <v>3</v>
      </c>
      <c r="D523" s="37" t="s">
        <v>2156</v>
      </c>
      <c r="E523" s="37" t="s">
        <v>2157</v>
      </c>
      <c r="F523" s="37" t="s">
        <v>1235</v>
      </c>
      <c r="G523" s="37" t="str">
        <f>_xlfn.XLOOKUP(F523,notes!$B$12:$B$18,notes!$C$12:$C$18,"Unknown")</f>
        <v>Male</v>
      </c>
      <c r="H523" s="38">
        <v>22</v>
      </c>
      <c r="I523" s="39" t="str">
        <f>_xlfn.XLOOKUP(H523,notes!$B$4:$B$8,notes!$C$4:$C$8,"Invalid",-1)</f>
        <v>Adult</v>
      </c>
      <c r="J523" s="37">
        <v>0</v>
      </c>
      <c r="K523" s="37">
        <v>0</v>
      </c>
      <c r="L523" s="37">
        <f t="shared" si="34"/>
        <v>1</v>
      </c>
      <c r="M523" s="40" t="str">
        <f t="shared" si="32"/>
        <v>Not Survived</v>
      </c>
      <c r="N523" s="37" t="str">
        <f>_xlfn.XLOOKUP(L523,notes!$B$28:$B$30,notes!$C$28:$C$30,"Unknown",-1)</f>
        <v>Alone</v>
      </c>
      <c r="O523" s="37">
        <v>349252</v>
      </c>
      <c r="P523" s="37">
        <v>7.8958</v>
      </c>
      <c r="Q523" s="37" t="str">
        <f t="shared" si="35"/>
        <v>Low</v>
      </c>
      <c r="R523" s="37" t="s">
        <v>1236</v>
      </c>
      <c r="S523" s="37" t="s">
        <v>15</v>
      </c>
      <c r="T523" s="41" t="str">
        <f t="shared" si="33"/>
        <v>Southampton</v>
      </c>
    </row>
    <row r="524" spans="1:20">
      <c r="A524" s="37">
        <v>523</v>
      </c>
      <c r="B524" s="37">
        <v>0</v>
      </c>
      <c r="C524" s="37">
        <v>3</v>
      </c>
      <c r="D524" s="37" t="s">
        <v>2158</v>
      </c>
      <c r="E524" s="37" t="s">
        <v>2159</v>
      </c>
      <c r="F524" s="37" t="s">
        <v>1235</v>
      </c>
      <c r="G524" s="37" t="str">
        <f>_xlfn.XLOOKUP(F524,notes!$B$12:$B$18,notes!$C$12:$C$18,"Unknown")</f>
        <v>Male</v>
      </c>
      <c r="H524" s="38" t="s">
        <v>1236</v>
      </c>
      <c r="I524" s="39" t="str">
        <f>_xlfn.XLOOKUP(H524,notes!$B$4:$B$8,notes!$C$4:$C$8,"Invalid",-1)</f>
        <v>Unknown</v>
      </c>
      <c r="J524" s="37">
        <v>0</v>
      </c>
      <c r="K524" s="37">
        <v>0</v>
      </c>
      <c r="L524" s="37">
        <f t="shared" si="34"/>
        <v>1</v>
      </c>
      <c r="M524" s="40" t="str">
        <f t="shared" si="32"/>
        <v>Not Survived</v>
      </c>
      <c r="N524" s="37" t="str">
        <f>_xlfn.XLOOKUP(L524,notes!$B$28:$B$30,notes!$C$28:$C$30,"Unknown",-1)</f>
        <v>Alone</v>
      </c>
      <c r="O524" s="37">
        <v>2624</v>
      </c>
      <c r="P524" s="37">
        <v>7.225</v>
      </c>
      <c r="Q524" s="37" t="str">
        <f t="shared" si="35"/>
        <v>Low</v>
      </c>
      <c r="R524" s="37" t="s">
        <v>1236</v>
      </c>
      <c r="S524" s="37" t="s">
        <v>20</v>
      </c>
      <c r="T524" s="41" t="str">
        <f t="shared" si="33"/>
        <v>Cherbourg</v>
      </c>
    </row>
    <row r="525" spans="1:20">
      <c r="A525" s="37">
        <v>524</v>
      </c>
      <c r="B525" s="37">
        <v>1</v>
      </c>
      <c r="C525" s="37">
        <v>1</v>
      </c>
      <c r="D525" s="37" t="s">
        <v>1840</v>
      </c>
      <c r="E525" s="37" t="s">
        <v>2160</v>
      </c>
      <c r="F525" s="37" t="s">
        <v>1239</v>
      </c>
      <c r="G525" s="37" t="str">
        <f>_xlfn.XLOOKUP(F525,notes!$B$12:$B$18,notes!$C$12:$C$18,"Unknown")</f>
        <v>Female</v>
      </c>
      <c r="H525" s="38">
        <v>44</v>
      </c>
      <c r="I525" s="39" t="str">
        <f>_xlfn.XLOOKUP(H525,notes!$B$4:$B$8,notes!$C$4:$C$8,"Invalid",-1)</f>
        <v>Adult</v>
      </c>
      <c r="J525" s="37">
        <v>0</v>
      </c>
      <c r="K525" s="37">
        <v>1</v>
      </c>
      <c r="L525" s="37">
        <f t="shared" si="34"/>
        <v>2</v>
      </c>
      <c r="M525" s="40" t="str">
        <f t="shared" si="32"/>
        <v>Survived</v>
      </c>
      <c r="N525" s="37" t="str">
        <f>_xlfn.XLOOKUP(L525,notes!$B$28:$B$30,notes!$C$28:$C$30,"Unknown",-1)</f>
        <v>Small Family</v>
      </c>
      <c r="O525" s="37">
        <v>111361</v>
      </c>
      <c r="P525" s="37">
        <v>57.9792</v>
      </c>
      <c r="Q525" s="37" t="str">
        <f t="shared" si="35"/>
        <v>High</v>
      </c>
      <c r="R525" s="37" t="s">
        <v>498</v>
      </c>
      <c r="S525" s="37" t="s">
        <v>20</v>
      </c>
      <c r="T525" s="41" t="str">
        <f t="shared" si="33"/>
        <v>Cherbourg</v>
      </c>
    </row>
    <row r="526" spans="1:20">
      <c r="A526" s="37">
        <v>525</v>
      </c>
      <c r="B526" s="37">
        <v>0</v>
      </c>
      <c r="C526" s="37">
        <v>3</v>
      </c>
      <c r="D526" s="37" t="s">
        <v>2161</v>
      </c>
      <c r="E526" s="37" t="s">
        <v>2162</v>
      </c>
      <c r="F526" s="37" t="s">
        <v>1235</v>
      </c>
      <c r="G526" s="37" t="str">
        <f>_xlfn.XLOOKUP(F526,notes!$B$12:$B$18,notes!$C$12:$C$18,"Unknown")</f>
        <v>Male</v>
      </c>
      <c r="H526" s="38" t="s">
        <v>1236</v>
      </c>
      <c r="I526" s="39" t="str">
        <f>_xlfn.XLOOKUP(H526,notes!$B$4:$B$8,notes!$C$4:$C$8,"Invalid",-1)</f>
        <v>Unknown</v>
      </c>
      <c r="J526" s="37">
        <v>0</v>
      </c>
      <c r="K526" s="37">
        <v>0</v>
      </c>
      <c r="L526" s="37">
        <f t="shared" si="34"/>
        <v>1</v>
      </c>
      <c r="M526" s="40" t="str">
        <f t="shared" si="32"/>
        <v>Not Survived</v>
      </c>
      <c r="N526" s="37" t="str">
        <f>_xlfn.XLOOKUP(L526,notes!$B$28:$B$30,notes!$C$28:$C$30,"Unknown",-1)</f>
        <v>Alone</v>
      </c>
      <c r="O526" s="37">
        <v>2700</v>
      </c>
      <c r="P526" s="37">
        <v>7.2292</v>
      </c>
      <c r="Q526" s="37" t="str">
        <f t="shared" si="35"/>
        <v>Low</v>
      </c>
      <c r="R526" s="37" t="s">
        <v>1236</v>
      </c>
      <c r="S526" s="37" t="s">
        <v>20</v>
      </c>
      <c r="T526" s="41" t="str">
        <f t="shared" si="33"/>
        <v>Cherbourg</v>
      </c>
    </row>
    <row r="527" spans="1:20">
      <c r="A527" s="37">
        <v>526</v>
      </c>
      <c r="B527" s="37">
        <v>0</v>
      </c>
      <c r="C527" s="37">
        <v>3</v>
      </c>
      <c r="D527" s="37" t="s">
        <v>2163</v>
      </c>
      <c r="E527" s="37" t="s">
        <v>1248</v>
      </c>
      <c r="F527" s="37" t="s">
        <v>1235</v>
      </c>
      <c r="G527" s="37" t="str">
        <f>_xlfn.XLOOKUP(F527,notes!$B$12:$B$18,notes!$C$12:$C$18,"Unknown")</f>
        <v>Male</v>
      </c>
      <c r="H527" s="38">
        <v>40.5</v>
      </c>
      <c r="I527" s="39" t="str">
        <f>_xlfn.XLOOKUP(H527,notes!$B$4:$B$8,notes!$C$4:$C$8,"Invalid",-1)</f>
        <v>Adult</v>
      </c>
      <c r="J527" s="37">
        <v>0</v>
      </c>
      <c r="K527" s="37">
        <v>0</v>
      </c>
      <c r="L527" s="37">
        <f t="shared" si="34"/>
        <v>1</v>
      </c>
      <c r="M527" s="40" t="str">
        <f t="shared" si="32"/>
        <v>Not Survived</v>
      </c>
      <c r="N527" s="37" t="str">
        <f>_xlfn.XLOOKUP(L527,notes!$B$28:$B$30,notes!$C$28:$C$30,"Unknown",-1)</f>
        <v>Alone</v>
      </c>
      <c r="O527" s="37">
        <v>367232</v>
      </c>
      <c r="P527" s="37">
        <v>7.75</v>
      </c>
      <c r="Q527" s="37" t="str">
        <f t="shared" si="35"/>
        <v>Low</v>
      </c>
      <c r="R527" s="37" t="s">
        <v>1236</v>
      </c>
      <c r="S527" s="37" t="s">
        <v>28</v>
      </c>
      <c r="T527" s="41" t="str">
        <f t="shared" si="33"/>
        <v>Queenstown</v>
      </c>
    </row>
    <row r="528" spans="1:20">
      <c r="A528" s="37">
        <v>527</v>
      </c>
      <c r="B528" s="37">
        <v>1</v>
      </c>
      <c r="C528" s="37">
        <v>2</v>
      </c>
      <c r="D528" s="37" t="s">
        <v>2164</v>
      </c>
      <c r="E528" s="37" t="s">
        <v>2165</v>
      </c>
      <c r="F528" s="37" t="s">
        <v>1242</v>
      </c>
      <c r="G528" s="37" t="str">
        <f>_xlfn.XLOOKUP(F528,notes!$B$12:$B$18,notes!$C$12:$C$18,"Unknown")</f>
        <v>Female</v>
      </c>
      <c r="H528" s="38">
        <v>50</v>
      </c>
      <c r="I528" s="39" t="str">
        <f>_xlfn.XLOOKUP(H528,notes!$B$4:$B$8,notes!$C$4:$C$8,"Invalid",-1)</f>
        <v>Adult</v>
      </c>
      <c r="J528" s="37">
        <v>0</v>
      </c>
      <c r="K528" s="37">
        <v>0</v>
      </c>
      <c r="L528" s="37">
        <f t="shared" si="34"/>
        <v>1</v>
      </c>
      <c r="M528" s="40" t="str">
        <f t="shared" si="32"/>
        <v>Survived</v>
      </c>
      <c r="N528" s="37" t="str">
        <f>_xlfn.XLOOKUP(L528,notes!$B$28:$B$30,notes!$C$28:$C$30,"Unknown",-1)</f>
        <v>Alone</v>
      </c>
      <c r="O528" s="37" t="s">
        <v>758</v>
      </c>
      <c r="P528" s="37">
        <v>10.5</v>
      </c>
      <c r="Q528" s="37" t="str">
        <f t="shared" si="35"/>
        <v>Mid</v>
      </c>
      <c r="R528" s="37" t="s">
        <v>1236</v>
      </c>
      <c r="S528" s="37" t="s">
        <v>15</v>
      </c>
      <c r="T528" s="41" t="str">
        <f t="shared" si="33"/>
        <v>Southampton</v>
      </c>
    </row>
    <row r="529" spans="1:20">
      <c r="A529" s="37">
        <v>528</v>
      </c>
      <c r="B529" s="37">
        <v>0</v>
      </c>
      <c r="C529" s="37">
        <v>1</v>
      </c>
      <c r="D529" s="37" t="s">
        <v>2166</v>
      </c>
      <c r="E529" s="37" t="s">
        <v>1592</v>
      </c>
      <c r="F529" s="37" t="s">
        <v>1235</v>
      </c>
      <c r="G529" s="37" t="str">
        <f>_xlfn.XLOOKUP(F529,notes!$B$12:$B$18,notes!$C$12:$C$18,"Unknown")</f>
        <v>Male</v>
      </c>
      <c r="H529" s="38" t="s">
        <v>1236</v>
      </c>
      <c r="I529" s="39" t="str">
        <f>_xlfn.XLOOKUP(H529,notes!$B$4:$B$8,notes!$C$4:$C$8,"Invalid",-1)</f>
        <v>Unknown</v>
      </c>
      <c r="J529" s="37">
        <v>0</v>
      </c>
      <c r="K529" s="37">
        <v>0</v>
      </c>
      <c r="L529" s="37">
        <f t="shared" si="34"/>
        <v>1</v>
      </c>
      <c r="M529" s="40" t="str">
        <f t="shared" si="32"/>
        <v>Not Survived</v>
      </c>
      <c r="N529" s="37" t="str">
        <f>_xlfn.XLOOKUP(L529,notes!$B$28:$B$30,notes!$C$28:$C$30,"Unknown",-1)</f>
        <v>Alone</v>
      </c>
      <c r="O529" s="37" t="s">
        <v>760</v>
      </c>
      <c r="P529" s="37">
        <v>221.7792</v>
      </c>
      <c r="Q529" s="37" t="str">
        <f t="shared" si="35"/>
        <v>High</v>
      </c>
      <c r="R529" s="37" t="s">
        <v>761</v>
      </c>
      <c r="S529" s="37" t="s">
        <v>15</v>
      </c>
      <c r="T529" s="41" t="str">
        <f t="shared" si="33"/>
        <v>Southampton</v>
      </c>
    </row>
    <row r="530" spans="1:20">
      <c r="A530" s="37">
        <v>529</v>
      </c>
      <c r="B530" s="37">
        <v>0</v>
      </c>
      <c r="C530" s="37">
        <v>3</v>
      </c>
      <c r="D530" s="37" t="s">
        <v>2167</v>
      </c>
      <c r="E530" s="37" t="s">
        <v>2168</v>
      </c>
      <c r="F530" s="37" t="s">
        <v>1235</v>
      </c>
      <c r="G530" s="37" t="str">
        <f>_xlfn.XLOOKUP(F530,notes!$B$12:$B$18,notes!$C$12:$C$18,"Unknown")</f>
        <v>Male</v>
      </c>
      <c r="H530" s="38">
        <v>39</v>
      </c>
      <c r="I530" s="39" t="str">
        <f>_xlfn.XLOOKUP(H530,notes!$B$4:$B$8,notes!$C$4:$C$8,"Invalid",-1)</f>
        <v>Adult</v>
      </c>
      <c r="J530" s="37">
        <v>0</v>
      </c>
      <c r="K530" s="37">
        <v>0</v>
      </c>
      <c r="L530" s="37">
        <f t="shared" si="34"/>
        <v>1</v>
      </c>
      <c r="M530" s="40" t="str">
        <f t="shared" si="32"/>
        <v>Not Survived</v>
      </c>
      <c r="N530" s="37" t="str">
        <f>_xlfn.XLOOKUP(L530,notes!$B$28:$B$30,notes!$C$28:$C$30,"Unknown",-1)</f>
        <v>Alone</v>
      </c>
      <c r="O530" s="37">
        <v>3101296</v>
      </c>
      <c r="P530" s="37">
        <v>7.925</v>
      </c>
      <c r="Q530" s="37" t="str">
        <f t="shared" si="35"/>
        <v>Low</v>
      </c>
      <c r="R530" s="37" t="s">
        <v>1236</v>
      </c>
      <c r="S530" s="37" t="s">
        <v>15</v>
      </c>
      <c r="T530" s="41" t="str">
        <f t="shared" si="33"/>
        <v>Southampton</v>
      </c>
    </row>
    <row r="531" spans="1:20">
      <c r="A531" s="37">
        <v>530</v>
      </c>
      <c r="B531" s="37">
        <v>0</v>
      </c>
      <c r="C531" s="37">
        <v>2</v>
      </c>
      <c r="D531" s="37" t="s">
        <v>2169</v>
      </c>
      <c r="E531" s="37" t="s">
        <v>2170</v>
      </c>
      <c r="F531" s="37" t="s">
        <v>1235</v>
      </c>
      <c r="G531" s="37" t="str">
        <f>_xlfn.XLOOKUP(F531,notes!$B$12:$B$18,notes!$C$12:$C$18,"Unknown")</f>
        <v>Male</v>
      </c>
      <c r="H531" s="38">
        <v>23</v>
      </c>
      <c r="I531" s="39" t="str">
        <f>_xlfn.XLOOKUP(H531,notes!$B$4:$B$8,notes!$C$4:$C$8,"Invalid",-1)</f>
        <v>Adult</v>
      </c>
      <c r="J531" s="37">
        <v>2</v>
      </c>
      <c r="K531" s="37">
        <v>1</v>
      </c>
      <c r="L531" s="37">
        <f t="shared" si="34"/>
        <v>4</v>
      </c>
      <c r="M531" s="40" t="str">
        <f t="shared" si="32"/>
        <v>Not Survived</v>
      </c>
      <c r="N531" s="37" t="str">
        <f>_xlfn.XLOOKUP(L531,notes!$B$28:$B$30,notes!$C$28:$C$30,"Unknown",-1)</f>
        <v>Large Family</v>
      </c>
      <c r="O531" s="37">
        <v>29104</v>
      </c>
      <c r="P531" s="37">
        <v>11.5</v>
      </c>
      <c r="Q531" s="37" t="str">
        <f t="shared" si="35"/>
        <v>Mid</v>
      </c>
      <c r="R531" s="37" t="s">
        <v>1236</v>
      </c>
      <c r="S531" s="37" t="s">
        <v>15</v>
      </c>
      <c r="T531" s="41" t="str">
        <f t="shared" si="33"/>
        <v>Southampton</v>
      </c>
    </row>
    <row r="532" spans="1:20">
      <c r="A532" s="37">
        <v>531</v>
      </c>
      <c r="B532" s="37">
        <v>1</v>
      </c>
      <c r="C532" s="37">
        <v>2</v>
      </c>
      <c r="D532" s="37" t="s">
        <v>2130</v>
      </c>
      <c r="E532" s="37" t="s">
        <v>2171</v>
      </c>
      <c r="F532" s="37" t="s">
        <v>1242</v>
      </c>
      <c r="G532" s="37" t="str">
        <f>_xlfn.XLOOKUP(F532,notes!$B$12:$B$18,notes!$C$12:$C$18,"Unknown")</f>
        <v>Female</v>
      </c>
      <c r="H532" s="38">
        <v>2</v>
      </c>
      <c r="I532" s="39" t="str">
        <f>_xlfn.XLOOKUP(H532,notes!$B$4:$B$8,notes!$C$4:$C$8,"Invalid",-1)</f>
        <v>Kid</v>
      </c>
      <c r="J532" s="37">
        <v>1</v>
      </c>
      <c r="K532" s="37">
        <v>1</v>
      </c>
      <c r="L532" s="37">
        <f t="shared" si="34"/>
        <v>3</v>
      </c>
      <c r="M532" s="40" t="str">
        <f t="shared" si="32"/>
        <v>Survived</v>
      </c>
      <c r="N532" s="37" t="str">
        <f>_xlfn.XLOOKUP(L532,notes!$B$28:$B$30,notes!$C$28:$C$30,"Unknown",-1)</f>
        <v>Small Family</v>
      </c>
      <c r="O532" s="37">
        <v>26360</v>
      </c>
      <c r="P532" s="37">
        <v>26</v>
      </c>
      <c r="Q532" s="37" t="str">
        <f t="shared" si="35"/>
        <v>Mid</v>
      </c>
      <c r="R532" s="37" t="s">
        <v>1236</v>
      </c>
      <c r="S532" s="37" t="s">
        <v>15</v>
      </c>
      <c r="T532" s="41" t="str">
        <f t="shared" si="33"/>
        <v>Southampton</v>
      </c>
    </row>
    <row r="533" spans="1:20">
      <c r="A533" s="37">
        <v>532</v>
      </c>
      <c r="B533" s="37">
        <v>0</v>
      </c>
      <c r="C533" s="37">
        <v>3</v>
      </c>
      <c r="D533" s="37" t="s">
        <v>2172</v>
      </c>
      <c r="E533" s="37" t="s">
        <v>2173</v>
      </c>
      <c r="F533" s="37" t="s">
        <v>1235</v>
      </c>
      <c r="G533" s="37" t="str">
        <f>_xlfn.XLOOKUP(F533,notes!$B$12:$B$18,notes!$C$12:$C$18,"Unknown")</f>
        <v>Male</v>
      </c>
      <c r="H533" s="38" t="s">
        <v>1236</v>
      </c>
      <c r="I533" s="39" t="str">
        <f>_xlfn.XLOOKUP(H533,notes!$B$4:$B$8,notes!$C$4:$C$8,"Invalid",-1)</f>
        <v>Unknown</v>
      </c>
      <c r="J533" s="37">
        <v>0</v>
      </c>
      <c r="K533" s="37">
        <v>0</v>
      </c>
      <c r="L533" s="37">
        <f t="shared" si="34"/>
        <v>1</v>
      </c>
      <c r="M533" s="40" t="str">
        <f t="shared" si="32"/>
        <v>Not Survived</v>
      </c>
      <c r="N533" s="37" t="str">
        <f>_xlfn.XLOOKUP(L533,notes!$B$28:$B$30,notes!$C$28:$C$30,"Unknown",-1)</f>
        <v>Alone</v>
      </c>
      <c r="O533" s="37">
        <v>2641</v>
      </c>
      <c r="P533" s="37">
        <v>7.2292</v>
      </c>
      <c r="Q533" s="37" t="str">
        <f t="shared" si="35"/>
        <v>Low</v>
      </c>
      <c r="R533" s="37" t="s">
        <v>1236</v>
      </c>
      <c r="S533" s="37" t="s">
        <v>20</v>
      </c>
      <c r="T533" s="41" t="str">
        <f t="shared" si="33"/>
        <v>Cherbourg</v>
      </c>
    </row>
    <row r="534" spans="1:20">
      <c r="A534" s="37">
        <v>533</v>
      </c>
      <c r="B534" s="37">
        <v>0</v>
      </c>
      <c r="C534" s="37">
        <v>3</v>
      </c>
      <c r="D534" s="37" t="s">
        <v>1878</v>
      </c>
      <c r="E534" s="37" t="s">
        <v>2174</v>
      </c>
      <c r="F534" s="37" t="s">
        <v>1235</v>
      </c>
      <c r="G534" s="37" t="str">
        <f>_xlfn.XLOOKUP(F534,notes!$B$12:$B$18,notes!$C$12:$C$18,"Unknown")</f>
        <v>Male</v>
      </c>
      <c r="H534" s="38">
        <v>17</v>
      </c>
      <c r="I534" s="39" t="str">
        <f>_xlfn.XLOOKUP(H534,notes!$B$4:$B$8,notes!$C$4:$C$8,"Invalid",-1)</f>
        <v>Teenager</v>
      </c>
      <c r="J534" s="37">
        <v>1</v>
      </c>
      <c r="K534" s="37">
        <v>1</v>
      </c>
      <c r="L534" s="37">
        <f t="shared" si="34"/>
        <v>3</v>
      </c>
      <c r="M534" s="40" t="str">
        <f t="shared" si="32"/>
        <v>Not Survived</v>
      </c>
      <c r="N534" s="37" t="str">
        <f>_xlfn.XLOOKUP(L534,notes!$B$28:$B$30,notes!$C$28:$C$30,"Unknown",-1)</f>
        <v>Small Family</v>
      </c>
      <c r="O534" s="37">
        <v>2690</v>
      </c>
      <c r="P534" s="37">
        <v>7.2292</v>
      </c>
      <c r="Q534" s="37" t="str">
        <f t="shared" si="35"/>
        <v>Low</v>
      </c>
      <c r="R534" s="37" t="s">
        <v>1236</v>
      </c>
      <c r="S534" s="37" t="s">
        <v>20</v>
      </c>
      <c r="T534" s="41" t="str">
        <f t="shared" si="33"/>
        <v>Cherbourg</v>
      </c>
    </row>
    <row r="535" spans="1:20">
      <c r="A535" s="37">
        <v>534</v>
      </c>
      <c r="B535" s="37">
        <v>1</v>
      </c>
      <c r="C535" s="37">
        <v>3</v>
      </c>
      <c r="D535" s="37" t="s">
        <v>1481</v>
      </c>
      <c r="E535" s="37" t="s">
        <v>2175</v>
      </c>
      <c r="F535" s="37" t="s">
        <v>1239</v>
      </c>
      <c r="G535" s="37" t="str">
        <f>_xlfn.XLOOKUP(F535,notes!$B$12:$B$18,notes!$C$12:$C$18,"Unknown")</f>
        <v>Female</v>
      </c>
      <c r="H535" s="38" t="s">
        <v>1236</v>
      </c>
      <c r="I535" s="39" t="str">
        <f>_xlfn.XLOOKUP(H535,notes!$B$4:$B$8,notes!$C$4:$C$8,"Invalid",-1)</f>
        <v>Unknown</v>
      </c>
      <c r="J535" s="37">
        <v>0</v>
      </c>
      <c r="K535" s="37">
        <v>2</v>
      </c>
      <c r="L535" s="37">
        <f t="shared" si="34"/>
        <v>3</v>
      </c>
      <c r="M535" s="40" t="str">
        <f t="shared" si="32"/>
        <v>Survived</v>
      </c>
      <c r="N535" s="37" t="str">
        <f>_xlfn.XLOOKUP(L535,notes!$B$28:$B$30,notes!$C$28:$C$30,"Unknown",-1)</f>
        <v>Small Family</v>
      </c>
      <c r="O535" s="37">
        <v>2668</v>
      </c>
      <c r="P535" s="37">
        <v>22.3583</v>
      </c>
      <c r="Q535" s="37" t="str">
        <f t="shared" si="35"/>
        <v>Mid</v>
      </c>
      <c r="R535" s="37" t="s">
        <v>1236</v>
      </c>
      <c r="S535" s="37" t="s">
        <v>20</v>
      </c>
      <c r="T535" s="41" t="str">
        <f t="shared" si="33"/>
        <v>Cherbourg</v>
      </c>
    </row>
    <row r="536" spans="1:20">
      <c r="A536" s="37">
        <v>535</v>
      </c>
      <c r="B536" s="37">
        <v>0</v>
      </c>
      <c r="C536" s="37">
        <v>3</v>
      </c>
      <c r="D536" s="37" t="s">
        <v>2074</v>
      </c>
      <c r="E536" s="37" t="s">
        <v>1961</v>
      </c>
      <c r="F536" s="37" t="s">
        <v>1242</v>
      </c>
      <c r="G536" s="37" t="str">
        <f>_xlfn.XLOOKUP(F536,notes!$B$12:$B$18,notes!$C$12:$C$18,"Unknown")</f>
        <v>Female</v>
      </c>
      <c r="H536" s="38">
        <v>30</v>
      </c>
      <c r="I536" s="39" t="str">
        <f>_xlfn.XLOOKUP(H536,notes!$B$4:$B$8,notes!$C$4:$C$8,"Invalid",-1)</f>
        <v>Adult</v>
      </c>
      <c r="J536" s="37">
        <v>0</v>
      </c>
      <c r="K536" s="37">
        <v>0</v>
      </c>
      <c r="L536" s="37">
        <f t="shared" si="34"/>
        <v>1</v>
      </c>
      <c r="M536" s="40" t="str">
        <f t="shared" si="32"/>
        <v>Not Survived</v>
      </c>
      <c r="N536" s="37" t="str">
        <f>_xlfn.XLOOKUP(L536,notes!$B$28:$B$30,notes!$C$28:$C$30,"Unknown",-1)</f>
        <v>Alone</v>
      </c>
      <c r="O536" s="37">
        <v>315084</v>
      </c>
      <c r="P536" s="37">
        <v>8.6625</v>
      </c>
      <c r="Q536" s="37" t="str">
        <f t="shared" si="35"/>
        <v>Low</v>
      </c>
      <c r="R536" s="37" t="s">
        <v>1236</v>
      </c>
      <c r="S536" s="37" t="s">
        <v>15</v>
      </c>
      <c r="T536" s="41" t="str">
        <f t="shared" si="33"/>
        <v>Southampton</v>
      </c>
    </row>
    <row r="537" spans="1:20">
      <c r="A537" s="37">
        <v>536</v>
      </c>
      <c r="B537" s="37">
        <v>1</v>
      </c>
      <c r="C537" s="37">
        <v>2</v>
      </c>
      <c r="D537" s="37" t="s">
        <v>1815</v>
      </c>
      <c r="E537" s="37" t="s">
        <v>2176</v>
      </c>
      <c r="F537" s="37" t="s">
        <v>1242</v>
      </c>
      <c r="G537" s="37" t="str">
        <f>_xlfn.XLOOKUP(F537,notes!$B$12:$B$18,notes!$C$12:$C$18,"Unknown")</f>
        <v>Female</v>
      </c>
      <c r="H537" s="38">
        <v>7</v>
      </c>
      <c r="I537" s="39" t="str">
        <f>_xlfn.XLOOKUP(H537,notes!$B$4:$B$8,notes!$C$4:$C$8,"Invalid",-1)</f>
        <v>Kid</v>
      </c>
      <c r="J537" s="37">
        <v>0</v>
      </c>
      <c r="K537" s="37">
        <v>2</v>
      </c>
      <c r="L537" s="37">
        <f t="shared" si="34"/>
        <v>3</v>
      </c>
      <c r="M537" s="40" t="str">
        <f t="shared" si="32"/>
        <v>Survived</v>
      </c>
      <c r="N537" s="37" t="str">
        <f>_xlfn.XLOOKUP(L537,notes!$B$28:$B$30,notes!$C$28:$C$30,"Unknown",-1)</f>
        <v>Small Family</v>
      </c>
      <c r="O537" s="37" t="s">
        <v>478</v>
      </c>
      <c r="P537" s="37">
        <v>26.25</v>
      </c>
      <c r="Q537" s="37" t="str">
        <f t="shared" si="35"/>
        <v>Mid</v>
      </c>
      <c r="R537" s="37" t="s">
        <v>1236</v>
      </c>
      <c r="S537" s="37" t="s">
        <v>15</v>
      </c>
      <c r="T537" s="41" t="str">
        <f t="shared" si="33"/>
        <v>Southampton</v>
      </c>
    </row>
    <row r="538" spans="1:20">
      <c r="A538" s="37">
        <v>537</v>
      </c>
      <c r="B538" s="37">
        <v>0</v>
      </c>
      <c r="C538" s="37">
        <v>1</v>
      </c>
      <c r="D538" s="37" t="s">
        <v>2177</v>
      </c>
      <c r="E538" s="37" t="s">
        <v>2178</v>
      </c>
      <c r="F538" s="37" t="s">
        <v>2039</v>
      </c>
      <c r="G538" s="37" t="str">
        <f>_xlfn.XLOOKUP(F538,notes!$B$12:$B$18,notes!$C$12:$C$18,"Unknown")</f>
        <v>Unknown</v>
      </c>
      <c r="H538" s="38">
        <v>45</v>
      </c>
      <c r="I538" s="39" t="str">
        <f>_xlfn.XLOOKUP(H538,notes!$B$4:$B$8,notes!$C$4:$C$8,"Invalid",-1)</f>
        <v>Adult</v>
      </c>
      <c r="J538" s="37">
        <v>0</v>
      </c>
      <c r="K538" s="37">
        <v>0</v>
      </c>
      <c r="L538" s="37">
        <f t="shared" si="34"/>
        <v>1</v>
      </c>
      <c r="M538" s="40" t="str">
        <f t="shared" si="32"/>
        <v>Not Survived</v>
      </c>
      <c r="N538" s="37" t="str">
        <f>_xlfn.XLOOKUP(L538,notes!$B$28:$B$30,notes!$C$28:$C$30,"Unknown",-1)</f>
        <v>Alone</v>
      </c>
      <c r="O538" s="37">
        <v>113050</v>
      </c>
      <c r="P538" s="37">
        <v>26.55</v>
      </c>
      <c r="Q538" s="37" t="str">
        <f t="shared" si="35"/>
        <v>Mid</v>
      </c>
      <c r="R538" s="37" t="s">
        <v>771</v>
      </c>
      <c r="S538" s="37" t="s">
        <v>15</v>
      </c>
      <c r="T538" s="41" t="str">
        <f t="shared" si="33"/>
        <v>Southampton</v>
      </c>
    </row>
    <row r="539" spans="1:20">
      <c r="A539" s="37">
        <v>538</v>
      </c>
      <c r="B539" s="37">
        <v>1</v>
      </c>
      <c r="C539" s="37">
        <v>1</v>
      </c>
      <c r="D539" s="37" t="s">
        <v>2179</v>
      </c>
      <c r="E539" s="37" t="s">
        <v>1402</v>
      </c>
      <c r="F539" s="37" t="s">
        <v>1242</v>
      </c>
      <c r="G539" s="37" t="str">
        <f>_xlfn.XLOOKUP(F539,notes!$B$12:$B$18,notes!$C$12:$C$18,"Unknown")</f>
        <v>Female</v>
      </c>
      <c r="H539" s="38">
        <v>30</v>
      </c>
      <c r="I539" s="39" t="str">
        <f>_xlfn.XLOOKUP(H539,notes!$B$4:$B$8,notes!$C$4:$C$8,"Invalid",-1)</f>
        <v>Adult</v>
      </c>
      <c r="J539" s="37">
        <v>0</v>
      </c>
      <c r="K539" s="37">
        <v>0</v>
      </c>
      <c r="L539" s="37">
        <f t="shared" si="34"/>
        <v>1</v>
      </c>
      <c r="M539" s="40" t="str">
        <f t="shared" si="32"/>
        <v>Survived</v>
      </c>
      <c r="N539" s="37" t="str">
        <f>_xlfn.XLOOKUP(L539,notes!$B$28:$B$30,notes!$C$28:$C$30,"Unknown",-1)</f>
        <v>Alone</v>
      </c>
      <c r="O539" s="37" t="s">
        <v>773</v>
      </c>
      <c r="P539" s="37">
        <v>106.425</v>
      </c>
      <c r="Q539" s="37" t="str">
        <f t="shared" si="35"/>
        <v>High</v>
      </c>
      <c r="R539" s="37" t="s">
        <v>1236</v>
      </c>
      <c r="S539" s="37" t="s">
        <v>20</v>
      </c>
      <c r="T539" s="41" t="str">
        <f t="shared" si="33"/>
        <v>Cherbourg</v>
      </c>
    </row>
    <row r="540" spans="1:20">
      <c r="A540" s="37">
        <v>539</v>
      </c>
      <c r="B540" s="37">
        <v>0</v>
      </c>
      <c r="C540" s="37">
        <v>3</v>
      </c>
      <c r="D540" s="37" t="s">
        <v>2180</v>
      </c>
      <c r="E540" s="37" t="s">
        <v>2181</v>
      </c>
      <c r="F540" s="37" t="s">
        <v>1235</v>
      </c>
      <c r="G540" s="37" t="str">
        <f>_xlfn.XLOOKUP(F540,notes!$B$12:$B$18,notes!$C$12:$C$18,"Unknown")</f>
        <v>Male</v>
      </c>
      <c r="H540" s="38" t="s">
        <v>1236</v>
      </c>
      <c r="I540" s="39" t="str">
        <f>_xlfn.XLOOKUP(H540,notes!$B$4:$B$8,notes!$C$4:$C$8,"Invalid",-1)</f>
        <v>Unknown</v>
      </c>
      <c r="J540" s="37">
        <v>0</v>
      </c>
      <c r="K540" s="37">
        <v>0</v>
      </c>
      <c r="L540" s="37">
        <f t="shared" si="34"/>
        <v>1</v>
      </c>
      <c r="M540" s="40" t="str">
        <f t="shared" si="32"/>
        <v>Not Survived</v>
      </c>
      <c r="N540" s="37" t="str">
        <f>_xlfn.XLOOKUP(L540,notes!$B$28:$B$30,notes!$C$28:$C$30,"Unknown",-1)</f>
        <v>Alone</v>
      </c>
      <c r="O540" s="37">
        <v>364498</v>
      </c>
      <c r="P540" s="37">
        <v>14.5</v>
      </c>
      <c r="Q540" s="37" t="str">
        <f t="shared" si="35"/>
        <v>Mid</v>
      </c>
      <c r="R540" s="37" t="s">
        <v>1236</v>
      </c>
      <c r="S540" s="37" t="s">
        <v>15</v>
      </c>
      <c r="T540" s="41" t="str">
        <f t="shared" si="33"/>
        <v>Southampton</v>
      </c>
    </row>
    <row r="541" spans="1:20">
      <c r="A541" s="37">
        <v>540</v>
      </c>
      <c r="B541" s="37">
        <v>1</v>
      </c>
      <c r="C541" s="37">
        <v>1</v>
      </c>
      <c r="D541" s="37" t="s">
        <v>2182</v>
      </c>
      <c r="E541" s="37" t="s">
        <v>2183</v>
      </c>
      <c r="F541" s="37" t="s">
        <v>1242</v>
      </c>
      <c r="G541" s="37" t="str">
        <f>_xlfn.XLOOKUP(F541,notes!$B$12:$B$18,notes!$C$12:$C$18,"Unknown")</f>
        <v>Female</v>
      </c>
      <c r="H541" s="38">
        <v>22</v>
      </c>
      <c r="I541" s="39" t="str">
        <f>_xlfn.XLOOKUP(H541,notes!$B$4:$B$8,notes!$C$4:$C$8,"Invalid",-1)</f>
        <v>Adult</v>
      </c>
      <c r="J541" s="37">
        <v>0</v>
      </c>
      <c r="K541" s="37">
        <v>2</v>
      </c>
      <c r="L541" s="37">
        <f t="shared" si="34"/>
        <v>3</v>
      </c>
      <c r="M541" s="40" t="str">
        <f t="shared" si="32"/>
        <v>Survived</v>
      </c>
      <c r="N541" s="37" t="str">
        <f>_xlfn.XLOOKUP(L541,notes!$B$28:$B$30,notes!$C$28:$C$30,"Unknown",-1)</f>
        <v>Small Family</v>
      </c>
      <c r="O541" s="37">
        <v>13568</v>
      </c>
      <c r="P541" s="37">
        <v>49.5</v>
      </c>
      <c r="Q541" s="37" t="str">
        <f t="shared" si="35"/>
        <v>Mid</v>
      </c>
      <c r="R541" s="37" t="s">
        <v>776</v>
      </c>
      <c r="S541" s="37" t="s">
        <v>20</v>
      </c>
      <c r="T541" s="41" t="str">
        <f t="shared" si="33"/>
        <v>Cherbourg</v>
      </c>
    </row>
    <row r="542" spans="1:20">
      <c r="A542" s="37">
        <v>541</v>
      </c>
      <c r="B542" s="37">
        <v>1</v>
      </c>
      <c r="C542" s="37">
        <v>1</v>
      </c>
      <c r="D542" s="37" t="s">
        <v>2184</v>
      </c>
      <c r="E542" s="37" t="s">
        <v>2185</v>
      </c>
      <c r="F542" s="37" t="s">
        <v>1242</v>
      </c>
      <c r="G542" s="37" t="str">
        <f>_xlfn.XLOOKUP(F542,notes!$B$12:$B$18,notes!$C$12:$C$18,"Unknown")</f>
        <v>Female</v>
      </c>
      <c r="H542" s="38">
        <v>36</v>
      </c>
      <c r="I542" s="39" t="str">
        <f>_xlfn.XLOOKUP(H542,notes!$B$4:$B$8,notes!$C$4:$C$8,"Invalid",-1)</f>
        <v>Adult</v>
      </c>
      <c r="J542" s="37">
        <v>0</v>
      </c>
      <c r="K542" s="37">
        <v>2</v>
      </c>
      <c r="L542" s="37">
        <f t="shared" si="34"/>
        <v>3</v>
      </c>
      <c r="M542" s="40" t="str">
        <f t="shared" si="32"/>
        <v>Survived</v>
      </c>
      <c r="N542" s="37" t="str">
        <f>_xlfn.XLOOKUP(L542,notes!$B$28:$B$30,notes!$C$28:$C$30,"Unknown",-1)</f>
        <v>Small Family</v>
      </c>
      <c r="O542" s="37" t="s">
        <v>778</v>
      </c>
      <c r="P542" s="37">
        <v>71</v>
      </c>
      <c r="Q542" s="37" t="str">
        <f t="shared" si="35"/>
        <v>High</v>
      </c>
      <c r="R542" s="37" t="s">
        <v>779</v>
      </c>
      <c r="S542" s="37" t="s">
        <v>15</v>
      </c>
      <c r="T542" s="41" t="str">
        <f t="shared" si="33"/>
        <v>Southampton</v>
      </c>
    </row>
    <row r="543" spans="1:20">
      <c r="A543" s="37">
        <v>542</v>
      </c>
      <c r="B543" s="37">
        <v>0</v>
      </c>
      <c r="C543" s="37">
        <v>3</v>
      </c>
      <c r="D543" s="37" t="s">
        <v>1263</v>
      </c>
      <c r="E543" s="37" t="s">
        <v>2186</v>
      </c>
      <c r="F543" s="37" t="s">
        <v>1242</v>
      </c>
      <c r="G543" s="37" t="str">
        <f>_xlfn.XLOOKUP(F543,notes!$B$12:$B$18,notes!$C$12:$C$18,"Unknown")</f>
        <v>Female</v>
      </c>
      <c r="H543" s="38">
        <v>9</v>
      </c>
      <c r="I543" s="39" t="str">
        <f>_xlfn.XLOOKUP(H543,notes!$B$4:$B$8,notes!$C$4:$C$8,"Invalid",-1)</f>
        <v>Kid</v>
      </c>
      <c r="J543" s="37">
        <v>4</v>
      </c>
      <c r="K543" s="37">
        <v>2</v>
      </c>
      <c r="L543" s="37">
        <f t="shared" si="34"/>
        <v>7</v>
      </c>
      <c r="M543" s="40" t="str">
        <f t="shared" si="32"/>
        <v>Not Survived</v>
      </c>
      <c r="N543" s="37" t="str">
        <f>_xlfn.XLOOKUP(L543,notes!$B$28:$B$30,notes!$C$28:$C$30,"Unknown",-1)</f>
        <v>Large Family</v>
      </c>
      <c r="O543" s="37">
        <v>347082</v>
      </c>
      <c r="P543" s="37">
        <v>31.275</v>
      </c>
      <c r="Q543" s="37" t="str">
        <f t="shared" si="35"/>
        <v>Mid</v>
      </c>
      <c r="R543" s="37" t="s">
        <v>1236</v>
      </c>
      <c r="S543" s="37" t="s">
        <v>15</v>
      </c>
      <c r="T543" s="41" t="str">
        <f t="shared" si="33"/>
        <v>Southampton</v>
      </c>
    </row>
    <row r="544" spans="1:20">
      <c r="A544" s="37">
        <v>543</v>
      </c>
      <c r="B544" s="37">
        <v>0</v>
      </c>
      <c r="C544" s="37">
        <v>3</v>
      </c>
      <c r="D544" s="37" t="s">
        <v>1263</v>
      </c>
      <c r="E544" s="37" t="s">
        <v>2187</v>
      </c>
      <c r="F544" s="37" t="s">
        <v>1242</v>
      </c>
      <c r="G544" s="37" t="str">
        <f>_xlfn.XLOOKUP(F544,notes!$B$12:$B$18,notes!$C$12:$C$18,"Unknown")</f>
        <v>Female</v>
      </c>
      <c r="H544" s="38">
        <v>11</v>
      </c>
      <c r="I544" s="39" t="str">
        <f>_xlfn.XLOOKUP(H544,notes!$B$4:$B$8,notes!$C$4:$C$8,"Invalid",-1)</f>
        <v>Kid</v>
      </c>
      <c r="J544" s="37">
        <v>4</v>
      </c>
      <c r="K544" s="37">
        <v>2</v>
      </c>
      <c r="L544" s="37">
        <f t="shared" si="34"/>
        <v>7</v>
      </c>
      <c r="M544" s="40" t="str">
        <f t="shared" si="32"/>
        <v>Not Survived</v>
      </c>
      <c r="N544" s="37" t="str">
        <f>_xlfn.XLOOKUP(L544,notes!$B$28:$B$30,notes!$C$28:$C$30,"Unknown",-1)</f>
        <v>Large Family</v>
      </c>
      <c r="O544" s="37">
        <v>347082</v>
      </c>
      <c r="P544" s="37">
        <v>31.275</v>
      </c>
      <c r="Q544" s="37" t="str">
        <f t="shared" si="35"/>
        <v>Mid</v>
      </c>
      <c r="R544" s="37" t="s">
        <v>1236</v>
      </c>
      <c r="S544" s="37" t="s">
        <v>15</v>
      </c>
      <c r="T544" s="41" t="str">
        <f t="shared" si="33"/>
        <v>Southampton</v>
      </c>
    </row>
    <row r="545" spans="1:20">
      <c r="A545" s="37">
        <v>544</v>
      </c>
      <c r="B545" s="37">
        <v>1</v>
      </c>
      <c r="C545" s="37">
        <v>2</v>
      </c>
      <c r="D545" s="37" t="s">
        <v>2188</v>
      </c>
      <c r="E545" s="37" t="s">
        <v>2189</v>
      </c>
      <c r="F545" s="37" t="s">
        <v>1235</v>
      </c>
      <c r="G545" s="37" t="str">
        <f>_xlfn.XLOOKUP(F545,notes!$B$12:$B$18,notes!$C$12:$C$18,"Unknown")</f>
        <v>Male</v>
      </c>
      <c r="H545" s="38">
        <v>32</v>
      </c>
      <c r="I545" s="39" t="str">
        <f>_xlfn.XLOOKUP(H545,notes!$B$4:$B$8,notes!$C$4:$C$8,"Invalid",-1)</f>
        <v>Adult</v>
      </c>
      <c r="J545" s="37">
        <v>1</v>
      </c>
      <c r="K545" s="37">
        <v>0</v>
      </c>
      <c r="L545" s="37">
        <f t="shared" si="34"/>
        <v>2</v>
      </c>
      <c r="M545" s="40" t="str">
        <f t="shared" si="32"/>
        <v>Survived</v>
      </c>
      <c r="N545" s="37" t="str">
        <f>_xlfn.XLOOKUP(L545,notes!$B$28:$B$30,notes!$C$28:$C$30,"Unknown",-1)</f>
        <v>Small Family</v>
      </c>
      <c r="O545" s="37">
        <v>2908</v>
      </c>
      <c r="P545" s="37">
        <v>26</v>
      </c>
      <c r="Q545" s="37" t="str">
        <f t="shared" si="35"/>
        <v>Mid</v>
      </c>
      <c r="R545" s="37" t="s">
        <v>1236</v>
      </c>
      <c r="S545" s="37" t="s">
        <v>15</v>
      </c>
      <c r="T545" s="41" t="str">
        <f t="shared" si="33"/>
        <v>Southampton</v>
      </c>
    </row>
    <row r="546" spans="1:20">
      <c r="A546" s="37">
        <v>545</v>
      </c>
      <c r="B546" s="37">
        <v>0</v>
      </c>
      <c r="C546" s="37">
        <v>1</v>
      </c>
      <c r="D546" s="37" t="s">
        <v>2190</v>
      </c>
      <c r="E546" s="37" t="s">
        <v>2191</v>
      </c>
      <c r="F546" s="37" t="s">
        <v>1235</v>
      </c>
      <c r="G546" s="37" t="str">
        <f>_xlfn.XLOOKUP(F546,notes!$B$12:$B$18,notes!$C$12:$C$18,"Unknown")</f>
        <v>Male</v>
      </c>
      <c r="H546" s="38">
        <v>50</v>
      </c>
      <c r="I546" s="39" t="str">
        <f>_xlfn.XLOOKUP(H546,notes!$B$4:$B$8,notes!$C$4:$C$8,"Invalid",-1)</f>
        <v>Adult</v>
      </c>
      <c r="J546" s="37">
        <v>1</v>
      </c>
      <c r="K546" s="37">
        <v>0</v>
      </c>
      <c r="L546" s="37">
        <f t="shared" si="34"/>
        <v>2</v>
      </c>
      <c r="M546" s="40" t="str">
        <f t="shared" si="32"/>
        <v>Not Survived</v>
      </c>
      <c r="N546" s="37" t="str">
        <f>_xlfn.XLOOKUP(L546,notes!$B$28:$B$30,notes!$C$28:$C$30,"Unknown",-1)</f>
        <v>Small Family</v>
      </c>
      <c r="O546" s="37" t="s">
        <v>773</v>
      </c>
      <c r="P546" s="37">
        <v>106.425</v>
      </c>
      <c r="Q546" s="37" t="str">
        <f t="shared" si="35"/>
        <v>High</v>
      </c>
      <c r="R546" s="37" t="s">
        <v>784</v>
      </c>
      <c r="S546" s="37" t="s">
        <v>20</v>
      </c>
      <c r="T546" s="41" t="str">
        <f t="shared" si="33"/>
        <v>Cherbourg</v>
      </c>
    </row>
    <row r="547" spans="1:20">
      <c r="A547" s="37">
        <v>546</v>
      </c>
      <c r="B547" s="37">
        <v>0</v>
      </c>
      <c r="C547" s="37">
        <v>1</v>
      </c>
      <c r="D547" s="37" t="s">
        <v>2192</v>
      </c>
      <c r="E547" s="37" t="s">
        <v>2193</v>
      </c>
      <c r="F547" s="37" t="s">
        <v>1235</v>
      </c>
      <c r="G547" s="37" t="str">
        <f>_xlfn.XLOOKUP(F547,notes!$B$12:$B$18,notes!$C$12:$C$18,"Unknown")</f>
        <v>Male</v>
      </c>
      <c r="H547" s="38">
        <v>64</v>
      </c>
      <c r="I547" s="39" t="str">
        <f>_xlfn.XLOOKUP(H547,notes!$B$4:$B$8,notes!$C$4:$C$8,"Invalid",-1)</f>
        <v>Elderly</v>
      </c>
      <c r="J547" s="37">
        <v>0</v>
      </c>
      <c r="K547" s="37">
        <v>0</v>
      </c>
      <c r="L547" s="37">
        <f t="shared" si="34"/>
        <v>1</v>
      </c>
      <c r="M547" s="40" t="str">
        <f t="shared" si="32"/>
        <v>Not Survived</v>
      </c>
      <c r="N547" s="37" t="str">
        <f>_xlfn.XLOOKUP(L547,notes!$B$28:$B$30,notes!$C$28:$C$30,"Unknown",-1)</f>
        <v>Alone</v>
      </c>
      <c r="O547" s="37">
        <v>693</v>
      </c>
      <c r="P547" s="37">
        <v>26</v>
      </c>
      <c r="Q547" s="37" t="str">
        <f t="shared" si="35"/>
        <v>Mid</v>
      </c>
      <c r="R547" s="37" t="s">
        <v>1236</v>
      </c>
      <c r="S547" s="37" t="s">
        <v>15</v>
      </c>
      <c r="T547" s="41" t="str">
        <f t="shared" si="33"/>
        <v>Southampton</v>
      </c>
    </row>
    <row r="548" spans="1:20">
      <c r="A548" s="37">
        <v>547</v>
      </c>
      <c r="B548" s="37">
        <v>1</v>
      </c>
      <c r="C548" s="37">
        <v>2</v>
      </c>
      <c r="D548" s="37" t="s">
        <v>2188</v>
      </c>
      <c r="E548" s="37" t="s">
        <v>2194</v>
      </c>
      <c r="F548" s="37" t="s">
        <v>1239</v>
      </c>
      <c r="G548" s="37" t="str">
        <f>_xlfn.XLOOKUP(F548,notes!$B$12:$B$18,notes!$C$12:$C$18,"Unknown")</f>
        <v>Female</v>
      </c>
      <c r="H548" s="38">
        <v>19</v>
      </c>
      <c r="I548" s="39" t="str">
        <f>_xlfn.XLOOKUP(H548,notes!$B$4:$B$8,notes!$C$4:$C$8,"Invalid",-1)</f>
        <v>Teenager</v>
      </c>
      <c r="J548" s="37">
        <v>1</v>
      </c>
      <c r="K548" s="37">
        <v>0</v>
      </c>
      <c r="L548" s="37">
        <f t="shared" si="34"/>
        <v>2</v>
      </c>
      <c r="M548" s="40" t="str">
        <f t="shared" si="32"/>
        <v>Survived</v>
      </c>
      <c r="N548" s="37" t="str">
        <f>_xlfn.XLOOKUP(L548,notes!$B$28:$B$30,notes!$C$28:$C$30,"Unknown",-1)</f>
        <v>Small Family</v>
      </c>
      <c r="O548" s="37">
        <v>2908</v>
      </c>
      <c r="P548" s="37">
        <v>26</v>
      </c>
      <c r="Q548" s="37" t="str">
        <f t="shared" si="35"/>
        <v>Mid</v>
      </c>
      <c r="R548" s="37" t="s">
        <v>1236</v>
      </c>
      <c r="S548" s="37" t="s">
        <v>15</v>
      </c>
      <c r="T548" s="41" t="str">
        <f t="shared" si="33"/>
        <v>Southampton</v>
      </c>
    </row>
    <row r="549" spans="1:20">
      <c r="A549" s="37">
        <v>548</v>
      </c>
      <c r="B549" s="37">
        <v>1</v>
      </c>
      <c r="C549" s="37">
        <v>2</v>
      </c>
      <c r="D549" s="37" t="s">
        <v>2195</v>
      </c>
      <c r="E549" s="37" t="s">
        <v>2196</v>
      </c>
      <c r="F549" s="37" t="s">
        <v>1235</v>
      </c>
      <c r="G549" s="37" t="str">
        <f>_xlfn.XLOOKUP(F549,notes!$B$12:$B$18,notes!$C$12:$C$18,"Unknown")</f>
        <v>Male</v>
      </c>
      <c r="H549" s="38" t="s">
        <v>1236</v>
      </c>
      <c r="I549" s="39" t="str">
        <f>_xlfn.XLOOKUP(H549,notes!$B$4:$B$8,notes!$C$4:$C$8,"Invalid",-1)</f>
        <v>Unknown</v>
      </c>
      <c r="J549" s="37">
        <v>0</v>
      </c>
      <c r="K549" s="37">
        <v>0</v>
      </c>
      <c r="L549" s="37">
        <f t="shared" si="34"/>
        <v>1</v>
      </c>
      <c r="M549" s="40" t="str">
        <f t="shared" si="32"/>
        <v>Survived</v>
      </c>
      <c r="N549" s="37" t="str">
        <f>_xlfn.XLOOKUP(L549,notes!$B$28:$B$30,notes!$C$28:$C$30,"Unknown",-1)</f>
        <v>Alone</v>
      </c>
      <c r="O549" s="37" t="s">
        <v>788</v>
      </c>
      <c r="P549" s="37">
        <v>13.8625</v>
      </c>
      <c r="Q549" s="37" t="str">
        <f t="shared" si="35"/>
        <v>Mid</v>
      </c>
      <c r="R549" s="37" t="s">
        <v>1236</v>
      </c>
      <c r="S549" s="37" t="s">
        <v>20</v>
      </c>
      <c r="T549" s="41" t="str">
        <f t="shared" si="33"/>
        <v>Cherbourg</v>
      </c>
    </row>
    <row r="550" spans="1:20">
      <c r="A550" s="37">
        <v>549</v>
      </c>
      <c r="B550" s="37">
        <v>0</v>
      </c>
      <c r="C550" s="37">
        <v>3</v>
      </c>
      <c r="D550" s="37" t="s">
        <v>1551</v>
      </c>
      <c r="E550" s="37" t="s">
        <v>2197</v>
      </c>
      <c r="F550" s="37" t="s">
        <v>1235</v>
      </c>
      <c r="G550" s="37" t="str">
        <f>_xlfn.XLOOKUP(F550,notes!$B$12:$B$18,notes!$C$12:$C$18,"Unknown")</f>
        <v>Male</v>
      </c>
      <c r="H550" s="38">
        <v>33</v>
      </c>
      <c r="I550" s="39" t="str">
        <f>_xlfn.XLOOKUP(H550,notes!$B$4:$B$8,notes!$C$4:$C$8,"Invalid",-1)</f>
        <v>Adult</v>
      </c>
      <c r="J550" s="37">
        <v>1</v>
      </c>
      <c r="K550" s="37">
        <v>1</v>
      </c>
      <c r="L550" s="37">
        <f t="shared" si="34"/>
        <v>3</v>
      </c>
      <c r="M550" s="40" t="str">
        <f t="shared" si="32"/>
        <v>Not Survived</v>
      </c>
      <c r="N550" s="37" t="str">
        <f>_xlfn.XLOOKUP(L550,notes!$B$28:$B$30,notes!$C$28:$C$30,"Unknown",-1)</f>
        <v>Small Family</v>
      </c>
      <c r="O550" s="37">
        <v>363291</v>
      </c>
      <c r="P550" s="37">
        <v>20.525</v>
      </c>
      <c r="Q550" s="37" t="str">
        <f t="shared" si="35"/>
        <v>Mid</v>
      </c>
      <c r="R550" s="37" t="s">
        <v>1236</v>
      </c>
      <c r="S550" s="37" t="s">
        <v>15</v>
      </c>
      <c r="T550" s="41" t="str">
        <f t="shared" si="33"/>
        <v>Southampton</v>
      </c>
    </row>
    <row r="551" spans="1:20">
      <c r="A551" s="37">
        <v>550</v>
      </c>
      <c r="B551" s="37">
        <v>1</v>
      </c>
      <c r="C551" s="37">
        <v>2</v>
      </c>
      <c r="D551" s="37" t="s">
        <v>1934</v>
      </c>
      <c r="E551" s="37" t="s">
        <v>2198</v>
      </c>
      <c r="F551" s="37" t="s">
        <v>1253</v>
      </c>
      <c r="G551" s="37" t="str">
        <f>_xlfn.XLOOKUP(F551,notes!$B$12:$B$18,notes!$C$12:$C$18,"Unknown")</f>
        <v>Male</v>
      </c>
      <c r="H551" s="38">
        <v>8</v>
      </c>
      <c r="I551" s="39" t="str">
        <f>_xlfn.XLOOKUP(H551,notes!$B$4:$B$8,notes!$C$4:$C$8,"Invalid",-1)</f>
        <v>Kid</v>
      </c>
      <c r="J551" s="37">
        <v>1</v>
      </c>
      <c r="K551" s="37">
        <v>1</v>
      </c>
      <c r="L551" s="37">
        <f t="shared" si="34"/>
        <v>3</v>
      </c>
      <c r="M551" s="40" t="str">
        <f t="shared" si="32"/>
        <v>Survived</v>
      </c>
      <c r="N551" s="37" t="str">
        <f>_xlfn.XLOOKUP(L551,notes!$B$28:$B$30,notes!$C$28:$C$30,"Unknown",-1)</f>
        <v>Small Family</v>
      </c>
      <c r="O551" s="37" t="s">
        <v>229</v>
      </c>
      <c r="P551" s="37">
        <v>36.75</v>
      </c>
      <c r="Q551" s="37" t="str">
        <f t="shared" si="35"/>
        <v>Mid</v>
      </c>
      <c r="R551" s="37" t="s">
        <v>1236</v>
      </c>
      <c r="S551" s="37" t="s">
        <v>15</v>
      </c>
      <c r="T551" s="41" t="str">
        <f t="shared" si="33"/>
        <v>Southampton</v>
      </c>
    </row>
    <row r="552" spans="1:20">
      <c r="A552" s="37">
        <v>551</v>
      </c>
      <c r="B552" s="37">
        <v>1</v>
      </c>
      <c r="C552" s="37">
        <v>1</v>
      </c>
      <c r="D552" s="37" t="s">
        <v>2199</v>
      </c>
      <c r="E552" s="37" t="s">
        <v>2200</v>
      </c>
      <c r="F552" s="37" t="s">
        <v>1235</v>
      </c>
      <c r="G552" s="37" t="str">
        <f>_xlfn.XLOOKUP(F552,notes!$B$12:$B$18,notes!$C$12:$C$18,"Unknown")</f>
        <v>Male</v>
      </c>
      <c r="H552" s="38">
        <v>17</v>
      </c>
      <c r="I552" s="39" t="str">
        <f>_xlfn.XLOOKUP(H552,notes!$B$4:$B$8,notes!$C$4:$C$8,"Invalid",-1)</f>
        <v>Teenager</v>
      </c>
      <c r="J552" s="37">
        <v>0</v>
      </c>
      <c r="K552" s="37">
        <v>2</v>
      </c>
      <c r="L552" s="37">
        <f t="shared" si="34"/>
        <v>3</v>
      </c>
      <c r="M552" s="40" t="str">
        <f t="shared" si="32"/>
        <v>Survived</v>
      </c>
      <c r="N552" s="37" t="str">
        <f>_xlfn.XLOOKUP(L552,notes!$B$28:$B$30,notes!$C$28:$C$30,"Unknown",-1)</f>
        <v>Small Family</v>
      </c>
      <c r="O552" s="37">
        <v>17421</v>
      </c>
      <c r="P552" s="37">
        <v>110.8833</v>
      </c>
      <c r="Q552" s="37" t="str">
        <f t="shared" si="35"/>
        <v>High</v>
      </c>
      <c r="R552" s="37" t="s">
        <v>792</v>
      </c>
      <c r="S552" s="37" t="s">
        <v>20</v>
      </c>
      <c r="T552" s="41" t="str">
        <f t="shared" si="33"/>
        <v>Cherbourg</v>
      </c>
    </row>
    <row r="553" spans="1:20">
      <c r="A553" s="37">
        <v>552</v>
      </c>
      <c r="B553" s="37">
        <v>0</v>
      </c>
      <c r="C553" s="37">
        <v>2</v>
      </c>
      <c r="D553" s="37" t="s">
        <v>2201</v>
      </c>
      <c r="E553" s="37" t="s">
        <v>2202</v>
      </c>
      <c r="F553" s="37" t="s">
        <v>1235</v>
      </c>
      <c r="G553" s="37" t="str">
        <f>_xlfn.XLOOKUP(F553,notes!$B$12:$B$18,notes!$C$12:$C$18,"Unknown")</f>
        <v>Male</v>
      </c>
      <c r="H553" s="38">
        <v>27</v>
      </c>
      <c r="I553" s="39" t="str">
        <f>_xlfn.XLOOKUP(H553,notes!$B$4:$B$8,notes!$C$4:$C$8,"Invalid",-1)</f>
        <v>Adult</v>
      </c>
      <c r="J553" s="37">
        <v>0</v>
      </c>
      <c r="K553" s="37">
        <v>0</v>
      </c>
      <c r="L553" s="37">
        <f t="shared" si="34"/>
        <v>1</v>
      </c>
      <c r="M553" s="40" t="str">
        <f t="shared" si="32"/>
        <v>Not Survived</v>
      </c>
      <c r="N553" s="37" t="str">
        <f>_xlfn.XLOOKUP(L553,notes!$B$28:$B$30,notes!$C$28:$C$30,"Unknown",-1)</f>
        <v>Alone</v>
      </c>
      <c r="O553" s="37">
        <v>244358</v>
      </c>
      <c r="P553" s="37">
        <v>26</v>
      </c>
      <c r="Q553" s="37" t="str">
        <f t="shared" si="35"/>
        <v>Mid</v>
      </c>
      <c r="R553" s="37" t="s">
        <v>1236</v>
      </c>
      <c r="S553" s="37" t="s">
        <v>15</v>
      </c>
      <c r="T553" s="41" t="str">
        <f t="shared" si="33"/>
        <v>Southampton</v>
      </c>
    </row>
    <row r="554" spans="1:20">
      <c r="A554" s="37">
        <v>553</v>
      </c>
      <c r="B554" s="37">
        <v>0</v>
      </c>
      <c r="C554" s="37">
        <v>3</v>
      </c>
      <c r="D554" s="37" t="s">
        <v>1587</v>
      </c>
      <c r="E554" s="37" t="s">
        <v>2203</v>
      </c>
      <c r="F554" s="37" t="s">
        <v>1235</v>
      </c>
      <c r="G554" s="37" t="str">
        <f>_xlfn.XLOOKUP(F554,notes!$B$12:$B$18,notes!$C$12:$C$18,"Unknown")</f>
        <v>Male</v>
      </c>
      <c r="H554" s="38" t="s">
        <v>1236</v>
      </c>
      <c r="I554" s="39" t="str">
        <f>_xlfn.XLOOKUP(H554,notes!$B$4:$B$8,notes!$C$4:$C$8,"Invalid",-1)</f>
        <v>Unknown</v>
      </c>
      <c r="J554" s="37">
        <v>0</v>
      </c>
      <c r="K554" s="37">
        <v>0</v>
      </c>
      <c r="L554" s="37">
        <f t="shared" si="34"/>
        <v>1</v>
      </c>
      <c r="M554" s="40" t="str">
        <f t="shared" si="32"/>
        <v>Not Survived</v>
      </c>
      <c r="N554" s="37" t="str">
        <f>_xlfn.XLOOKUP(L554,notes!$B$28:$B$30,notes!$C$28:$C$30,"Unknown",-1)</f>
        <v>Alone</v>
      </c>
      <c r="O554" s="37">
        <v>330979</v>
      </c>
      <c r="P554" s="37">
        <v>7.8292</v>
      </c>
      <c r="Q554" s="37" t="str">
        <f t="shared" si="35"/>
        <v>Low</v>
      </c>
      <c r="R554" s="37" t="s">
        <v>1236</v>
      </c>
      <c r="S554" s="37" t="s">
        <v>28</v>
      </c>
      <c r="T554" s="41" t="str">
        <f t="shared" si="33"/>
        <v>Queenstown</v>
      </c>
    </row>
    <row r="555" spans="1:20">
      <c r="A555" s="37">
        <v>554</v>
      </c>
      <c r="B555" s="37">
        <v>1</v>
      </c>
      <c r="C555" s="37">
        <v>3</v>
      </c>
      <c r="D555" s="37" t="s">
        <v>2204</v>
      </c>
      <c r="E555" s="37" t="s">
        <v>2205</v>
      </c>
      <c r="F555" s="37" t="s">
        <v>1235</v>
      </c>
      <c r="G555" s="37" t="str">
        <f>_xlfn.XLOOKUP(F555,notes!$B$12:$B$18,notes!$C$12:$C$18,"Unknown")</f>
        <v>Male</v>
      </c>
      <c r="H555" s="38">
        <v>22</v>
      </c>
      <c r="I555" s="39" t="str">
        <f>_xlfn.XLOOKUP(H555,notes!$B$4:$B$8,notes!$C$4:$C$8,"Invalid",-1)</f>
        <v>Adult</v>
      </c>
      <c r="J555" s="37">
        <v>0</v>
      </c>
      <c r="K555" s="37">
        <v>0</v>
      </c>
      <c r="L555" s="37">
        <f t="shared" si="34"/>
        <v>1</v>
      </c>
      <c r="M555" s="40" t="str">
        <f t="shared" si="32"/>
        <v>Survived</v>
      </c>
      <c r="N555" s="37" t="str">
        <f>_xlfn.XLOOKUP(L555,notes!$B$28:$B$30,notes!$C$28:$C$30,"Unknown",-1)</f>
        <v>Alone</v>
      </c>
      <c r="O555" s="37">
        <v>2620</v>
      </c>
      <c r="P555" s="37">
        <v>7.225</v>
      </c>
      <c r="Q555" s="37" t="str">
        <f t="shared" si="35"/>
        <v>Low</v>
      </c>
      <c r="R555" s="37" t="s">
        <v>1236</v>
      </c>
      <c r="S555" s="37" t="s">
        <v>20</v>
      </c>
      <c r="T555" s="41" t="str">
        <f t="shared" si="33"/>
        <v>Cherbourg</v>
      </c>
    </row>
    <row r="556" spans="1:20">
      <c r="A556" s="37">
        <v>555</v>
      </c>
      <c r="B556" s="37">
        <v>1</v>
      </c>
      <c r="C556" s="37">
        <v>3</v>
      </c>
      <c r="D556" s="37" t="s">
        <v>2206</v>
      </c>
      <c r="E556" s="37" t="s">
        <v>2207</v>
      </c>
      <c r="F556" s="37" t="s">
        <v>1242</v>
      </c>
      <c r="G556" s="37" t="str">
        <f>_xlfn.XLOOKUP(F556,notes!$B$12:$B$18,notes!$C$12:$C$18,"Unknown")</f>
        <v>Female</v>
      </c>
      <c r="H556" s="38">
        <v>22</v>
      </c>
      <c r="I556" s="39" t="str">
        <f>_xlfn.XLOOKUP(H556,notes!$B$4:$B$8,notes!$C$4:$C$8,"Invalid",-1)</f>
        <v>Adult</v>
      </c>
      <c r="J556" s="37">
        <v>0</v>
      </c>
      <c r="K556" s="37">
        <v>0</v>
      </c>
      <c r="L556" s="37">
        <f t="shared" si="34"/>
        <v>1</v>
      </c>
      <c r="M556" s="40" t="str">
        <f t="shared" si="32"/>
        <v>Survived</v>
      </c>
      <c r="N556" s="37" t="str">
        <f>_xlfn.XLOOKUP(L556,notes!$B$28:$B$30,notes!$C$28:$C$30,"Unknown",-1)</f>
        <v>Alone</v>
      </c>
      <c r="O556" s="37">
        <v>347085</v>
      </c>
      <c r="P556" s="37">
        <v>7.775</v>
      </c>
      <c r="Q556" s="37" t="str">
        <f t="shared" si="35"/>
        <v>Low</v>
      </c>
      <c r="R556" s="37" t="s">
        <v>1236</v>
      </c>
      <c r="S556" s="37" t="s">
        <v>15</v>
      </c>
      <c r="T556" s="41" t="str">
        <f t="shared" si="33"/>
        <v>Southampton</v>
      </c>
    </row>
    <row r="557" spans="1:20">
      <c r="A557" s="37">
        <v>556</v>
      </c>
      <c r="B557" s="37">
        <v>0</v>
      </c>
      <c r="C557" s="37">
        <v>1</v>
      </c>
      <c r="D557" s="37" t="s">
        <v>2208</v>
      </c>
      <c r="E557" s="37" t="s">
        <v>2209</v>
      </c>
      <c r="F557" s="37" t="s">
        <v>1235</v>
      </c>
      <c r="G557" s="37" t="str">
        <f>_xlfn.XLOOKUP(F557,notes!$B$12:$B$18,notes!$C$12:$C$18,"Unknown")</f>
        <v>Male</v>
      </c>
      <c r="H557" s="38">
        <v>62</v>
      </c>
      <c r="I557" s="39" t="str">
        <f>_xlfn.XLOOKUP(H557,notes!$B$4:$B$8,notes!$C$4:$C$8,"Invalid",-1)</f>
        <v>Elderly</v>
      </c>
      <c r="J557" s="37">
        <v>0</v>
      </c>
      <c r="K557" s="37">
        <v>0</v>
      </c>
      <c r="L557" s="37">
        <f t="shared" si="34"/>
        <v>1</v>
      </c>
      <c r="M557" s="40" t="str">
        <f t="shared" si="32"/>
        <v>Not Survived</v>
      </c>
      <c r="N557" s="37" t="str">
        <f>_xlfn.XLOOKUP(L557,notes!$B$28:$B$30,notes!$C$28:$C$30,"Unknown",-1)</f>
        <v>Alone</v>
      </c>
      <c r="O557" s="37">
        <v>113807</v>
      </c>
      <c r="P557" s="37">
        <v>26.55</v>
      </c>
      <c r="Q557" s="37" t="str">
        <f t="shared" si="35"/>
        <v>Mid</v>
      </c>
      <c r="R557" s="37" t="s">
        <v>1236</v>
      </c>
      <c r="S557" s="37" t="s">
        <v>15</v>
      </c>
      <c r="T557" s="41" t="str">
        <f t="shared" si="33"/>
        <v>Southampton</v>
      </c>
    </row>
    <row r="558" spans="1:20">
      <c r="A558" s="37">
        <v>557</v>
      </c>
      <c r="B558" s="37">
        <v>1</v>
      </c>
      <c r="C558" s="37">
        <v>1</v>
      </c>
      <c r="D558" s="37" t="s">
        <v>2210</v>
      </c>
      <c r="E558" s="37" t="s">
        <v>2211</v>
      </c>
      <c r="F558" s="37" t="s">
        <v>2212</v>
      </c>
      <c r="G558" s="37" t="str">
        <f>_xlfn.XLOOKUP(F558,notes!$B$12:$B$18,notes!$C$12:$C$18,"Unknown")</f>
        <v>Unknown</v>
      </c>
      <c r="H558" s="38">
        <v>48</v>
      </c>
      <c r="I558" s="39" t="str">
        <f>_xlfn.XLOOKUP(H558,notes!$B$4:$B$8,notes!$C$4:$C$8,"Invalid",-1)</f>
        <v>Adult</v>
      </c>
      <c r="J558" s="37">
        <v>1</v>
      </c>
      <c r="K558" s="37">
        <v>0</v>
      </c>
      <c r="L558" s="37">
        <f t="shared" si="34"/>
        <v>2</v>
      </c>
      <c r="M558" s="40" t="str">
        <f t="shared" si="32"/>
        <v>Survived</v>
      </c>
      <c r="N558" s="37" t="str">
        <f>_xlfn.XLOOKUP(L558,notes!$B$28:$B$30,notes!$C$28:$C$30,"Unknown",-1)</f>
        <v>Small Family</v>
      </c>
      <c r="O558" s="37">
        <v>11755</v>
      </c>
      <c r="P558" s="37">
        <v>39.6</v>
      </c>
      <c r="Q558" s="37" t="str">
        <f t="shared" si="35"/>
        <v>Mid</v>
      </c>
      <c r="R558" s="37" t="s">
        <v>799</v>
      </c>
      <c r="S558" s="37" t="s">
        <v>20</v>
      </c>
      <c r="T558" s="41" t="str">
        <f t="shared" si="33"/>
        <v>Cherbourg</v>
      </c>
    </row>
    <row r="559" spans="1:20">
      <c r="A559" s="37">
        <v>558</v>
      </c>
      <c r="B559" s="37">
        <v>0</v>
      </c>
      <c r="C559" s="37">
        <v>1</v>
      </c>
      <c r="D559" s="37" t="s">
        <v>2213</v>
      </c>
      <c r="E559" s="37" t="s">
        <v>1503</v>
      </c>
      <c r="F559" s="37" t="s">
        <v>1235</v>
      </c>
      <c r="G559" s="37" t="str">
        <f>_xlfn.XLOOKUP(F559,notes!$B$12:$B$18,notes!$C$12:$C$18,"Unknown")</f>
        <v>Male</v>
      </c>
      <c r="H559" s="38" t="s">
        <v>1236</v>
      </c>
      <c r="I559" s="39" t="str">
        <f>_xlfn.XLOOKUP(H559,notes!$B$4:$B$8,notes!$C$4:$C$8,"Invalid",-1)</f>
        <v>Unknown</v>
      </c>
      <c r="J559" s="37">
        <v>0</v>
      </c>
      <c r="K559" s="37">
        <v>0</v>
      </c>
      <c r="L559" s="37">
        <f t="shared" si="34"/>
        <v>1</v>
      </c>
      <c r="M559" s="40" t="str">
        <f t="shared" si="32"/>
        <v>Not Survived</v>
      </c>
      <c r="N559" s="37" t="str">
        <f>_xlfn.XLOOKUP(L559,notes!$B$28:$B$30,notes!$C$28:$C$30,"Unknown",-1)</f>
        <v>Alone</v>
      </c>
      <c r="O559" s="37" t="s">
        <v>566</v>
      </c>
      <c r="P559" s="37">
        <v>227.525</v>
      </c>
      <c r="Q559" s="37" t="str">
        <f t="shared" si="35"/>
        <v>High</v>
      </c>
      <c r="R559" s="37" t="s">
        <v>1236</v>
      </c>
      <c r="S559" s="37" t="s">
        <v>20</v>
      </c>
      <c r="T559" s="41" t="str">
        <f t="shared" si="33"/>
        <v>Cherbourg</v>
      </c>
    </row>
    <row r="560" spans="1:20">
      <c r="A560" s="37">
        <v>559</v>
      </c>
      <c r="B560" s="37">
        <v>1</v>
      </c>
      <c r="C560" s="37">
        <v>1</v>
      </c>
      <c r="D560" s="37" t="s">
        <v>1724</v>
      </c>
      <c r="E560" s="37" t="s">
        <v>2214</v>
      </c>
      <c r="F560" s="37" t="s">
        <v>1239</v>
      </c>
      <c r="G560" s="37" t="str">
        <f>_xlfn.XLOOKUP(F560,notes!$B$12:$B$18,notes!$C$12:$C$18,"Unknown")</f>
        <v>Female</v>
      </c>
      <c r="H560" s="38">
        <v>39</v>
      </c>
      <c r="I560" s="39" t="str">
        <f>_xlfn.XLOOKUP(H560,notes!$B$4:$B$8,notes!$C$4:$C$8,"Invalid",-1)</f>
        <v>Adult</v>
      </c>
      <c r="J560" s="37">
        <v>1</v>
      </c>
      <c r="K560" s="37">
        <v>1</v>
      </c>
      <c r="L560" s="37">
        <f t="shared" si="34"/>
        <v>3</v>
      </c>
      <c r="M560" s="40" t="str">
        <f t="shared" si="32"/>
        <v>Survived</v>
      </c>
      <c r="N560" s="37" t="str">
        <f>_xlfn.XLOOKUP(L560,notes!$B$28:$B$30,notes!$C$28:$C$30,"Unknown",-1)</f>
        <v>Small Family</v>
      </c>
      <c r="O560" s="37">
        <v>110413</v>
      </c>
      <c r="P560" s="37">
        <v>79.65</v>
      </c>
      <c r="Q560" s="37" t="str">
        <f t="shared" si="35"/>
        <v>High</v>
      </c>
      <c r="R560" s="37" t="s">
        <v>398</v>
      </c>
      <c r="S560" s="37" t="s">
        <v>15</v>
      </c>
      <c r="T560" s="41" t="str">
        <f t="shared" si="33"/>
        <v>Southampton</v>
      </c>
    </row>
    <row r="561" spans="1:20">
      <c r="A561" s="37">
        <v>560</v>
      </c>
      <c r="B561" s="37">
        <v>1</v>
      </c>
      <c r="C561" s="37">
        <v>3</v>
      </c>
      <c r="D561" s="37" t="s">
        <v>2215</v>
      </c>
      <c r="E561" s="37" t="s">
        <v>2216</v>
      </c>
      <c r="F561" s="37" t="s">
        <v>1239</v>
      </c>
      <c r="G561" s="37" t="str">
        <f>_xlfn.XLOOKUP(F561,notes!$B$12:$B$18,notes!$C$12:$C$18,"Unknown")</f>
        <v>Female</v>
      </c>
      <c r="H561" s="38">
        <v>36</v>
      </c>
      <c r="I561" s="39" t="str">
        <f>_xlfn.XLOOKUP(H561,notes!$B$4:$B$8,notes!$C$4:$C$8,"Invalid",-1)</f>
        <v>Adult</v>
      </c>
      <c r="J561" s="37">
        <v>1</v>
      </c>
      <c r="K561" s="37">
        <v>0</v>
      </c>
      <c r="L561" s="37">
        <f t="shared" si="34"/>
        <v>2</v>
      </c>
      <c r="M561" s="40" t="str">
        <f t="shared" si="32"/>
        <v>Survived</v>
      </c>
      <c r="N561" s="37" t="str">
        <f>_xlfn.XLOOKUP(L561,notes!$B$28:$B$30,notes!$C$28:$C$30,"Unknown",-1)</f>
        <v>Small Family</v>
      </c>
      <c r="O561" s="37">
        <v>345572</v>
      </c>
      <c r="P561" s="37">
        <v>17.4</v>
      </c>
      <c r="Q561" s="37" t="str">
        <f t="shared" si="35"/>
        <v>Mid</v>
      </c>
      <c r="R561" s="37" t="s">
        <v>1236</v>
      </c>
      <c r="S561" s="37" t="s">
        <v>15</v>
      </c>
      <c r="T561" s="41" t="str">
        <f t="shared" si="33"/>
        <v>Southampton</v>
      </c>
    </row>
    <row r="562" spans="1:20">
      <c r="A562" s="37">
        <v>561</v>
      </c>
      <c r="B562" s="37">
        <v>0</v>
      </c>
      <c r="C562" s="37">
        <v>3</v>
      </c>
      <c r="D562" s="37" t="s">
        <v>2217</v>
      </c>
      <c r="E562" s="37" t="s">
        <v>2218</v>
      </c>
      <c r="F562" s="37" t="s">
        <v>1235</v>
      </c>
      <c r="G562" s="37" t="str">
        <f>_xlfn.XLOOKUP(F562,notes!$B$12:$B$18,notes!$C$12:$C$18,"Unknown")</f>
        <v>Male</v>
      </c>
      <c r="H562" s="38" t="s">
        <v>1236</v>
      </c>
      <c r="I562" s="39" t="str">
        <f>_xlfn.XLOOKUP(H562,notes!$B$4:$B$8,notes!$C$4:$C$8,"Invalid",-1)</f>
        <v>Unknown</v>
      </c>
      <c r="J562" s="37">
        <v>0</v>
      </c>
      <c r="K562" s="37">
        <v>0</v>
      </c>
      <c r="L562" s="37">
        <f t="shared" si="34"/>
        <v>1</v>
      </c>
      <c r="M562" s="40" t="str">
        <f t="shared" si="32"/>
        <v>Not Survived</v>
      </c>
      <c r="N562" s="37" t="str">
        <f>_xlfn.XLOOKUP(L562,notes!$B$28:$B$30,notes!$C$28:$C$30,"Unknown",-1)</f>
        <v>Alone</v>
      </c>
      <c r="O562" s="37">
        <v>372622</v>
      </c>
      <c r="P562" s="37">
        <v>7.75</v>
      </c>
      <c r="Q562" s="37" t="str">
        <f t="shared" si="35"/>
        <v>Low</v>
      </c>
      <c r="R562" s="37" t="s">
        <v>1236</v>
      </c>
      <c r="S562" s="37" t="s">
        <v>28</v>
      </c>
      <c r="T562" s="41" t="str">
        <f t="shared" si="33"/>
        <v>Queenstown</v>
      </c>
    </row>
    <row r="563" spans="1:20">
      <c r="A563" s="37">
        <v>562</v>
      </c>
      <c r="B563" s="37">
        <v>0</v>
      </c>
      <c r="C563" s="37">
        <v>3</v>
      </c>
      <c r="D563" s="37" t="s">
        <v>2219</v>
      </c>
      <c r="E563" s="37" t="s">
        <v>2220</v>
      </c>
      <c r="F563" s="37" t="s">
        <v>1235</v>
      </c>
      <c r="G563" s="37" t="str">
        <f>_xlfn.XLOOKUP(F563,notes!$B$12:$B$18,notes!$C$12:$C$18,"Unknown")</f>
        <v>Male</v>
      </c>
      <c r="H563" s="38">
        <v>40</v>
      </c>
      <c r="I563" s="39" t="str">
        <f>_xlfn.XLOOKUP(H563,notes!$B$4:$B$8,notes!$C$4:$C$8,"Invalid",-1)</f>
        <v>Adult</v>
      </c>
      <c r="J563" s="37">
        <v>0</v>
      </c>
      <c r="K563" s="37">
        <v>0</v>
      </c>
      <c r="L563" s="37">
        <f t="shared" si="34"/>
        <v>1</v>
      </c>
      <c r="M563" s="40" t="str">
        <f t="shared" si="32"/>
        <v>Not Survived</v>
      </c>
      <c r="N563" s="37" t="str">
        <f>_xlfn.XLOOKUP(L563,notes!$B$28:$B$30,notes!$C$28:$C$30,"Unknown",-1)</f>
        <v>Alone</v>
      </c>
      <c r="O563" s="37">
        <v>349251</v>
      </c>
      <c r="P563" s="37">
        <v>7.8958</v>
      </c>
      <c r="Q563" s="37" t="str">
        <f t="shared" si="35"/>
        <v>Low</v>
      </c>
      <c r="R563" s="37" t="s">
        <v>1236</v>
      </c>
      <c r="S563" s="37" t="s">
        <v>15</v>
      </c>
      <c r="T563" s="41" t="str">
        <f t="shared" si="33"/>
        <v>Southampton</v>
      </c>
    </row>
    <row r="564" spans="1:20">
      <c r="A564" s="37">
        <v>563</v>
      </c>
      <c r="B564" s="37">
        <v>0</v>
      </c>
      <c r="C564" s="37">
        <v>2</v>
      </c>
      <c r="D564" s="37" t="s">
        <v>2221</v>
      </c>
      <c r="E564" s="37" t="s">
        <v>2222</v>
      </c>
      <c r="F564" s="37" t="s">
        <v>1235</v>
      </c>
      <c r="G564" s="37" t="str">
        <f>_xlfn.XLOOKUP(F564,notes!$B$12:$B$18,notes!$C$12:$C$18,"Unknown")</f>
        <v>Male</v>
      </c>
      <c r="H564" s="38">
        <v>28</v>
      </c>
      <c r="I564" s="39" t="str">
        <f>_xlfn.XLOOKUP(H564,notes!$B$4:$B$8,notes!$C$4:$C$8,"Invalid",-1)</f>
        <v>Adult</v>
      </c>
      <c r="J564" s="37">
        <v>0</v>
      </c>
      <c r="K564" s="37">
        <v>0</v>
      </c>
      <c r="L564" s="37">
        <f t="shared" si="34"/>
        <v>1</v>
      </c>
      <c r="M564" s="40" t="str">
        <f t="shared" si="32"/>
        <v>Not Survived</v>
      </c>
      <c r="N564" s="37" t="str">
        <f>_xlfn.XLOOKUP(L564,notes!$B$28:$B$30,notes!$C$28:$C$30,"Unknown",-1)</f>
        <v>Alone</v>
      </c>
      <c r="O564" s="37">
        <v>218629</v>
      </c>
      <c r="P564" s="37">
        <v>13.5</v>
      </c>
      <c r="Q564" s="37" t="str">
        <f t="shared" si="35"/>
        <v>Mid</v>
      </c>
      <c r="R564" s="37" t="s">
        <v>1236</v>
      </c>
      <c r="S564" s="37" t="s">
        <v>15</v>
      </c>
      <c r="T564" s="41" t="str">
        <f t="shared" si="33"/>
        <v>Southampton</v>
      </c>
    </row>
    <row r="565" spans="1:20">
      <c r="A565" s="37">
        <v>564</v>
      </c>
      <c r="B565" s="37">
        <v>0</v>
      </c>
      <c r="C565" s="37">
        <v>3</v>
      </c>
      <c r="D565" s="37" t="s">
        <v>2223</v>
      </c>
      <c r="E565" s="37" t="s">
        <v>1592</v>
      </c>
      <c r="F565" s="37" t="s">
        <v>1235</v>
      </c>
      <c r="G565" s="37" t="str">
        <f>_xlfn.XLOOKUP(F565,notes!$B$12:$B$18,notes!$C$12:$C$18,"Unknown")</f>
        <v>Male</v>
      </c>
      <c r="H565" s="38" t="s">
        <v>1236</v>
      </c>
      <c r="I565" s="39" t="str">
        <f>_xlfn.XLOOKUP(H565,notes!$B$4:$B$8,notes!$C$4:$C$8,"Invalid",-1)</f>
        <v>Unknown</v>
      </c>
      <c r="J565" s="37">
        <v>0</v>
      </c>
      <c r="K565" s="37">
        <v>0</v>
      </c>
      <c r="L565" s="37">
        <f t="shared" si="34"/>
        <v>1</v>
      </c>
      <c r="M565" s="40" t="str">
        <f t="shared" si="32"/>
        <v>Not Survived</v>
      </c>
      <c r="N565" s="37" t="str">
        <f>_xlfn.XLOOKUP(L565,notes!$B$28:$B$30,notes!$C$28:$C$30,"Unknown",-1)</f>
        <v>Alone</v>
      </c>
      <c r="O565" s="37" t="s">
        <v>807</v>
      </c>
      <c r="P565" s="37">
        <v>8.05</v>
      </c>
      <c r="Q565" s="37" t="str">
        <f t="shared" si="35"/>
        <v>Low</v>
      </c>
      <c r="R565" s="37" t="s">
        <v>1236</v>
      </c>
      <c r="S565" s="37" t="s">
        <v>15</v>
      </c>
      <c r="T565" s="41" t="str">
        <f t="shared" si="33"/>
        <v>Southampton</v>
      </c>
    </row>
    <row r="566" spans="1:20">
      <c r="A566" s="37">
        <v>565</v>
      </c>
      <c r="B566" s="37">
        <v>0</v>
      </c>
      <c r="C566" s="37">
        <v>3</v>
      </c>
      <c r="D566" s="37" t="s">
        <v>2224</v>
      </c>
      <c r="E566" s="37" t="s">
        <v>2225</v>
      </c>
      <c r="F566" s="37" t="s">
        <v>1242</v>
      </c>
      <c r="G566" s="37" t="str">
        <f>_xlfn.XLOOKUP(F566,notes!$B$12:$B$18,notes!$C$12:$C$18,"Unknown")</f>
        <v>Female</v>
      </c>
      <c r="H566" s="38" t="s">
        <v>1236</v>
      </c>
      <c r="I566" s="39" t="str">
        <f>_xlfn.XLOOKUP(H566,notes!$B$4:$B$8,notes!$C$4:$C$8,"Invalid",-1)</f>
        <v>Unknown</v>
      </c>
      <c r="J566" s="37">
        <v>0</v>
      </c>
      <c r="K566" s="37">
        <v>0</v>
      </c>
      <c r="L566" s="37">
        <f t="shared" si="34"/>
        <v>1</v>
      </c>
      <c r="M566" s="40" t="str">
        <f t="shared" si="32"/>
        <v>Not Survived</v>
      </c>
      <c r="N566" s="37" t="str">
        <f>_xlfn.XLOOKUP(L566,notes!$B$28:$B$30,notes!$C$28:$C$30,"Unknown",-1)</f>
        <v>Alone</v>
      </c>
      <c r="O566" s="37" t="s">
        <v>809</v>
      </c>
      <c r="P566" s="37">
        <v>8.05</v>
      </c>
      <c r="Q566" s="37" t="str">
        <f t="shared" si="35"/>
        <v>Low</v>
      </c>
      <c r="R566" s="37" t="s">
        <v>1236</v>
      </c>
      <c r="S566" s="37" t="s">
        <v>15</v>
      </c>
      <c r="T566" s="41" t="str">
        <f t="shared" si="33"/>
        <v>Southampton</v>
      </c>
    </row>
    <row r="567" spans="1:20">
      <c r="A567" s="37">
        <v>566</v>
      </c>
      <c r="B567" s="37">
        <v>0</v>
      </c>
      <c r="C567" s="37">
        <v>3</v>
      </c>
      <c r="D567" s="37" t="s">
        <v>1934</v>
      </c>
      <c r="E567" s="37" t="s">
        <v>2226</v>
      </c>
      <c r="F567" s="37" t="s">
        <v>1235</v>
      </c>
      <c r="G567" s="37" t="str">
        <f>_xlfn.XLOOKUP(F567,notes!$B$12:$B$18,notes!$C$12:$C$18,"Unknown")</f>
        <v>Male</v>
      </c>
      <c r="H567" s="38">
        <v>24</v>
      </c>
      <c r="I567" s="39" t="str">
        <f>_xlfn.XLOOKUP(H567,notes!$B$4:$B$8,notes!$C$4:$C$8,"Invalid",-1)</f>
        <v>Adult</v>
      </c>
      <c r="J567" s="37">
        <v>2</v>
      </c>
      <c r="K567" s="37">
        <v>0</v>
      </c>
      <c r="L567" s="37">
        <f t="shared" si="34"/>
        <v>3</v>
      </c>
      <c r="M567" s="40" t="str">
        <f t="shared" si="32"/>
        <v>Not Survived</v>
      </c>
      <c r="N567" s="37" t="str">
        <f>_xlfn.XLOOKUP(L567,notes!$B$28:$B$30,notes!$C$28:$C$30,"Unknown",-1)</f>
        <v>Small Family</v>
      </c>
      <c r="O567" s="37" t="s">
        <v>811</v>
      </c>
      <c r="P567" s="37">
        <v>24.15</v>
      </c>
      <c r="Q567" s="37" t="str">
        <f t="shared" si="35"/>
        <v>Mid</v>
      </c>
      <c r="R567" s="37" t="s">
        <v>1236</v>
      </c>
      <c r="S567" s="37" t="s">
        <v>15</v>
      </c>
      <c r="T567" s="41" t="str">
        <f t="shared" si="33"/>
        <v>Southampton</v>
      </c>
    </row>
    <row r="568" spans="1:20">
      <c r="A568" s="37">
        <v>567</v>
      </c>
      <c r="B568" s="37">
        <v>0</v>
      </c>
      <c r="C568" s="37">
        <v>3</v>
      </c>
      <c r="D568" s="37" t="s">
        <v>2227</v>
      </c>
      <c r="E568" s="37" t="s">
        <v>2228</v>
      </c>
      <c r="F568" s="37" t="s">
        <v>1235</v>
      </c>
      <c r="G568" s="37" t="str">
        <f>_xlfn.XLOOKUP(F568,notes!$B$12:$B$18,notes!$C$12:$C$18,"Unknown")</f>
        <v>Male</v>
      </c>
      <c r="H568" s="38">
        <v>19</v>
      </c>
      <c r="I568" s="39" t="str">
        <f>_xlfn.XLOOKUP(H568,notes!$B$4:$B$8,notes!$C$4:$C$8,"Invalid",-1)</f>
        <v>Teenager</v>
      </c>
      <c r="J568" s="37">
        <v>0</v>
      </c>
      <c r="K568" s="37">
        <v>0</v>
      </c>
      <c r="L568" s="37">
        <f t="shared" si="34"/>
        <v>1</v>
      </c>
      <c r="M568" s="40" t="str">
        <f t="shared" si="32"/>
        <v>Not Survived</v>
      </c>
      <c r="N568" s="37" t="str">
        <f>_xlfn.XLOOKUP(L568,notes!$B$28:$B$30,notes!$C$28:$C$30,"Unknown",-1)</f>
        <v>Alone</v>
      </c>
      <c r="O568" s="37">
        <v>349205</v>
      </c>
      <c r="P568" s="37">
        <v>7.8958</v>
      </c>
      <c r="Q568" s="37" t="str">
        <f t="shared" si="35"/>
        <v>Low</v>
      </c>
      <c r="R568" s="37" t="s">
        <v>1236</v>
      </c>
      <c r="S568" s="37" t="s">
        <v>15</v>
      </c>
      <c r="T568" s="41" t="str">
        <f t="shared" si="33"/>
        <v>Southampton</v>
      </c>
    </row>
    <row r="569" spans="1:20">
      <c r="A569" s="37">
        <v>568</v>
      </c>
      <c r="B569" s="37">
        <v>0</v>
      </c>
      <c r="C569" s="37">
        <v>3</v>
      </c>
      <c r="D569" s="37" t="s">
        <v>1251</v>
      </c>
      <c r="E569" s="37" t="s">
        <v>2229</v>
      </c>
      <c r="F569" s="37" t="s">
        <v>1239</v>
      </c>
      <c r="G569" s="37" t="str">
        <f>_xlfn.XLOOKUP(F569,notes!$B$12:$B$18,notes!$C$12:$C$18,"Unknown")</f>
        <v>Female</v>
      </c>
      <c r="H569" s="38">
        <v>29</v>
      </c>
      <c r="I569" s="39" t="str">
        <f>_xlfn.XLOOKUP(H569,notes!$B$4:$B$8,notes!$C$4:$C$8,"Invalid",-1)</f>
        <v>Adult</v>
      </c>
      <c r="J569" s="37">
        <v>0</v>
      </c>
      <c r="K569" s="37">
        <v>4</v>
      </c>
      <c r="L569" s="37">
        <f t="shared" si="34"/>
        <v>5</v>
      </c>
      <c r="M569" s="40" t="str">
        <f t="shared" si="32"/>
        <v>Not Survived</v>
      </c>
      <c r="N569" s="37" t="str">
        <f>_xlfn.XLOOKUP(L569,notes!$B$28:$B$30,notes!$C$28:$C$30,"Unknown",-1)</f>
        <v>Large Family</v>
      </c>
      <c r="O569" s="37">
        <v>349909</v>
      </c>
      <c r="P569" s="37">
        <v>21.075</v>
      </c>
      <c r="Q569" s="37" t="str">
        <f t="shared" si="35"/>
        <v>Mid</v>
      </c>
      <c r="R569" s="37" t="s">
        <v>1236</v>
      </c>
      <c r="S569" s="37" t="s">
        <v>15</v>
      </c>
      <c r="T569" s="41" t="str">
        <f t="shared" si="33"/>
        <v>Southampton</v>
      </c>
    </row>
    <row r="570" spans="1:20">
      <c r="A570" s="37">
        <v>569</v>
      </c>
      <c r="B570" s="37">
        <v>0</v>
      </c>
      <c r="C570" s="37">
        <v>3</v>
      </c>
      <c r="D570" s="37" t="s">
        <v>2230</v>
      </c>
      <c r="E570" s="37" t="s">
        <v>1879</v>
      </c>
      <c r="F570" s="37" t="s">
        <v>1235</v>
      </c>
      <c r="G570" s="37" t="str">
        <f>_xlfn.XLOOKUP(F570,notes!$B$12:$B$18,notes!$C$12:$C$18,"Unknown")</f>
        <v>Male</v>
      </c>
      <c r="H570" s="38" t="s">
        <v>1236</v>
      </c>
      <c r="I570" s="39" t="str">
        <f>_xlfn.XLOOKUP(H570,notes!$B$4:$B$8,notes!$C$4:$C$8,"Invalid",-1)</f>
        <v>Unknown</v>
      </c>
      <c r="J570" s="37">
        <v>0</v>
      </c>
      <c r="K570" s="37">
        <v>0</v>
      </c>
      <c r="L570" s="37">
        <f t="shared" si="34"/>
        <v>1</v>
      </c>
      <c r="M570" s="40" t="str">
        <f t="shared" si="32"/>
        <v>Not Survived</v>
      </c>
      <c r="N570" s="37" t="str">
        <f>_xlfn.XLOOKUP(L570,notes!$B$28:$B$30,notes!$C$28:$C$30,"Unknown",-1)</f>
        <v>Alone</v>
      </c>
      <c r="O570" s="37">
        <v>2686</v>
      </c>
      <c r="P570" s="37">
        <v>7.2292</v>
      </c>
      <c r="Q570" s="37" t="str">
        <f t="shared" si="35"/>
        <v>Low</v>
      </c>
      <c r="R570" s="37" t="s">
        <v>1236</v>
      </c>
      <c r="S570" s="37" t="s">
        <v>20</v>
      </c>
      <c r="T570" s="41" t="str">
        <f t="shared" si="33"/>
        <v>Cherbourg</v>
      </c>
    </row>
    <row r="571" spans="1:20">
      <c r="A571" s="37">
        <v>570</v>
      </c>
      <c r="B571" s="37">
        <v>1</v>
      </c>
      <c r="C571" s="37">
        <v>3</v>
      </c>
      <c r="D571" s="37" t="s">
        <v>2231</v>
      </c>
      <c r="E571" s="37" t="s">
        <v>2232</v>
      </c>
      <c r="F571" s="37" t="s">
        <v>1235</v>
      </c>
      <c r="G571" s="37" t="str">
        <f>_xlfn.XLOOKUP(F571,notes!$B$12:$B$18,notes!$C$12:$C$18,"Unknown")</f>
        <v>Male</v>
      </c>
      <c r="H571" s="38">
        <v>32</v>
      </c>
      <c r="I571" s="39" t="str">
        <f>_xlfn.XLOOKUP(H571,notes!$B$4:$B$8,notes!$C$4:$C$8,"Invalid",-1)</f>
        <v>Adult</v>
      </c>
      <c r="J571" s="37">
        <v>0</v>
      </c>
      <c r="K571" s="37">
        <v>0</v>
      </c>
      <c r="L571" s="37">
        <f t="shared" si="34"/>
        <v>1</v>
      </c>
      <c r="M571" s="40" t="str">
        <f t="shared" si="32"/>
        <v>Survived</v>
      </c>
      <c r="N571" s="37" t="str">
        <f>_xlfn.XLOOKUP(L571,notes!$B$28:$B$30,notes!$C$28:$C$30,"Unknown",-1)</f>
        <v>Alone</v>
      </c>
      <c r="O571" s="37">
        <v>350417</v>
      </c>
      <c r="P571" s="37">
        <v>7.8542</v>
      </c>
      <c r="Q571" s="37" t="str">
        <f t="shared" si="35"/>
        <v>Low</v>
      </c>
      <c r="R571" s="37" t="s">
        <v>1236</v>
      </c>
      <c r="S571" s="37" t="s">
        <v>15</v>
      </c>
      <c r="T571" s="41" t="str">
        <f t="shared" si="33"/>
        <v>Southampton</v>
      </c>
    </row>
    <row r="572" spans="1:20">
      <c r="A572" s="37">
        <v>571</v>
      </c>
      <c r="B572" s="37">
        <v>1</v>
      </c>
      <c r="C572" s="37">
        <v>2</v>
      </c>
      <c r="D572" s="37" t="s">
        <v>1360</v>
      </c>
      <c r="E572" s="37" t="s">
        <v>2209</v>
      </c>
      <c r="F572" s="37" t="s">
        <v>1235</v>
      </c>
      <c r="G572" s="37" t="str">
        <f>_xlfn.XLOOKUP(F572,notes!$B$12:$B$18,notes!$C$12:$C$18,"Unknown")</f>
        <v>Male</v>
      </c>
      <c r="H572" s="38">
        <v>62</v>
      </c>
      <c r="I572" s="39" t="str">
        <f>_xlfn.XLOOKUP(H572,notes!$B$4:$B$8,notes!$C$4:$C$8,"Invalid",-1)</f>
        <v>Elderly</v>
      </c>
      <c r="J572" s="37">
        <v>0</v>
      </c>
      <c r="K572" s="37">
        <v>0</v>
      </c>
      <c r="L572" s="37">
        <f t="shared" si="34"/>
        <v>1</v>
      </c>
      <c r="M572" s="40" t="str">
        <f t="shared" si="32"/>
        <v>Survived</v>
      </c>
      <c r="N572" s="37" t="str">
        <f>_xlfn.XLOOKUP(L572,notes!$B$28:$B$30,notes!$C$28:$C$30,"Unknown",-1)</f>
        <v>Alone</v>
      </c>
      <c r="O572" s="37" t="s">
        <v>817</v>
      </c>
      <c r="P572" s="37">
        <v>10.5</v>
      </c>
      <c r="Q572" s="37" t="str">
        <f t="shared" si="35"/>
        <v>Mid</v>
      </c>
      <c r="R572" s="37" t="s">
        <v>1236</v>
      </c>
      <c r="S572" s="37" t="s">
        <v>15</v>
      </c>
      <c r="T572" s="41" t="str">
        <f t="shared" si="33"/>
        <v>Southampton</v>
      </c>
    </row>
    <row r="573" spans="1:20">
      <c r="A573" s="37">
        <v>572</v>
      </c>
      <c r="B573" s="37">
        <v>1</v>
      </c>
      <c r="C573" s="37">
        <v>1</v>
      </c>
      <c r="D573" s="37" t="s">
        <v>2233</v>
      </c>
      <c r="E573" s="37" t="s">
        <v>2234</v>
      </c>
      <c r="F573" s="37" t="s">
        <v>1239</v>
      </c>
      <c r="G573" s="37" t="str">
        <f>_xlfn.XLOOKUP(F573,notes!$B$12:$B$18,notes!$C$12:$C$18,"Unknown")</f>
        <v>Female</v>
      </c>
      <c r="H573" s="38">
        <v>53</v>
      </c>
      <c r="I573" s="39" t="str">
        <f>_xlfn.XLOOKUP(H573,notes!$B$4:$B$8,notes!$C$4:$C$8,"Invalid",-1)</f>
        <v>Adult</v>
      </c>
      <c r="J573" s="37">
        <v>2</v>
      </c>
      <c r="K573" s="37">
        <v>0</v>
      </c>
      <c r="L573" s="37">
        <f t="shared" si="34"/>
        <v>3</v>
      </c>
      <c r="M573" s="40" t="str">
        <f t="shared" si="32"/>
        <v>Survived</v>
      </c>
      <c r="N573" s="37" t="str">
        <f>_xlfn.XLOOKUP(L573,notes!$B$28:$B$30,notes!$C$28:$C$30,"Unknown",-1)</f>
        <v>Small Family</v>
      </c>
      <c r="O573" s="37">
        <v>11769</v>
      </c>
      <c r="P573" s="37">
        <v>51.4792</v>
      </c>
      <c r="Q573" s="37" t="str">
        <f t="shared" si="35"/>
        <v>High</v>
      </c>
      <c r="R573" s="37" t="s">
        <v>819</v>
      </c>
      <c r="S573" s="37" t="s">
        <v>15</v>
      </c>
      <c r="T573" s="41" t="str">
        <f t="shared" si="33"/>
        <v>Southampton</v>
      </c>
    </row>
    <row r="574" spans="1:20">
      <c r="A574" s="37">
        <v>573</v>
      </c>
      <c r="B574" s="37">
        <v>1</v>
      </c>
      <c r="C574" s="37">
        <v>1</v>
      </c>
      <c r="D574" s="37" t="s">
        <v>2001</v>
      </c>
      <c r="E574" s="37" t="s">
        <v>2235</v>
      </c>
      <c r="F574" s="37" t="s">
        <v>1235</v>
      </c>
      <c r="G574" s="37" t="str">
        <f>_xlfn.XLOOKUP(F574,notes!$B$12:$B$18,notes!$C$12:$C$18,"Unknown")</f>
        <v>Male</v>
      </c>
      <c r="H574" s="38">
        <v>36</v>
      </c>
      <c r="I574" s="39" t="str">
        <f>_xlfn.XLOOKUP(H574,notes!$B$4:$B$8,notes!$C$4:$C$8,"Invalid",-1)</f>
        <v>Adult</v>
      </c>
      <c r="J574" s="37">
        <v>0</v>
      </c>
      <c r="K574" s="37">
        <v>0</v>
      </c>
      <c r="L574" s="37">
        <f t="shared" si="34"/>
        <v>1</v>
      </c>
      <c r="M574" s="40" t="str">
        <f t="shared" si="32"/>
        <v>Survived</v>
      </c>
      <c r="N574" s="37" t="str">
        <f>_xlfn.XLOOKUP(L574,notes!$B$28:$B$30,notes!$C$28:$C$30,"Unknown",-1)</f>
        <v>Alone</v>
      </c>
      <c r="O574" s="37" t="s">
        <v>821</v>
      </c>
      <c r="P574" s="37">
        <v>26.3875</v>
      </c>
      <c r="Q574" s="37" t="str">
        <f t="shared" si="35"/>
        <v>Mid</v>
      </c>
      <c r="R574" s="37" t="s">
        <v>739</v>
      </c>
      <c r="S574" s="37" t="s">
        <v>15</v>
      </c>
      <c r="T574" s="41" t="str">
        <f t="shared" si="33"/>
        <v>Southampton</v>
      </c>
    </row>
    <row r="575" spans="1:20">
      <c r="A575" s="37">
        <v>574</v>
      </c>
      <c r="B575" s="37">
        <v>1</v>
      </c>
      <c r="C575" s="37">
        <v>3</v>
      </c>
      <c r="D575" s="37" t="s">
        <v>1790</v>
      </c>
      <c r="E575" s="37" t="s">
        <v>1890</v>
      </c>
      <c r="F575" s="37" t="s">
        <v>1242</v>
      </c>
      <c r="G575" s="37" t="str">
        <f>_xlfn.XLOOKUP(F575,notes!$B$12:$B$18,notes!$C$12:$C$18,"Unknown")</f>
        <v>Female</v>
      </c>
      <c r="H575" s="38" t="s">
        <v>1236</v>
      </c>
      <c r="I575" s="39" t="str">
        <f>_xlfn.XLOOKUP(H575,notes!$B$4:$B$8,notes!$C$4:$C$8,"Invalid",-1)</f>
        <v>Unknown</v>
      </c>
      <c r="J575" s="37">
        <v>0</v>
      </c>
      <c r="K575" s="37">
        <v>0</v>
      </c>
      <c r="L575" s="37">
        <f t="shared" si="34"/>
        <v>1</v>
      </c>
      <c r="M575" s="40" t="str">
        <f t="shared" si="32"/>
        <v>Survived</v>
      </c>
      <c r="N575" s="37" t="str">
        <f>_xlfn.XLOOKUP(L575,notes!$B$28:$B$30,notes!$C$28:$C$30,"Unknown",-1)</f>
        <v>Alone</v>
      </c>
      <c r="O575" s="37">
        <v>14312</v>
      </c>
      <c r="P575" s="37">
        <v>7.75</v>
      </c>
      <c r="Q575" s="37" t="str">
        <f t="shared" si="35"/>
        <v>Low</v>
      </c>
      <c r="R575" s="37" t="s">
        <v>1236</v>
      </c>
      <c r="S575" s="37" t="s">
        <v>28</v>
      </c>
      <c r="T575" s="41" t="str">
        <f t="shared" si="33"/>
        <v>Queenstown</v>
      </c>
    </row>
    <row r="576" spans="1:20">
      <c r="A576" s="37">
        <v>575</v>
      </c>
      <c r="B576" s="37">
        <v>0</v>
      </c>
      <c r="C576" s="37">
        <v>3</v>
      </c>
      <c r="D576" s="37" t="s">
        <v>2236</v>
      </c>
      <c r="E576" s="37" t="s">
        <v>2237</v>
      </c>
      <c r="F576" s="37" t="s">
        <v>1235</v>
      </c>
      <c r="G576" s="37" t="str">
        <f>_xlfn.XLOOKUP(F576,notes!$B$12:$B$18,notes!$C$12:$C$18,"Unknown")</f>
        <v>Male</v>
      </c>
      <c r="H576" s="38">
        <v>16</v>
      </c>
      <c r="I576" s="39" t="str">
        <f>_xlfn.XLOOKUP(H576,notes!$B$4:$B$8,notes!$C$4:$C$8,"Invalid",-1)</f>
        <v>Teenager</v>
      </c>
      <c r="J576" s="37">
        <v>0</v>
      </c>
      <c r="K576" s="37">
        <v>0</v>
      </c>
      <c r="L576" s="37">
        <f t="shared" si="34"/>
        <v>1</v>
      </c>
      <c r="M576" s="40" t="str">
        <f t="shared" si="32"/>
        <v>Not Survived</v>
      </c>
      <c r="N576" s="37" t="str">
        <f>_xlfn.XLOOKUP(L576,notes!$B$28:$B$30,notes!$C$28:$C$30,"Unknown",-1)</f>
        <v>Alone</v>
      </c>
      <c r="O576" s="37" t="s">
        <v>824</v>
      </c>
      <c r="P576" s="37">
        <v>8.05</v>
      </c>
      <c r="Q576" s="37" t="str">
        <f t="shared" si="35"/>
        <v>Low</v>
      </c>
      <c r="R576" s="37" t="s">
        <v>1236</v>
      </c>
      <c r="S576" s="37" t="s">
        <v>15</v>
      </c>
      <c r="T576" s="41" t="str">
        <f t="shared" si="33"/>
        <v>Southampton</v>
      </c>
    </row>
    <row r="577" spans="1:20">
      <c r="A577" s="37">
        <v>576</v>
      </c>
      <c r="B577" s="37">
        <v>0</v>
      </c>
      <c r="C577" s="37">
        <v>3</v>
      </c>
      <c r="D577" s="37" t="s">
        <v>2238</v>
      </c>
      <c r="E577" s="37" t="s">
        <v>2209</v>
      </c>
      <c r="F577" s="37" t="s">
        <v>1235</v>
      </c>
      <c r="G577" s="37" t="str">
        <f>_xlfn.XLOOKUP(F577,notes!$B$12:$B$18,notes!$C$12:$C$18,"Unknown")</f>
        <v>Male</v>
      </c>
      <c r="H577" s="38">
        <v>19</v>
      </c>
      <c r="I577" s="39" t="str">
        <f>_xlfn.XLOOKUP(H577,notes!$B$4:$B$8,notes!$C$4:$C$8,"Invalid",-1)</f>
        <v>Teenager</v>
      </c>
      <c r="J577" s="37">
        <v>0</v>
      </c>
      <c r="K577" s="37">
        <v>0</v>
      </c>
      <c r="L577" s="37">
        <f t="shared" si="34"/>
        <v>1</v>
      </c>
      <c r="M577" s="40" t="str">
        <f t="shared" si="32"/>
        <v>Not Survived</v>
      </c>
      <c r="N577" s="37" t="str">
        <f>_xlfn.XLOOKUP(L577,notes!$B$28:$B$30,notes!$C$28:$C$30,"Unknown",-1)</f>
        <v>Alone</v>
      </c>
      <c r="O577" s="37">
        <v>358585</v>
      </c>
      <c r="P577" s="37">
        <v>14.5</v>
      </c>
      <c r="Q577" s="37" t="str">
        <f t="shared" si="35"/>
        <v>Mid</v>
      </c>
      <c r="R577" s="37" t="s">
        <v>1236</v>
      </c>
      <c r="S577" s="37" t="s">
        <v>15</v>
      </c>
      <c r="T577" s="41" t="str">
        <f t="shared" si="33"/>
        <v>Southampton</v>
      </c>
    </row>
    <row r="578" spans="1:20">
      <c r="A578" s="37">
        <v>577</v>
      </c>
      <c r="B578" s="37">
        <v>1</v>
      </c>
      <c r="C578" s="37">
        <v>2</v>
      </c>
      <c r="D578" s="37" t="s">
        <v>2239</v>
      </c>
      <c r="E578" s="37" t="s">
        <v>2240</v>
      </c>
      <c r="F578" s="37" t="s">
        <v>1242</v>
      </c>
      <c r="G578" s="37" t="str">
        <f>_xlfn.XLOOKUP(F578,notes!$B$12:$B$18,notes!$C$12:$C$18,"Unknown")</f>
        <v>Female</v>
      </c>
      <c r="H578" s="38">
        <v>34</v>
      </c>
      <c r="I578" s="39" t="str">
        <f>_xlfn.XLOOKUP(H578,notes!$B$4:$B$8,notes!$C$4:$C$8,"Invalid",-1)</f>
        <v>Adult</v>
      </c>
      <c r="J578" s="37">
        <v>0</v>
      </c>
      <c r="K578" s="37">
        <v>0</v>
      </c>
      <c r="L578" s="37">
        <f t="shared" si="34"/>
        <v>1</v>
      </c>
      <c r="M578" s="40" t="str">
        <f t="shared" ref="M578:M641" si="36">IF(B578=1,"Survived","Not Survived")</f>
        <v>Survived</v>
      </c>
      <c r="N578" s="37" t="str">
        <f>_xlfn.XLOOKUP(L578,notes!$B$28:$B$30,notes!$C$28:$C$30,"Unknown",-1)</f>
        <v>Alone</v>
      </c>
      <c r="O578" s="37">
        <v>243880</v>
      </c>
      <c r="P578" s="37">
        <v>13</v>
      </c>
      <c r="Q578" s="37" t="str">
        <f t="shared" si="35"/>
        <v>Mid</v>
      </c>
      <c r="R578" s="37" t="s">
        <v>1236</v>
      </c>
      <c r="S578" s="37" t="s">
        <v>15</v>
      </c>
      <c r="T578" s="41" t="str">
        <f t="shared" ref="T578:T641" si="37">IF(S578="Q","Queenstown",IF(S578="C","Cherbourg",IF(S578="S","Southampton","Unknown")))</f>
        <v>Southampton</v>
      </c>
    </row>
    <row r="579" spans="1:20">
      <c r="A579" s="37">
        <v>578</v>
      </c>
      <c r="B579" s="37">
        <v>1</v>
      </c>
      <c r="C579" s="37">
        <v>1</v>
      </c>
      <c r="D579" s="37" t="s">
        <v>2012</v>
      </c>
      <c r="E579" s="37" t="s">
        <v>2241</v>
      </c>
      <c r="F579" s="37" t="s">
        <v>1239</v>
      </c>
      <c r="G579" s="37" t="str">
        <f>_xlfn.XLOOKUP(F579,notes!$B$12:$B$18,notes!$C$12:$C$18,"Unknown")</f>
        <v>Female</v>
      </c>
      <c r="H579" s="38">
        <v>39</v>
      </c>
      <c r="I579" s="39" t="str">
        <f>_xlfn.XLOOKUP(H579,notes!$B$4:$B$8,notes!$C$4:$C$8,"Invalid",-1)</f>
        <v>Adult</v>
      </c>
      <c r="J579" s="37">
        <v>1</v>
      </c>
      <c r="K579" s="37">
        <v>0</v>
      </c>
      <c r="L579" s="37">
        <f t="shared" ref="L579:L642" si="38">(J579+K579)+1</f>
        <v>2</v>
      </c>
      <c r="M579" s="40" t="str">
        <f t="shared" si="36"/>
        <v>Survived</v>
      </c>
      <c r="N579" s="37" t="str">
        <f>_xlfn.XLOOKUP(L579,notes!$B$28:$B$30,notes!$C$28:$C$30,"Unknown",-1)</f>
        <v>Small Family</v>
      </c>
      <c r="O579" s="37">
        <v>13507</v>
      </c>
      <c r="P579" s="37">
        <v>55.9</v>
      </c>
      <c r="Q579" s="37" t="str">
        <f t="shared" ref="Q579:Q642" si="39">IF(P579&gt;=50,"High",IF(P579&gt;=10,"Mid",IF(P579&lt;10,"Low","invalid")))</f>
        <v>High</v>
      </c>
      <c r="R579" s="37" t="s">
        <v>632</v>
      </c>
      <c r="S579" s="37" t="s">
        <v>15</v>
      </c>
      <c r="T579" s="41" t="str">
        <f t="shared" si="37"/>
        <v>Southampton</v>
      </c>
    </row>
    <row r="580" spans="1:20">
      <c r="A580" s="37">
        <v>579</v>
      </c>
      <c r="B580" s="37">
        <v>0</v>
      </c>
      <c r="C580" s="37">
        <v>3</v>
      </c>
      <c r="D580" s="37" t="s">
        <v>2242</v>
      </c>
      <c r="E580" s="37" t="s">
        <v>2243</v>
      </c>
      <c r="F580" s="37" t="s">
        <v>1239</v>
      </c>
      <c r="G580" s="37" t="str">
        <f>_xlfn.XLOOKUP(F580,notes!$B$12:$B$18,notes!$C$12:$C$18,"Unknown")</f>
        <v>Female</v>
      </c>
      <c r="H580" s="38" t="s">
        <v>1236</v>
      </c>
      <c r="I580" s="39" t="str">
        <f>_xlfn.XLOOKUP(H580,notes!$B$4:$B$8,notes!$C$4:$C$8,"Invalid",-1)</f>
        <v>Unknown</v>
      </c>
      <c r="J580" s="37">
        <v>1</v>
      </c>
      <c r="K580" s="37">
        <v>0</v>
      </c>
      <c r="L580" s="37">
        <f t="shared" si="38"/>
        <v>2</v>
      </c>
      <c r="M580" s="40" t="str">
        <f t="shared" si="36"/>
        <v>Not Survived</v>
      </c>
      <c r="N580" s="37" t="str">
        <f>_xlfn.XLOOKUP(L580,notes!$B$28:$B$30,notes!$C$28:$C$30,"Unknown",-1)</f>
        <v>Small Family</v>
      </c>
      <c r="O580" s="37">
        <v>2689</v>
      </c>
      <c r="P580" s="37">
        <v>14.4583</v>
      </c>
      <c r="Q580" s="37" t="str">
        <f t="shared" si="39"/>
        <v>Mid</v>
      </c>
      <c r="R580" s="37" t="s">
        <v>1236</v>
      </c>
      <c r="S580" s="37" t="s">
        <v>20</v>
      </c>
      <c r="T580" s="41" t="str">
        <f t="shared" si="37"/>
        <v>Cherbourg</v>
      </c>
    </row>
    <row r="581" spans="1:20">
      <c r="A581" s="37">
        <v>580</v>
      </c>
      <c r="B581" s="37">
        <v>1</v>
      </c>
      <c r="C581" s="37">
        <v>3</v>
      </c>
      <c r="D581" s="37" t="s">
        <v>1456</v>
      </c>
      <c r="E581" s="37" t="s">
        <v>2244</v>
      </c>
      <c r="F581" s="37" t="s">
        <v>1235</v>
      </c>
      <c r="G581" s="37" t="str">
        <f>_xlfn.XLOOKUP(F581,notes!$B$12:$B$18,notes!$C$12:$C$18,"Unknown")</f>
        <v>Male</v>
      </c>
      <c r="H581" s="38">
        <v>32</v>
      </c>
      <c r="I581" s="39" t="str">
        <f>_xlfn.XLOOKUP(H581,notes!$B$4:$B$8,notes!$C$4:$C$8,"Invalid",-1)</f>
        <v>Adult</v>
      </c>
      <c r="J581" s="37">
        <v>0</v>
      </c>
      <c r="K581" s="37">
        <v>0</v>
      </c>
      <c r="L581" s="37">
        <f t="shared" si="38"/>
        <v>1</v>
      </c>
      <c r="M581" s="40" t="str">
        <f t="shared" si="36"/>
        <v>Survived</v>
      </c>
      <c r="N581" s="37" t="str">
        <f>_xlfn.XLOOKUP(L581,notes!$B$28:$B$30,notes!$C$28:$C$30,"Unknown",-1)</f>
        <v>Alone</v>
      </c>
      <c r="O581" s="37" t="s">
        <v>830</v>
      </c>
      <c r="P581" s="37">
        <v>7.925</v>
      </c>
      <c r="Q581" s="37" t="str">
        <f t="shared" si="39"/>
        <v>Low</v>
      </c>
      <c r="R581" s="37" t="s">
        <v>1236</v>
      </c>
      <c r="S581" s="37" t="s">
        <v>15</v>
      </c>
      <c r="T581" s="41" t="str">
        <f t="shared" si="37"/>
        <v>Southampton</v>
      </c>
    </row>
    <row r="582" spans="1:20">
      <c r="A582" s="37">
        <v>581</v>
      </c>
      <c r="B582" s="37">
        <v>1</v>
      </c>
      <c r="C582" s="37">
        <v>2</v>
      </c>
      <c r="D582" s="37" t="s">
        <v>2245</v>
      </c>
      <c r="E582" s="37" t="s">
        <v>2246</v>
      </c>
      <c r="F582" s="37" t="s">
        <v>1242</v>
      </c>
      <c r="G582" s="37" t="str">
        <f>_xlfn.XLOOKUP(F582,notes!$B$12:$B$18,notes!$C$12:$C$18,"Unknown")</f>
        <v>Female</v>
      </c>
      <c r="H582" s="38">
        <v>25</v>
      </c>
      <c r="I582" s="39" t="str">
        <f>_xlfn.XLOOKUP(H582,notes!$B$4:$B$8,notes!$C$4:$C$8,"Invalid",-1)</f>
        <v>Adult</v>
      </c>
      <c r="J582" s="37">
        <v>1</v>
      </c>
      <c r="K582" s="37">
        <v>1</v>
      </c>
      <c r="L582" s="37">
        <f t="shared" si="38"/>
        <v>3</v>
      </c>
      <c r="M582" s="40" t="str">
        <f t="shared" si="36"/>
        <v>Survived</v>
      </c>
      <c r="N582" s="37" t="str">
        <f>_xlfn.XLOOKUP(L582,notes!$B$28:$B$30,notes!$C$28:$C$30,"Unknown",-1)</f>
        <v>Small Family</v>
      </c>
      <c r="O582" s="37">
        <v>237789</v>
      </c>
      <c r="P582" s="37">
        <v>30</v>
      </c>
      <c r="Q582" s="37" t="str">
        <f t="shared" si="39"/>
        <v>Mid</v>
      </c>
      <c r="R582" s="37" t="s">
        <v>1236</v>
      </c>
      <c r="S582" s="37" t="s">
        <v>15</v>
      </c>
      <c r="T582" s="41" t="str">
        <f t="shared" si="37"/>
        <v>Southampton</v>
      </c>
    </row>
    <row r="583" spans="1:20">
      <c r="A583" s="37">
        <v>582</v>
      </c>
      <c r="B583" s="37">
        <v>1</v>
      </c>
      <c r="C583" s="37">
        <v>1</v>
      </c>
      <c r="D583" s="37" t="s">
        <v>2199</v>
      </c>
      <c r="E583" s="37" t="s">
        <v>2247</v>
      </c>
      <c r="F583" s="37" t="s">
        <v>1239</v>
      </c>
      <c r="G583" s="37" t="str">
        <f>_xlfn.XLOOKUP(F583,notes!$B$12:$B$18,notes!$C$12:$C$18,"Unknown")</f>
        <v>Female</v>
      </c>
      <c r="H583" s="38">
        <v>39</v>
      </c>
      <c r="I583" s="39" t="str">
        <f>_xlfn.XLOOKUP(H583,notes!$B$4:$B$8,notes!$C$4:$C$8,"Invalid",-1)</f>
        <v>Adult</v>
      </c>
      <c r="J583" s="37">
        <v>1</v>
      </c>
      <c r="K583" s="37">
        <v>1</v>
      </c>
      <c r="L583" s="37">
        <f t="shared" si="38"/>
        <v>3</v>
      </c>
      <c r="M583" s="40" t="str">
        <f t="shared" si="36"/>
        <v>Survived</v>
      </c>
      <c r="N583" s="37" t="str">
        <f>_xlfn.XLOOKUP(L583,notes!$B$28:$B$30,notes!$C$28:$C$30,"Unknown",-1)</f>
        <v>Small Family</v>
      </c>
      <c r="O583" s="37">
        <v>17421</v>
      </c>
      <c r="P583" s="37">
        <v>110.8833</v>
      </c>
      <c r="Q583" s="37" t="str">
        <f t="shared" si="39"/>
        <v>High</v>
      </c>
      <c r="R583" s="37" t="s">
        <v>833</v>
      </c>
      <c r="S583" s="37" t="s">
        <v>20</v>
      </c>
      <c r="T583" s="41" t="str">
        <f t="shared" si="37"/>
        <v>Cherbourg</v>
      </c>
    </row>
    <row r="584" spans="1:20">
      <c r="A584" s="37">
        <v>583</v>
      </c>
      <c r="B584" s="37">
        <v>0</v>
      </c>
      <c r="C584" s="37">
        <v>2</v>
      </c>
      <c r="D584" s="37" t="s">
        <v>2248</v>
      </c>
      <c r="E584" s="37" t="s">
        <v>2249</v>
      </c>
      <c r="F584" s="37" t="s">
        <v>1235</v>
      </c>
      <c r="G584" s="37" t="str">
        <f>_xlfn.XLOOKUP(F584,notes!$B$12:$B$18,notes!$C$12:$C$18,"Unknown")</f>
        <v>Male</v>
      </c>
      <c r="H584" s="38">
        <v>54</v>
      </c>
      <c r="I584" s="39" t="str">
        <f>_xlfn.XLOOKUP(H584,notes!$B$4:$B$8,notes!$C$4:$C$8,"Invalid",-1)</f>
        <v>Adult</v>
      </c>
      <c r="J584" s="37">
        <v>0</v>
      </c>
      <c r="K584" s="37">
        <v>0</v>
      </c>
      <c r="L584" s="37">
        <f t="shared" si="38"/>
        <v>1</v>
      </c>
      <c r="M584" s="40" t="str">
        <f t="shared" si="36"/>
        <v>Not Survived</v>
      </c>
      <c r="N584" s="37" t="str">
        <f>_xlfn.XLOOKUP(L584,notes!$B$28:$B$30,notes!$C$28:$C$30,"Unknown",-1)</f>
        <v>Alone</v>
      </c>
      <c r="O584" s="37">
        <v>28403</v>
      </c>
      <c r="P584" s="37">
        <v>26</v>
      </c>
      <c r="Q584" s="37" t="str">
        <f t="shared" si="39"/>
        <v>Mid</v>
      </c>
      <c r="R584" s="37" t="s">
        <v>1236</v>
      </c>
      <c r="S584" s="37" t="s">
        <v>15</v>
      </c>
      <c r="T584" s="41" t="str">
        <f t="shared" si="37"/>
        <v>Southampton</v>
      </c>
    </row>
    <row r="585" spans="1:20">
      <c r="A585" s="37">
        <v>584</v>
      </c>
      <c r="B585" s="37">
        <v>0</v>
      </c>
      <c r="C585" s="37">
        <v>1</v>
      </c>
      <c r="D585" s="37" t="s">
        <v>2250</v>
      </c>
      <c r="E585" s="37" t="s">
        <v>2251</v>
      </c>
      <c r="F585" s="37" t="s">
        <v>1235</v>
      </c>
      <c r="G585" s="37" t="str">
        <f>_xlfn.XLOOKUP(F585,notes!$B$12:$B$18,notes!$C$12:$C$18,"Unknown")</f>
        <v>Male</v>
      </c>
      <c r="H585" s="38">
        <v>36</v>
      </c>
      <c r="I585" s="39" t="str">
        <f>_xlfn.XLOOKUP(H585,notes!$B$4:$B$8,notes!$C$4:$C$8,"Invalid",-1)</f>
        <v>Adult</v>
      </c>
      <c r="J585" s="37">
        <v>0</v>
      </c>
      <c r="K585" s="37">
        <v>0</v>
      </c>
      <c r="L585" s="37">
        <f t="shared" si="38"/>
        <v>1</v>
      </c>
      <c r="M585" s="40" t="str">
        <f t="shared" si="36"/>
        <v>Not Survived</v>
      </c>
      <c r="N585" s="37" t="str">
        <f>_xlfn.XLOOKUP(L585,notes!$B$28:$B$30,notes!$C$28:$C$30,"Unknown",-1)</f>
        <v>Alone</v>
      </c>
      <c r="O585" s="37">
        <v>13049</v>
      </c>
      <c r="P585" s="37">
        <v>40.125</v>
      </c>
      <c r="Q585" s="37" t="str">
        <f t="shared" si="39"/>
        <v>Mid</v>
      </c>
      <c r="R585" s="37" t="s">
        <v>836</v>
      </c>
      <c r="S585" s="37" t="s">
        <v>20</v>
      </c>
      <c r="T585" s="41" t="str">
        <f t="shared" si="37"/>
        <v>Cherbourg</v>
      </c>
    </row>
    <row r="586" spans="1:20">
      <c r="A586" s="37">
        <v>585</v>
      </c>
      <c r="B586" s="37">
        <v>0</v>
      </c>
      <c r="C586" s="37">
        <v>3</v>
      </c>
      <c r="D586" s="37" t="s">
        <v>2252</v>
      </c>
      <c r="E586" s="37" t="s">
        <v>2253</v>
      </c>
      <c r="F586" s="37" t="s">
        <v>1235</v>
      </c>
      <c r="G586" s="37" t="str">
        <f>_xlfn.XLOOKUP(F586,notes!$B$12:$B$18,notes!$C$12:$C$18,"Unknown")</f>
        <v>Male</v>
      </c>
      <c r="H586" s="38" t="s">
        <v>1236</v>
      </c>
      <c r="I586" s="39" t="str">
        <f>_xlfn.XLOOKUP(H586,notes!$B$4:$B$8,notes!$C$4:$C$8,"Invalid",-1)</f>
        <v>Unknown</v>
      </c>
      <c r="J586" s="37">
        <v>0</v>
      </c>
      <c r="K586" s="37">
        <v>0</v>
      </c>
      <c r="L586" s="37">
        <f t="shared" si="38"/>
        <v>1</v>
      </c>
      <c r="M586" s="40" t="str">
        <f t="shared" si="36"/>
        <v>Not Survived</v>
      </c>
      <c r="N586" s="37" t="str">
        <f>_xlfn.XLOOKUP(L586,notes!$B$28:$B$30,notes!$C$28:$C$30,"Unknown",-1)</f>
        <v>Alone</v>
      </c>
      <c r="O586" s="37">
        <v>3411</v>
      </c>
      <c r="P586" s="37">
        <v>8.7125</v>
      </c>
      <c r="Q586" s="37" t="str">
        <f t="shared" si="39"/>
        <v>Low</v>
      </c>
      <c r="R586" s="37" t="s">
        <v>1236</v>
      </c>
      <c r="S586" s="37" t="s">
        <v>20</v>
      </c>
      <c r="T586" s="41" t="str">
        <f t="shared" si="37"/>
        <v>Cherbourg</v>
      </c>
    </row>
    <row r="587" spans="1:20">
      <c r="A587" s="37">
        <v>586</v>
      </c>
      <c r="B587" s="37">
        <v>1</v>
      </c>
      <c r="C587" s="37">
        <v>1</v>
      </c>
      <c r="D587" s="37" t="s">
        <v>1724</v>
      </c>
      <c r="E587" s="37" t="s">
        <v>2254</v>
      </c>
      <c r="F587" s="37" t="s">
        <v>1242</v>
      </c>
      <c r="G587" s="37" t="str">
        <f>_xlfn.XLOOKUP(F587,notes!$B$12:$B$18,notes!$C$12:$C$18,"Unknown")</f>
        <v>Female</v>
      </c>
      <c r="H587" s="38">
        <v>18</v>
      </c>
      <c r="I587" s="39" t="str">
        <f>_xlfn.XLOOKUP(H587,notes!$B$4:$B$8,notes!$C$4:$C$8,"Invalid",-1)</f>
        <v>Teenager</v>
      </c>
      <c r="J587" s="37">
        <v>0</v>
      </c>
      <c r="K587" s="37">
        <v>2</v>
      </c>
      <c r="L587" s="37">
        <f t="shared" si="38"/>
        <v>3</v>
      </c>
      <c r="M587" s="40" t="str">
        <f t="shared" si="36"/>
        <v>Survived</v>
      </c>
      <c r="N587" s="37" t="str">
        <f>_xlfn.XLOOKUP(L587,notes!$B$28:$B$30,notes!$C$28:$C$30,"Unknown",-1)</f>
        <v>Small Family</v>
      </c>
      <c r="O587" s="37">
        <v>110413</v>
      </c>
      <c r="P587" s="37">
        <v>79.65</v>
      </c>
      <c r="Q587" s="37" t="str">
        <f t="shared" si="39"/>
        <v>High</v>
      </c>
      <c r="R587" s="37" t="s">
        <v>839</v>
      </c>
      <c r="S587" s="37" t="s">
        <v>15</v>
      </c>
      <c r="T587" s="41" t="str">
        <f t="shared" si="37"/>
        <v>Southampton</v>
      </c>
    </row>
    <row r="588" spans="1:20">
      <c r="A588" s="37">
        <v>587</v>
      </c>
      <c r="B588" s="37">
        <v>0</v>
      </c>
      <c r="C588" s="37">
        <v>2</v>
      </c>
      <c r="D588" s="37" t="s">
        <v>2255</v>
      </c>
      <c r="E588" s="37" t="s">
        <v>2256</v>
      </c>
      <c r="F588" s="37" t="s">
        <v>1235</v>
      </c>
      <c r="G588" s="37" t="str">
        <f>_xlfn.XLOOKUP(F588,notes!$B$12:$B$18,notes!$C$12:$C$18,"Unknown")</f>
        <v>Male</v>
      </c>
      <c r="H588" s="38">
        <v>47</v>
      </c>
      <c r="I588" s="39" t="str">
        <f>_xlfn.XLOOKUP(H588,notes!$B$4:$B$8,notes!$C$4:$C$8,"Invalid",-1)</f>
        <v>Adult</v>
      </c>
      <c r="J588" s="37">
        <v>0</v>
      </c>
      <c r="K588" s="37">
        <v>0</v>
      </c>
      <c r="L588" s="37">
        <f t="shared" si="38"/>
        <v>1</v>
      </c>
      <c r="M588" s="40" t="str">
        <f t="shared" si="36"/>
        <v>Not Survived</v>
      </c>
      <c r="N588" s="37" t="str">
        <f>_xlfn.XLOOKUP(L588,notes!$B$28:$B$30,notes!$C$28:$C$30,"Unknown",-1)</f>
        <v>Alone</v>
      </c>
      <c r="O588" s="37">
        <v>237565</v>
      </c>
      <c r="P588" s="37">
        <v>15</v>
      </c>
      <c r="Q588" s="37" t="str">
        <f t="shared" si="39"/>
        <v>Mid</v>
      </c>
      <c r="R588" s="37" t="s">
        <v>1236</v>
      </c>
      <c r="S588" s="37" t="s">
        <v>15</v>
      </c>
      <c r="T588" s="41" t="str">
        <f t="shared" si="37"/>
        <v>Southampton</v>
      </c>
    </row>
    <row r="589" spans="1:20">
      <c r="A589" s="37">
        <v>588</v>
      </c>
      <c r="B589" s="37">
        <v>1</v>
      </c>
      <c r="C589" s="37">
        <v>1</v>
      </c>
      <c r="D589" s="37" t="s">
        <v>2257</v>
      </c>
      <c r="E589" s="37" t="s">
        <v>2258</v>
      </c>
      <c r="F589" s="37" t="s">
        <v>1235</v>
      </c>
      <c r="G589" s="37" t="str">
        <f>_xlfn.XLOOKUP(F589,notes!$B$12:$B$18,notes!$C$12:$C$18,"Unknown")</f>
        <v>Male</v>
      </c>
      <c r="H589" s="38">
        <v>60</v>
      </c>
      <c r="I589" s="39" t="str">
        <f>_xlfn.XLOOKUP(H589,notes!$B$4:$B$8,notes!$C$4:$C$8,"Invalid",-1)</f>
        <v>Elderly</v>
      </c>
      <c r="J589" s="37">
        <v>1</v>
      </c>
      <c r="K589" s="37">
        <v>1</v>
      </c>
      <c r="L589" s="37">
        <f t="shared" si="38"/>
        <v>3</v>
      </c>
      <c r="M589" s="40" t="str">
        <f t="shared" si="36"/>
        <v>Survived</v>
      </c>
      <c r="N589" s="37" t="str">
        <f>_xlfn.XLOOKUP(L589,notes!$B$28:$B$30,notes!$C$28:$C$30,"Unknown",-1)</f>
        <v>Small Family</v>
      </c>
      <c r="O589" s="37">
        <v>13567</v>
      </c>
      <c r="P589" s="37">
        <v>79.2</v>
      </c>
      <c r="Q589" s="37" t="str">
        <f t="shared" si="39"/>
        <v>High</v>
      </c>
      <c r="R589" s="37" t="s">
        <v>842</v>
      </c>
      <c r="S589" s="37" t="s">
        <v>20</v>
      </c>
      <c r="T589" s="41" t="str">
        <f t="shared" si="37"/>
        <v>Cherbourg</v>
      </c>
    </row>
    <row r="590" spans="1:20">
      <c r="A590" s="37">
        <v>589</v>
      </c>
      <c r="B590" s="37">
        <v>0</v>
      </c>
      <c r="C590" s="37">
        <v>3</v>
      </c>
      <c r="D590" s="37" t="s">
        <v>2259</v>
      </c>
      <c r="E590" s="37" t="s">
        <v>2260</v>
      </c>
      <c r="F590" s="37" t="s">
        <v>1235</v>
      </c>
      <c r="G590" s="37" t="str">
        <f>_xlfn.XLOOKUP(F590,notes!$B$12:$B$18,notes!$C$12:$C$18,"Unknown")</f>
        <v>Male</v>
      </c>
      <c r="H590" s="38">
        <v>22</v>
      </c>
      <c r="I590" s="39" t="str">
        <f>_xlfn.XLOOKUP(H590,notes!$B$4:$B$8,notes!$C$4:$C$8,"Invalid",-1)</f>
        <v>Adult</v>
      </c>
      <c r="J590" s="37">
        <v>0</v>
      </c>
      <c r="K590" s="37">
        <v>0</v>
      </c>
      <c r="L590" s="37">
        <f t="shared" si="38"/>
        <v>1</v>
      </c>
      <c r="M590" s="40" t="str">
        <f t="shared" si="36"/>
        <v>Not Survived</v>
      </c>
      <c r="N590" s="37" t="str">
        <f>_xlfn.XLOOKUP(L590,notes!$B$28:$B$30,notes!$C$28:$C$30,"Unknown",-1)</f>
        <v>Alone</v>
      </c>
      <c r="O590" s="37">
        <v>14973</v>
      </c>
      <c r="P590" s="37">
        <v>8.05</v>
      </c>
      <c r="Q590" s="37" t="str">
        <f t="shared" si="39"/>
        <v>Low</v>
      </c>
      <c r="R590" s="37" t="s">
        <v>1236</v>
      </c>
      <c r="S590" s="37" t="s">
        <v>15</v>
      </c>
      <c r="T590" s="41" t="str">
        <f t="shared" si="37"/>
        <v>Southampton</v>
      </c>
    </row>
    <row r="591" spans="1:20">
      <c r="A591" s="37">
        <v>590</v>
      </c>
      <c r="B591" s="37">
        <v>0</v>
      </c>
      <c r="C591" s="37">
        <v>3</v>
      </c>
      <c r="D591" s="37" t="s">
        <v>2261</v>
      </c>
      <c r="E591" s="37" t="s">
        <v>2048</v>
      </c>
      <c r="F591" s="37" t="s">
        <v>1235</v>
      </c>
      <c r="G591" s="37" t="str">
        <f>_xlfn.XLOOKUP(F591,notes!$B$12:$B$18,notes!$C$12:$C$18,"Unknown")</f>
        <v>Male</v>
      </c>
      <c r="H591" s="38" t="s">
        <v>1236</v>
      </c>
      <c r="I591" s="39" t="str">
        <f>_xlfn.XLOOKUP(H591,notes!$B$4:$B$8,notes!$C$4:$C$8,"Invalid",-1)</f>
        <v>Unknown</v>
      </c>
      <c r="J591" s="37">
        <v>0</v>
      </c>
      <c r="K591" s="37">
        <v>0</v>
      </c>
      <c r="L591" s="37">
        <f t="shared" si="38"/>
        <v>1</v>
      </c>
      <c r="M591" s="40" t="str">
        <f t="shared" si="36"/>
        <v>Not Survived</v>
      </c>
      <c r="N591" s="37" t="str">
        <f>_xlfn.XLOOKUP(L591,notes!$B$28:$B$30,notes!$C$28:$C$30,"Unknown",-1)</f>
        <v>Alone</v>
      </c>
      <c r="O591" s="37" t="s">
        <v>845</v>
      </c>
      <c r="P591" s="37">
        <v>8.05</v>
      </c>
      <c r="Q591" s="37" t="str">
        <f t="shared" si="39"/>
        <v>Low</v>
      </c>
      <c r="R591" s="37" t="s">
        <v>1236</v>
      </c>
      <c r="S591" s="37" t="s">
        <v>15</v>
      </c>
      <c r="T591" s="41" t="str">
        <f t="shared" si="37"/>
        <v>Southampton</v>
      </c>
    </row>
    <row r="592" spans="1:20">
      <c r="A592" s="37">
        <v>591</v>
      </c>
      <c r="B592" s="37">
        <v>0</v>
      </c>
      <c r="C592" s="37">
        <v>3</v>
      </c>
      <c r="D592" s="37" t="s">
        <v>2262</v>
      </c>
      <c r="E592" s="37" t="s">
        <v>2263</v>
      </c>
      <c r="F592" s="37" t="s">
        <v>1235</v>
      </c>
      <c r="G592" s="37" t="str">
        <f>_xlfn.XLOOKUP(F592,notes!$B$12:$B$18,notes!$C$12:$C$18,"Unknown")</f>
        <v>Male</v>
      </c>
      <c r="H592" s="38">
        <v>35</v>
      </c>
      <c r="I592" s="39" t="str">
        <f>_xlfn.XLOOKUP(H592,notes!$B$4:$B$8,notes!$C$4:$C$8,"Invalid",-1)</f>
        <v>Adult</v>
      </c>
      <c r="J592" s="37">
        <v>0</v>
      </c>
      <c r="K592" s="37">
        <v>0</v>
      </c>
      <c r="L592" s="37">
        <f t="shared" si="38"/>
        <v>1</v>
      </c>
      <c r="M592" s="40" t="str">
        <f t="shared" si="36"/>
        <v>Not Survived</v>
      </c>
      <c r="N592" s="37" t="str">
        <f>_xlfn.XLOOKUP(L592,notes!$B$28:$B$30,notes!$C$28:$C$30,"Unknown",-1)</f>
        <v>Alone</v>
      </c>
      <c r="O592" s="37" t="s">
        <v>847</v>
      </c>
      <c r="P592" s="37">
        <v>7.125</v>
      </c>
      <c r="Q592" s="37" t="str">
        <f t="shared" si="39"/>
        <v>Low</v>
      </c>
      <c r="R592" s="37" t="s">
        <v>1236</v>
      </c>
      <c r="S592" s="37" t="s">
        <v>15</v>
      </c>
      <c r="T592" s="41" t="str">
        <f t="shared" si="37"/>
        <v>Southampton</v>
      </c>
    </row>
    <row r="593" spans="1:20">
      <c r="A593" s="37">
        <v>592</v>
      </c>
      <c r="B593" s="37">
        <v>1</v>
      </c>
      <c r="C593" s="37">
        <v>1</v>
      </c>
      <c r="D593" s="37" t="s">
        <v>2264</v>
      </c>
      <c r="E593" s="37" t="s">
        <v>2265</v>
      </c>
      <c r="F593" s="37" t="s">
        <v>1239</v>
      </c>
      <c r="G593" s="37" t="str">
        <f>_xlfn.XLOOKUP(F593,notes!$B$12:$B$18,notes!$C$12:$C$18,"Unknown")</f>
        <v>Female</v>
      </c>
      <c r="H593" s="38">
        <v>52</v>
      </c>
      <c r="I593" s="39" t="str">
        <f>_xlfn.XLOOKUP(H593,notes!$B$4:$B$8,notes!$C$4:$C$8,"Invalid",-1)</f>
        <v>Adult</v>
      </c>
      <c r="J593" s="37">
        <v>1</v>
      </c>
      <c r="K593" s="37">
        <v>0</v>
      </c>
      <c r="L593" s="37">
        <f t="shared" si="38"/>
        <v>2</v>
      </c>
      <c r="M593" s="40" t="str">
        <f t="shared" si="36"/>
        <v>Survived</v>
      </c>
      <c r="N593" s="37" t="str">
        <f>_xlfn.XLOOKUP(L593,notes!$B$28:$B$30,notes!$C$28:$C$30,"Unknown",-1)</f>
        <v>Small Family</v>
      </c>
      <c r="O593" s="37">
        <v>36947</v>
      </c>
      <c r="P593" s="37">
        <v>78.2667</v>
      </c>
      <c r="Q593" s="37" t="str">
        <f t="shared" si="39"/>
        <v>High</v>
      </c>
      <c r="R593" s="37" t="s">
        <v>717</v>
      </c>
      <c r="S593" s="37" t="s">
        <v>20</v>
      </c>
      <c r="T593" s="41" t="str">
        <f t="shared" si="37"/>
        <v>Cherbourg</v>
      </c>
    </row>
    <row r="594" spans="1:20">
      <c r="A594" s="37">
        <v>593</v>
      </c>
      <c r="B594" s="37">
        <v>0</v>
      </c>
      <c r="C594" s="37">
        <v>3</v>
      </c>
      <c r="D594" s="37" t="s">
        <v>2266</v>
      </c>
      <c r="E594" s="37" t="s">
        <v>2249</v>
      </c>
      <c r="F594" s="37" t="s">
        <v>1235</v>
      </c>
      <c r="G594" s="37" t="str">
        <f>_xlfn.XLOOKUP(F594,notes!$B$12:$B$18,notes!$C$12:$C$18,"Unknown")</f>
        <v>Male</v>
      </c>
      <c r="H594" s="38">
        <v>47</v>
      </c>
      <c r="I594" s="39" t="str">
        <f>_xlfn.XLOOKUP(H594,notes!$B$4:$B$8,notes!$C$4:$C$8,"Invalid",-1)</f>
        <v>Adult</v>
      </c>
      <c r="J594" s="37">
        <v>0</v>
      </c>
      <c r="K594" s="37">
        <v>0</v>
      </c>
      <c r="L594" s="37">
        <f t="shared" si="38"/>
        <v>1</v>
      </c>
      <c r="M594" s="40" t="str">
        <f t="shared" si="36"/>
        <v>Not Survived</v>
      </c>
      <c r="N594" s="37" t="str">
        <f>_xlfn.XLOOKUP(L594,notes!$B$28:$B$30,notes!$C$28:$C$30,"Unknown",-1)</f>
        <v>Alone</v>
      </c>
      <c r="O594" s="37" t="s">
        <v>850</v>
      </c>
      <c r="P594" s="37">
        <v>7.25</v>
      </c>
      <c r="Q594" s="37" t="str">
        <f t="shared" si="39"/>
        <v>Low</v>
      </c>
      <c r="R594" s="37" t="s">
        <v>1236</v>
      </c>
      <c r="S594" s="37" t="s">
        <v>15</v>
      </c>
      <c r="T594" s="41" t="str">
        <f t="shared" si="37"/>
        <v>Southampton</v>
      </c>
    </row>
    <row r="595" spans="1:20">
      <c r="A595" s="37">
        <v>594</v>
      </c>
      <c r="B595" s="37">
        <v>0</v>
      </c>
      <c r="C595" s="37">
        <v>3</v>
      </c>
      <c r="D595" s="37" t="s">
        <v>1591</v>
      </c>
      <c r="E595" s="37" t="s">
        <v>1890</v>
      </c>
      <c r="F595" s="37" t="s">
        <v>1242</v>
      </c>
      <c r="G595" s="37" t="str">
        <f>_xlfn.XLOOKUP(F595,notes!$B$12:$B$18,notes!$C$12:$C$18,"Unknown")</f>
        <v>Female</v>
      </c>
      <c r="H595" s="38" t="s">
        <v>1236</v>
      </c>
      <c r="I595" s="39" t="str">
        <f>_xlfn.XLOOKUP(H595,notes!$B$4:$B$8,notes!$C$4:$C$8,"Invalid",-1)</f>
        <v>Unknown</v>
      </c>
      <c r="J595" s="37">
        <v>0</v>
      </c>
      <c r="K595" s="37">
        <v>2</v>
      </c>
      <c r="L595" s="37">
        <f t="shared" si="38"/>
        <v>3</v>
      </c>
      <c r="M595" s="40" t="str">
        <f t="shared" si="36"/>
        <v>Not Survived</v>
      </c>
      <c r="N595" s="37" t="str">
        <f>_xlfn.XLOOKUP(L595,notes!$B$28:$B$30,notes!$C$28:$C$30,"Unknown",-1)</f>
        <v>Small Family</v>
      </c>
      <c r="O595" s="37">
        <v>364848</v>
      </c>
      <c r="P595" s="37">
        <v>7.75</v>
      </c>
      <c r="Q595" s="37" t="str">
        <f t="shared" si="39"/>
        <v>Low</v>
      </c>
      <c r="R595" s="37" t="s">
        <v>1236</v>
      </c>
      <c r="S595" s="37" t="s">
        <v>28</v>
      </c>
      <c r="T595" s="41" t="str">
        <f t="shared" si="37"/>
        <v>Queenstown</v>
      </c>
    </row>
    <row r="596" spans="1:20">
      <c r="A596" s="37">
        <v>595</v>
      </c>
      <c r="B596" s="37">
        <v>0</v>
      </c>
      <c r="C596" s="37">
        <v>2</v>
      </c>
      <c r="D596" s="37" t="s">
        <v>2267</v>
      </c>
      <c r="E596" s="37" t="s">
        <v>1636</v>
      </c>
      <c r="F596" s="37" t="s">
        <v>1235</v>
      </c>
      <c r="G596" s="37" t="str">
        <f>_xlfn.XLOOKUP(F596,notes!$B$12:$B$18,notes!$C$12:$C$18,"Unknown")</f>
        <v>Male</v>
      </c>
      <c r="H596" s="38">
        <v>37</v>
      </c>
      <c r="I596" s="39" t="str">
        <f>_xlfn.XLOOKUP(H596,notes!$B$4:$B$8,notes!$C$4:$C$8,"Invalid",-1)</f>
        <v>Adult</v>
      </c>
      <c r="J596" s="37">
        <v>1</v>
      </c>
      <c r="K596" s="37">
        <v>0</v>
      </c>
      <c r="L596" s="37">
        <f t="shared" si="38"/>
        <v>2</v>
      </c>
      <c r="M596" s="40" t="str">
        <f t="shared" si="36"/>
        <v>Not Survived</v>
      </c>
      <c r="N596" s="37" t="str">
        <f>_xlfn.XLOOKUP(L596,notes!$B$28:$B$30,notes!$C$28:$C$30,"Unknown",-1)</f>
        <v>Small Family</v>
      </c>
      <c r="O596" s="37" t="s">
        <v>853</v>
      </c>
      <c r="P596" s="37">
        <v>26</v>
      </c>
      <c r="Q596" s="37" t="str">
        <f t="shared" si="39"/>
        <v>Mid</v>
      </c>
      <c r="R596" s="37" t="s">
        <v>1236</v>
      </c>
      <c r="S596" s="37" t="s">
        <v>15</v>
      </c>
      <c r="T596" s="41" t="str">
        <f t="shared" si="37"/>
        <v>Southampton</v>
      </c>
    </row>
    <row r="597" spans="1:20">
      <c r="A597" s="37">
        <v>596</v>
      </c>
      <c r="B597" s="37">
        <v>0</v>
      </c>
      <c r="C597" s="37">
        <v>3</v>
      </c>
      <c r="D597" s="37" t="s">
        <v>1985</v>
      </c>
      <c r="E597" s="37" t="s">
        <v>2268</v>
      </c>
      <c r="F597" s="37" t="s">
        <v>1235</v>
      </c>
      <c r="G597" s="37" t="str">
        <f>_xlfn.XLOOKUP(F597,notes!$B$12:$B$18,notes!$C$12:$C$18,"Unknown")</f>
        <v>Male</v>
      </c>
      <c r="H597" s="38">
        <v>36</v>
      </c>
      <c r="I597" s="39" t="str">
        <f>_xlfn.XLOOKUP(H597,notes!$B$4:$B$8,notes!$C$4:$C$8,"Invalid",-1)</f>
        <v>Adult</v>
      </c>
      <c r="J597" s="37">
        <v>1</v>
      </c>
      <c r="K597" s="37">
        <v>1</v>
      </c>
      <c r="L597" s="37">
        <f t="shared" si="38"/>
        <v>3</v>
      </c>
      <c r="M597" s="40" t="str">
        <f t="shared" si="36"/>
        <v>Not Survived</v>
      </c>
      <c r="N597" s="37" t="str">
        <f>_xlfn.XLOOKUP(L597,notes!$B$28:$B$30,notes!$C$28:$C$30,"Unknown",-1)</f>
        <v>Small Family</v>
      </c>
      <c r="O597" s="37">
        <v>345773</v>
      </c>
      <c r="P597" s="37">
        <v>24.15</v>
      </c>
      <c r="Q597" s="37" t="str">
        <f t="shared" si="39"/>
        <v>Mid</v>
      </c>
      <c r="R597" s="37" t="s">
        <v>1236</v>
      </c>
      <c r="S597" s="37" t="s">
        <v>15</v>
      </c>
      <c r="T597" s="41" t="str">
        <f t="shared" si="37"/>
        <v>Southampton</v>
      </c>
    </row>
    <row r="598" spans="1:20">
      <c r="A598" s="37">
        <v>597</v>
      </c>
      <c r="B598" s="37">
        <v>1</v>
      </c>
      <c r="C598" s="37">
        <v>2</v>
      </c>
      <c r="D598" s="37" t="s">
        <v>2269</v>
      </c>
      <c r="E598" s="37" t="s">
        <v>2270</v>
      </c>
      <c r="F598" s="37" t="s">
        <v>1242</v>
      </c>
      <c r="G598" s="37" t="str">
        <f>_xlfn.XLOOKUP(F598,notes!$B$12:$B$18,notes!$C$12:$C$18,"Unknown")</f>
        <v>Female</v>
      </c>
      <c r="H598" s="38" t="s">
        <v>1236</v>
      </c>
      <c r="I598" s="39" t="str">
        <f>_xlfn.XLOOKUP(H598,notes!$B$4:$B$8,notes!$C$4:$C$8,"Invalid",-1)</f>
        <v>Unknown</v>
      </c>
      <c r="J598" s="37">
        <v>0</v>
      </c>
      <c r="K598" s="37">
        <v>0</v>
      </c>
      <c r="L598" s="37">
        <f t="shared" si="38"/>
        <v>1</v>
      </c>
      <c r="M598" s="40" t="str">
        <f t="shared" si="36"/>
        <v>Survived</v>
      </c>
      <c r="N598" s="37" t="str">
        <f>_xlfn.XLOOKUP(L598,notes!$B$28:$B$30,notes!$C$28:$C$30,"Unknown",-1)</f>
        <v>Alone</v>
      </c>
      <c r="O598" s="37">
        <v>248727</v>
      </c>
      <c r="P598" s="37">
        <v>33</v>
      </c>
      <c r="Q598" s="37" t="str">
        <f t="shared" si="39"/>
        <v>Mid</v>
      </c>
      <c r="R598" s="37" t="s">
        <v>1236</v>
      </c>
      <c r="S598" s="37" t="s">
        <v>15</v>
      </c>
      <c r="T598" s="41" t="str">
        <f t="shared" si="37"/>
        <v>Southampton</v>
      </c>
    </row>
    <row r="599" spans="1:20">
      <c r="A599" s="37">
        <v>598</v>
      </c>
      <c r="B599" s="37">
        <v>0</v>
      </c>
      <c r="C599" s="37">
        <v>3</v>
      </c>
      <c r="D599" s="37" t="s">
        <v>1254</v>
      </c>
      <c r="E599" s="37" t="s">
        <v>1952</v>
      </c>
      <c r="F599" s="37" t="s">
        <v>1235</v>
      </c>
      <c r="G599" s="37" t="str">
        <f>_xlfn.XLOOKUP(F599,notes!$B$12:$B$18,notes!$C$12:$C$18,"Unknown")</f>
        <v>Male</v>
      </c>
      <c r="H599" s="38">
        <v>49</v>
      </c>
      <c r="I599" s="39" t="str">
        <f>_xlfn.XLOOKUP(H599,notes!$B$4:$B$8,notes!$C$4:$C$8,"Invalid",-1)</f>
        <v>Adult</v>
      </c>
      <c r="J599" s="37">
        <v>0</v>
      </c>
      <c r="K599" s="37">
        <v>0</v>
      </c>
      <c r="L599" s="37">
        <f t="shared" si="38"/>
        <v>1</v>
      </c>
      <c r="M599" s="40" t="str">
        <f t="shared" si="36"/>
        <v>Not Survived</v>
      </c>
      <c r="N599" s="37" t="str">
        <f>_xlfn.XLOOKUP(L599,notes!$B$28:$B$30,notes!$C$28:$C$30,"Unknown",-1)</f>
        <v>Alone</v>
      </c>
      <c r="O599" s="37" t="s">
        <v>281</v>
      </c>
      <c r="P599" s="37">
        <v>0</v>
      </c>
      <c r="Q599" s="37" t="str">
        <f t="shared" si="39"/>
        <v>Low</v>
      </c>
      <c r="R599" s="37" t="s">
        <v>1236</v>
      </c>
      <c r="S599" s="37" t="s">
        <v>15</v>
      </c>
      <c r="T599" s="41" t="str">
        <f t="shared" si="37"/>
        <v>Southampton</v>
      </c>
    </row>
    <row r="600" spans="1:20">
      <c r="A600" s="37">
        <v>599</v>
      </c>
      <c r="B600" s="37">
        <v>0</v>
      </c>
      <c r="C600" s="37">
        <v>3</v>
      </c>
      <c r="D600" s="37" t="s">
        <v>1504</v>
      </c>
      <c r="E600" s="37" t="s">
        <v>1310</v>
      </c>
      <c r="F600" s="37" t="s">
        <v>1235</v>
      </c>
      <c r="G600" s="37" t="str">
        <f>_xlfn.XLOOKUP(F600,notes!$B$12:$B$18,notes!$C$12:$C$18,"Unknown")</f>
        <v>Male</v>
      </c>
      <c r="H600" s="38" t="s">
        <v>1236</v>
      </c>
      <c r="I600" s="39" t="str">
        <f>_xlfn.XLOOKUP(H600,notes!$B$4:$B$8,notes!$C$4:$C$8,"Invalid",-1)</f>
        <v>Unknown</v>
      </c>
      <c r="J600" s="37">
        <v>0</v>
      </c>
      <c r="K600" s="37">
        <v>0</v>
      </c>
      <c r="L600" s="37">
        <f t="shared" si="38"/>
        <v>1</v>
      </c>
      <c r="M600" s="40" t="str">
        <f t="shared" si="36"/>
        <v>Not Survived</v>
      </c>
      <c r="N600" s="37" t="str">
        <f>_xlfn.XLOOKUP(L600,notes!$B$28:$B$30,notes!$C$28:$C$30,"Unknown",-1)</f>
        <v>Alone</v>
      </c>
      <c r="O600" s="37">
        <v>2664</v>
      </c>
      <c r="P600" s="37">
        <v>7.225</v>
      </c>
      <c r="Q600" s="37" t="str">
        <f t="shared" si="39"/>
        <v>Low</v>
      </c>
      <c r="R600" s="37" t="s">
        <v>1236</v>
      </c>
      <c r="S600" s="37" t="s">
        <v>20</v>
      </c>
      <c r="T600" s="41" t="str">
        <f t="shared" si="37"/>
        <v>Cherbourg</v>
      </c>
    </row>
    <row r="601" spans="1:20">
      <c r="A601" s="37">
        <v>600</v>
      </c>
      <c r="B601" s="37">
        <v>1</v>
      </c>
      <c r="C601" s="37">
        <v>1</v>
      </c>
      <c r="D601" s="37" t="s">
        <v>2210</v>
      </c>
      <c r="E601" s="37" t="s">
        <v>2271</v>
      </c>
      <c r="F601" s="37" t="s">
        <v>2272</v>
      </c>
      <c r="G601" s="37" t="str">
        <f>_xlfn.XLOOKUP(F601,notes!$B$12:$B$18,notes!$C$12:$C$18,"Unknown")</f>
        <v>Unknown</v>
      </c>
      <c r="H601" s="38">
        <v>49</v>
      </c>
      <c r="I601" s="39" t="str">
        <f>_xlfn.XLOOKUP(H601,notes!$B$4:$B$8,notes!$C$4:$C$8,"Invalid",-1)</f>
        <v>Adult</v>
      </c>
      <c r="J601" s="37">
        <v>1</v>
      </c>
      <c r="K601" s="37">
        <v>0</v>
      </c>
      <c r="L601" s="37">
        <f t="shared" si="38"/>
        <v>2</v>
      </c>
      <c r="M601" s="40" t="str">
        <f t="shared" si="36"/>
        <v>Survived</v>
      </c>
      <c r="N601" s="37" t="str">
        <f>_xlfn.XLOOKUP(L601,notes!$B$28:$B$30,notes!$C$28:$C$30,"Unknown",-1)</f>
        <v>Small Family</v>
      </c>
      <c r="O601" s="37" t="s">
        <v>468</v>
      </c>
      <c r="P601" s="37">
        <v>56.9292</v>
      </c>
      <c r="Q601" s="37" t="str">
        <f t="shared" si="39"/>
        <v>High</v>
      </c>
      <c r="R601" s="37" t="s">
        <v>859</v>
      </c>
      <c r="S601" s="37" t="s">
        <v>20</v>
      </c>
      <c r="T601" s="41" t="str">
        <f t="shared" si="37"/>
        <v>Cherbourg</v>
      </c>
    </row>
    <row r="602" spans="1:20">
      <c r="A602" s="37">
        <v>601</v>
      </c>
      <c r="B602" s="37">
        <v>1</v>
      </c>
      <c r="C602" s="37">
        <v>2</v>
      </c>
      <c r="D602" s="37" t="s">
        <v>1645</v>
      </c>
      <c r="E602" s="37" t="s">
        <v>2273</v>
      </c>
      <c r="F602" s="37" t="s">
        <v>1239</v>
      </c>
      <c r="G602" s="37" t="str">
        <f>_xlfn.XLOOKUP(F602,notes!$B$12:$B$18,notes!$C$12:$C$18,"Unknown")</f>
        <v>Female</v>
      </c>
      <c r="H602" s="38">
        <v>24</v>
      </c>
      <c r="I602" s="39" t="str">
        <f>_xlfn.XLOOKUP(H602,notes!$B$4:$B$8,notes!$C$4:$C$8,"Invalid",-1)</f>
        <v>Adult</v>
      </c>
      <c r="J602" s="37">
        <v>2</v>
      </c>
      <c r="K602" s="37">
        <v>1</v>
      </c>
      <c r="L602" s="37">
        <f t="shared" si="38"/>
        <v>4</v>
      </c>
      <c r="M602" s="40" t="str">
        <f t="shared" si="36"/>
        <v>Survived</v>
      </c>
      <c r="N602" s="37" t="str">
        <f>_xlfn.XLOOKUP(L602,notes!$B$28:$B$30,notes!$C$28:$C$30,"Unknown",-1)</f>
        <v>Large Family</v>
      </c>
      <c r="O602" s="37">
        <v>243847</v>
      </c>
      <c r="P602" s="37">
        <v>27</v>
      </c>
      <c r="Q602" s="37" t="str">
        <f t="shared" si="39"/>
        <v>Mid</v>
      </c>
      <c r="R602" s="37" t="s">
        <v>1236</v>
      </c>
      <c r="S602" s="37" t="s">
        <v>15</v>
      </c>
      <c r="T602" s="41" t="str">
        <f t="shared" si="37"/>
        <v>Southampton</v>
      </c>
    </row>
    <row r="603" spans="1:20">
      <c r="A603" s="37">
        <v>602</v>
      </c>
      <c r="B603" s="37">
        <v>0</v>
      </c>
      <c r="C603" s="37">
        <v>3</v>
      </c>
      <c r="D603" s="37" t="s">
        <v>2274</v>
      </c>
      <c r="E603" s="37" t="s">
        <v>2275</v>
      </c>
      <c r="F603" s="37" t="s">
        <v>1235</v>
      </c>
      <c r="G603" s="37" t="str">
        <f>_xlfn.XLOOKUP(F603,notes!$B$12:$B$18,notes!$C$12:$C$18,"Unknown")</f>
        <v>Male</v>
      </c>
      <c r="H603" s="38" t="s">
        <v>1236</v>
      </c>
      <c r="I603" s="39" t="str">
        <f>_xlfn.XLOOKUP(H603,notes!$B$4:$B$8,notes!$C$4:$C$8,"Invalid",-1)</f>
        <v>Unknown</v>
      </c>
      <c r="J603" s="37">
        <v>0</v>
      </c>
      <c r="K603" s="37">
        <v>0</v>
      </c>
      <c r="L603" s="37">
        <f t="shared" si="38"/>
        <v>1</v>
      </c>
      <c r="M603" s="40" t="str">
        <f t="shared" si="36"/>
        <v>Not Survived</v>
      </c>
      <c r="N603" s="37" t="str">
        <f>_xlfn.XLOOKUP(L603,notes!$B$28:$B$30,notes!$C$28:$C$30,"Unknown",-1)</f>
        <v>Alone</v>
      </c>
      <c r="O603" s="37">
        <v>349214</v>
      </c>
      <c r="P603" s="37">
        <v>7.8958</v>
      </c>
      <c r="Q603" s="37" t="str">
        <f t="shared" si="39"/>
        <v>Low</v>
      </c>
      <c r="R603" s="37" t="s">
        <v>1236</v>
      </c>
      <c r="S603" s="37" t="s">
        <v>15</v>
      </c>
      <c r="T603" s="41" t="str">
        <f t="shared" si="37"/>
        <v>Southampton</v>
      </c>
    </row>
    <row r="604" spans="1:20">
      <c r="A604" s="37">
        <v>603</v>
      </c>
      <c r="B604" s="37">
        <v>0</v>
      </c>
      <c r="C604" s="37">
        <v>1</v>
      </c>
      <c r="D604" s="37" t="s">
        <v>2276</v>
      </c>
      <c r="E604" s="37" t="s">
        <v>1743</v>
      </c>
      <c r="F604" s="37" t="s">
        <v>1235</v>
      </c>
      <c r="G604" s="37" t="str">
        <f>_xlfn.XLOOKUP(F604,notes!$B$12:$B$18,notes!$C$12:$C$18,"Unknown")</f>
        <v>Male</v>
      </c>
      <c r="H604" s="38" t="s">
        <v>1236</v>
      </c>
      <c r="I604" s="39" t="str">
        <f>_xlfn.XLOOKUP(H604,notes!$B$4:$B$8,notes!$C$4:$C$8,"Invalid",-1)</f>
        <v>Unknown</v>
      </c>
      <c r="J604" s="37">
        <v>0</v>
      </c>
      <c r="K604" s="37">
        <v>0</v>
      </c>
      <c r="L604" s="37">
        <f t="shared" si="38"/>
        <v>1</v>
      </c>
      <c r="M604" s="40" t="str">
        <f t="shared" si="36"/>
        <v>Not Survived</v>
      </c>
      <c r="N604" s="37" t="str">
        <f>_xlfn.XLOOKUP(L604,notes!$B$28:$B$30,notes!$C$28:$C$30,"Unknown",-1)</f>
        <v>Alone</v>
      </c>
      <c r="O604" s="37">
        <v>113796</v>
      </c>
      <c r="P604" s="37">
        <v>42.4</v>
      </c>
      <c r="Q604" s="37" t="str">
        <f t="shared" si="39"/>
        <v>Mid</v>
      </c>
      <c r="R604" s="37" t="s">
        <v>1236</v>
      </c>
      <c r="S604" s="37" t="s">
        <v>15</v>
      </c>
      <c r="T604" s="41" t="str">
        <f t="shared" si="37"/>
        <v>Southampton</v>
      </c>
    </row>
    <row r="605" spans="1:20">
      <c r="A605" s="37">
        <v>604</v>
      </c>
      <c r="B605" s="37">
        <v>0</v>
      </c>
      <c r="C605" s="37">
        <v>3</v>
      </c>
      <c r="D605" s="37" t="s">
        <v>2277</v>
      </c>
      <c r="E605" s="37" t="s">
        <v>2278</v>
      </c>
      <c r="F605" s="37" t="s">
        <v>1235</v>
      </c>
      <c r="G605" s="37" t="str">
        <f>_xlfn.XLOOKUP(F605,notes!$B$12:$B$18,notes!$C$12:$C$18,"Unknown")</f>
        <v>Male</v>
      </c>
      <c r="H605" s="38">
        <v>44</v>
      </c>
      <c r="I605" s="39" t="str">
        <f>_xlfn.XLOOKUP(H605,notes!$B$4:$B$8,notes!$C$4:$C$8,"Invalid",-1)</f>
        <v>Adult</v>
      </c>
      <c r="J605" s="37">
        <v>0</v>
      </c>
      <c r="K605" s="37">
        <v>0</v>
      </c>
      <c r="L605" s="37">
        <f t="shared" si="38"/>
        <v>1</v>
      </c>
      <c r="M605" s="40" t="str">
        <f t="shared" si="36"/>
        <v>Not Survived</v>
      </c>
      <c r="N605" s="37" t="str">
        <f>_xlfn.XLOOKUP(L605,notes!$B$28:$B$30,notes!$C$28:$C$30,"Unknown",-1)</f>
        <v>Alone</v>
      </c>
      <c r="O605" s="37">
        <v>364511</v>
      </c>
      <c r="P605" s="37">
        <v>8.05</v>
      </c>
      <c r="Q605" s="37" t="str">
        <f t="shared" si="39"/>
        <v>Low</v>
      </c>
      <c r="R605" s="37" t="s">
        <v>1236</v>
      </c>
      <c r="S605" s="37" t="s">
        <v>15</v>
      </c>
      <c r="T605" s="41" t="str">
        <f t="shared" si="37"/>
        <v>Southampton</v>
      </c>
    </row>
    <row r="606" spans="1:20">
      <c r="A606" s="37">
        <v>605</v>
      </c>
      <c r="B606" s="37">
        <v>1</v>
      </c>
      <c r="C606" s="37">
        <v>1</v>
      </c>
      <c r="D606" s="37" t="s">
        <v>2279</v>
      </c>
      <c r="E606" s="37" t="s">
        <v>2280</v>
      </c>
      <c r="F606" s="37" t="s">
        <v>1235</v>
      </c>
      <c r="G606" s="37" t="str">
        <f>_xlfn.XLOOKUP(F606,notes!$B$12:$B$18,notes!$C$12:$C$18,"Unknown")</f>
        <v>Male</v>
      </c>
      <c r="H606" s="38">
        <v>35</v>
      </c>
      <c r="I606" s="39" t="str">
        <f>_xlfn.XLOOKUP(H606,notes!$B$4:$B$8,notes!$C$4:$C$8,"Invalid",-1)</f>
        <v>Adult</v>
      </c>
      <c r="J606" s="37">
        <v>0</v>
      </c>
      <c r="K606" s="37">
        <v>0</v>
      </c>
      <c r="L606" s="37">
        <f t="shared" si="38"/>
        <v>1</v>
      </c>
      <c r="M606" s="40" t="str">
        <f t="shared" si="36"/>
        <v>Survived</v>
      </c>
      <c r="N606" s="37" t="str">
        <f>_xlfn.XLOOKUP(L606,notes!$B$28:$B$30,notes!$C$28:$C$30,"Unknown",-1)</f>
        <v>Alone</v>
      </c>
      <c r="O606" s="37">
        <v>111426</v>
      </c>
      <c r="P606" s="37">
        <v>26.55</v>
      </c>
      <c r="Q606" s="37" t="str">
        <f t="shared" si="39"/>
        <v>Mid</v>
      </c>
      <c r="R606" s="37" t="s">
        <v>1236</v>
      </c>
      <c r="S606" s="37" t="s">
        <v>20</v>
      </c>
      <c r="T606" s="41" t="str">
        <f t="shared" si="37"/>
        <v>Cherbourg</v>
      </c>
    </row>
    <row r="607" spans="1:20">
      <c r="A607" s="37">
        <v>606</v>
      </c>
      <c r="B607" s="37">
        <v>0</v>
      </c>
      <c r="C607" s="37">
        <v>3</v>
      </c>
      <c r="D607" s="37" t="s">
        <v>2281</v>
      </c>
      <c r="E607" s="37" t="s">
        <v>2282</v>
      </c>
      <c r="F607" s="37" t="s">
        <v>1235</v>
      </c>
      <c r="G607" s="37" t="str">
        <f>_xlfn.XLOOKUP(F607,notes!$B$12:$B$18,notes!$C$12:$C$18,"Unknown")</f>
        <v>Male</v>
      </c>
      <c r="H607" s="38">
        <v>36</v>
      </c>
      <c r="I607" s="39" t="str">
        <f>_xlfn.XLOOKUP(H607,notes!$B$4:$B$8,notes!$C$4:$C$8,"Invalid",-1)</f>
        <v>Adult</v>
      </c>
      <c r="J607" s="37">
        <v>1</v>
      </c>
      <c r="K607" s="37">
        <v>0</v>
      </c>
      <c r="L607" s="37">
        <f t="shared" si="38"/>
        <v>2</v>
      </c>
      <c r="M607" s="40" t="str">
        <f t="shared" si="36"/>
        <v>Not Survived</v>
      </c>
      <c r="N607" s="37" t="str">
        <f>_xlfn.XLOOKUP(L607,notes!$B$28:$B$30,notes!$C$28:$C$30,"Unknown",-1)</f>
        <v>Small Family</v>
      </c>
      <c r="O607" s="37">
        <v>349910</v>
      </c>
      <c r="P607" s="37">
        <v>15.55</v>
      </c>
      <c r="Q607" s="37" t="str">
        <f t="shared" si="39"/>
        <v>Mid</v>
      </c>
      <c r="R607" s="37" t="s">
        <v>1236</v>
      </c>
      <c r="S607" s="37" t="s">
        <v>15</v>
      </c>
      <c r="T607" s="41" t="str">
        <f t="shared" si="37"/>
        <v>Southampton</v>
      </c>
    </row>
    <row r="608" spans="1:20">
      <c r="A608" s="37">
        <v>607</v>
      </c>
      <c r="B608" s="37">
        <v>0</v>
      </c>
      <c r="C608" s="37">
        <v>3</v>
      </c>
      <c r="D608" s="37" t="s">
        <v>2283</v>
      </c>
      <c r="E608" s="37" t="s">
        <v>2284</v>
      </c>
      <c r="F608" s="37" t="s">
        <v>1235</v>
      </c>
      <c r="G608" s="37" t="str">
        <f>_xlfn.XLOOKUP(F608,notes!$B$12:$B$18,notes!$C$12:$C$18,"Unknown")</f>
        <v>Male</v>
      </c>
      <c r="H608" s="38">
        <v>30</v>
      </c>
      <c r="I608" s="39" t="str">
        <f>_xlfn.XLOOKUP(H608,notes!$B$4:$B$8,notes!$C$4:$C$8,"Invalid",-1)</f>
        <v>Adult</v>
      </c>
      <c r="J608" s="37">
        <v>0</v>
      </c>
      <c r="K608" s="37">
        <v>0</v>
      </c>
      <c r="L608" s="37">
        <f t="shared" si="38"/>
        <v>1</v>
      </c>
      <c r="M608" s="40" t="str">
        <f t="shared" si="36"/>
        <v>Not Survived</v>
      </c>
      <c r="N608" s="37" t="str">
        <f>_xlfn.XLOOKUP(L608,notes!$B$28:$B$30,notes!$C$28:$C$30,"Unknown",-1)</f>
        <v>Alone</v>
      </c>
      <c r="O608" s="37">
        <v>349246</v>
      </c>
      <c r="P608" s="37">
        <v>7.8958</v>
      </c>
      <c r="Q608" s="37" t="str">
        <f t="shared" si="39"/>
        <v>Low</v>
      </c>
      <c r="R608" s="37" t="s">
        <v>1236</v>
      </c>
      <c r="S608" s="37" t="s">
        <v>15</v>
      </c>
      <c r="T608" s="41" t="str">
        <f t="shared" si="37"/>
        <v>Southampton</v>
      </c>
    </row>
    <row r="609" spans="1:20">
      <c r="A609" s="37">
        <v>608</v>
      </c>
      <c r="B609" s="37">
        <v>1</v>
      </c>
      <c r="C609" s="37">
        <v>1</v>
      </c>
      <c r="D609" s="37" t="s">
        <v>2285</v>
      </c>
      <c r="E609" s="37" t="s">
        <v>2286</v>
      </c>
      <c r="F609" s="37" t="s">
        <v>1235</v>
      </c>
      <c r="G609" s="37" t="str">
        <f>_xlfn.XLOOKUP(F609,notes!$B$12:$B$18,notes!$C$12:$C$18,"Unknown")</f>
        <v>Male</v>
      </c>
      <c r="H609" s="38">
        <v>27</v>
      </c>
      <c r="I609" s="39" t="str">
        <f>_xlfn.XLOOKUP(H609,notes!$B$4:$B$8,notes!$C$4:$C$8,"Invalid",-1)</f>
        <v>Adult</v>
      </c>
      <c r="J609" s="37">
        <v>0</v>
      </c>
      <c r="K609" s="37">
        <v>0</v>
      </c>
      <c r="L609" s="37">
        <f t="shared" si="38"/>
        <v>1</v>
      </c>
      <c r="M609" s="40" t="str">
        <f t="shared" si="36"/>
        <v>Survived</v>
      </c>
      <c r="N609" s="37" t="str">
        <f>_xlfn.XLOOKUP(L609,notes!$B$28:$B$30,notes!$C$28:$C$30,"Unknown",-1)</f>
        <v>Alone</v>
      </c>
      <c r="O609" s="37">
        <v>113804</v>
      </c>
      <c r="P609" s="37">
        <v>30.5</v>
      </c>
      <c r="Q609" s="37" t="str">
        <f t="shared" si="39"/>
        <v>Mid</v>
      </c>
      <c r="R609" s="37" t="s">
        <v>1236</v>
      </c>
      <c r="S609" s="37" t="s">
        <v>15</v>
      </c>
      <c r="T609" s="41" t="str">
        <f t="shared" si="37"/>
        <v>Southampton</v>
      </c>
    </row>
    <row r="610" spans="1:20">
      <c r="A610" s="37">
        <v>609</v>
      </c>
      <c r="B610" s="37">
        <v>1</v>
      </c>
      <c r="C610" s="37">
        <v>2</v>
      </c>
      <c r="D610" s="37" t="s">
        <v>1322</v>
      </c>
      <c r="E610" s="37" t="s">
        <v>2287</v>
      </c>
      <c r="F610" s="37" t="s">
        <v>1239</v>
      </c>
      <c r="G610" s="37" t="str">
        <f>_xlfn.XLOOKUP(F610,notes!$B$12:$B$18,notes!$C$12:$C$18,"Unknown")</f>
        <v>Female</v>
      </c>
      <c r="H610" s="38">
        <v>22</v>
      </c>
      <c r="I610" s="39" t="str">
        <f>_xlfn.XLOOKUP(H610,notes!$B$4:$B$8,notes!$C$4:$C$8,"Invalid",-1)</f>
        <v>Adult</v>
      </c>
      <c r="J610" s="37">
        <v>1</v>
      </c>
      <c r="K610" s="37">
        <v>2</v>
      </c>
      <c r="L610" s="37">
        <f t="shared" si="38"/>
        <v>4</v>
      </c>
      <c r="M610" s="40" t="str">
        <f t="shared" si="36"/>
        <v>Survived</v>
      </c>
      <c r="N610" s="37" t="str">
        <f>_xlfn.XLOOKUP(L610,notes!$B$28:$B$30,notes!$C$28:$C$30,"Unknown",-1)</f>
        <v>Large Family</v>
      </c>
      <c r="O610" s="37" t="s">
        <v>81</v>
      </c>
      <c r="P610" s="37">
        <v>41.5792</v>
      </c>
      <c r="Q610" s="37" t="str">
        <f t="shared" si="39"/>
        <v>Mid</v>
      </c>
      <c r="R610" s="37" t="s">
        <v>1236</v>
      </c>
      <c r="S610" s="37" t="s">
        <v>20</v>
      </c>
      <c r="T610" s="41" t="str">
        <f t="shared" si="37"/>
        <v>Cherbourg</v>
      </c>
    </row>
    <row r="611" spans="1:20">
      <c r="A611" s="37">
        <v>610</v>
      </c>
      <c r="B611" s="37">
        <v>1</v>
      </c>
      <c r="C611" s="37">
        <v>1</v>
      </c>
      <c r="D611" s="37" t="s">
        <v>2288</v>
      </c>
      <c r="E611" s="37" t="s">
        <v>2289</v>
      </c>
      <c r="F611" s="37" t="s">
        <v>1242</v>
      </c>
      <c r="G611" s="37" t="str">
        <f>_xlfn.XLOOKUP(F611,notes!$B$12:$B$18,notes!$C$12:$C$18,"Unknown")</f>
        <v>Female</v>
      </c>
      <c r="H611" s="38">
        <v>40</v>
      </c>
      <c r="I611" s="39" t="str">
        <f>_xlfn.XLOOKUP(H611,notes!$B$4:$B$8,notes!$C$4:$C$8,"Invalid",-1)</f>
        <v>Adult</v>
      </c>
      <c r="J611" s="37">
        <v>0</v>
      </c>
      <c r="K611" s="37">
        <v>0</v>
      </c>
      <c r="L611" s="37">
        <f t="shared" si="38"/>
        <v>1</v>
      </c>
      <c r="M611" s="40" t="str">
        <f t="shared" si="36"/>
        <v>Survived</v>
      </c>
      <c r="N611" s="37" t="str">
        <f>_xlfn.XLOOKUP(L611,notes!$B$28:$B$30,notes!$C$28:$C$30,"Unknown",-1)</f>
        <v>Alone</v>
      </c>
      <c r="O611" s="37" t="s">
        <v>407</v>
      </c>
      <c r="P611" s="37">
        <v>153.4625</v>
      </c>
      <c r="Q611" s="37" t="str">
        <f t="shared" si="39"/>
        <v>High</v>
      </c>
      <c r="R611" s="37" t="s">
        <v>408</v>
      </c>
      <c r="S611" s="37" t="s">
        <v>15</v>
      </c>
      <c r="T611" s="41" t="str">
        <f t="shared" si="37"/>
        <v>Southampton</v>
      </c>
    </row>
    <row r="612" spans="1:20">
      <c r="A612" s="37">
        <v>611</v>
      </c>
      <c r="B612" s="37">
        <v>0</v>
      </c>
      <c r="C612" s="37">
        <v>3</v>
      </c>
      <c r="D612" s="37" t="s">
        <v>1263</v>
      </c>
      <c r="E612" s="37" t="s">
        <v>2290</v>
      </c>
      <c r="F612" s="37" t="s">
        <v>1239</v>
      </c>
      <c r="G612" s="37" t="str">
        <f>_xlfn.XLOOKUP(F612,notes!$B$12:$B$18,notes!$C$12:$C$18,"Unknown")</f>
        <v>Female</v>
      </c>
      <c r="H612" s="38">
        <v>39</v>
      </c>
      <c r="I612" s="39" t="str">
        <f>_xlfn.XLOOKUP(H612,notes!$B$4:$B$8,notes!$C$4:$C$8,"Invalid",-1)</f>
        <v>Adult</v>
      </c>
      <c r="J612" s="37">
        <v>1</v>
      </c>
      <c r="K612" s="37">
        <v>5</v>
      </c>
      <c r="L612" s="37">
        <f t="shared" si="38"/>
        <v>7</v>
      </c>
      <c r="M612" s="40" t="str">
        <f t="shared" si="36"/>
        <v>Not Survived</v>
      </c>
      <c r="N612" s="37" t="str">
        <f>_xlfn.XLOOKUP(L612,notes!$B$28:$B$30,notes!$C$28:$C$30,"Unknown",-1)</f>
        <v>Large Family</v>
      </c>
      <c r="O612" s="37">
        <v>347082</v>
      </c>
      <c r="P612" s="37">
        <v>31.275</v>
      </c>
      <c r="Q612" s="37" t="str">
        <f t="shared" si="39"/>
        <v>Mid</v>
      </c>
      <c r="R612" s="37" t="s">
        <v>1236</v>
      </c>
      <c r="S612" s="37" t="s">
        <v>15</v>
      </c>
      <c r="T612" s="41" t="str">
        <f t="shared" si="37"/>
        <v>Southampton</v>
      </c>
    </row>
    <row r="613" spans="1:20">
      <c r="A613" s="37">
        <v>612</v>
      </c>
      <c r="B613" s="37">
        <v>0</v>
      </c>
      <c r="C613" s="37">
        <v>3</v>
      </c>
      <c r="D613" s="37" t="s">
        <v>2291</v>
      </c>
      <c r="E613" s="37" t="s">
        <v>2292</v>
      </c>
      <c r="F613" s="37" t="s">
        <v>1235</v>
      </c>
      <c r="G613" s="37" t="str">
        <f>_xlfn.XLOOKUP(F613,notes!$B$12:$B$18,notes!$C$12:$C$18,"Unknown")</f>
        <v>Male</v>
      </c>
      <c r="H613" s="38" t="s">
        <v>1236</v>
      </c>
      <c r="I613" s="39" t="str">
        <f>_xlfn.XLOOKUP(H613,notes!$B$4:$B$8,notes!$C$4:$C$8,"Invalid",-1)</f>
        <v>Unknown</v>
      </c>
      <c r="J613" s="37">
        <v>0</v>
      </c>
      <c r="K613" s="37">
        <v>0</v>
      </c>
      <c r="L613" s="37">
        <f t="shared" si="38"/>
        <v>1</v>
      </c>
      <c r="M613" s="40" t="str">
        <f t="shared" si="36"/>
        <v>Not Survived</v>
      </c>
      <c r="N613" s="37" t="str">
        <f>_xlfn.XLOOKUP(L613,notes!$B$28:$B$30,notes!$C$28:$C$30,"Unknown",-1)</f>
        <v>Alone</v>
      </c>
      <c r="O613" s="37" t="s">
        <v>872</v>
      </c>
      <c r="P613" s="37">
        <v>7.05</v>
      </c>
      <c r="Q613" s="37" t="str">
        <f t="shared" si="39"/>
        <v>Low</v>
      </c>
      <c r="R613" s="37" t="s">
        <v>1236</v>
      </c>
      <c r="S613" s="37" t="s">
        <v>15</v>
      </c>
      <c r="T613" s="41" t="str">
        <f t="shared" si="37"/>
        <v>Southampton</v>
      </c>
    </row>
    <row r="614" spans="1:20">
      <c r="A614" s="37">
        <v>613</v>
      </c>
      <c r="B614" s="37">
        <v>1</v>
      </c>
      <c r="C614" s="37">
        <v>3</v>
      </c>
      <c r="D614" s="37" t="s">
        <v>1686</v>
      </c>
      <c r="E614" s="37" t="s">
        <v>2293</v>
      </c>
      <c r="F614" s="37" t="s">
        <v>1242</v>
      </c>
      <c r="G614" s="37" t="str">
        <f>_xlfn.XLOOKUP(F614,notes!$B$12:$B$18,notes!$C$12:$C$18,"Unknown")</f>
        <v>Female</v>
      </c>
      <c r="H614" s="38" t="s">
        <v>1236</v>
      </c>
      <c r="I614" s="39" t="str">
        <f>_xlfn.XLOOKUP(H614,notes!$B$4:$B$8,notes!$C$4:$C$8,"Invalid",-1)</f>
        <v>Unknown</v>
      </c>
      <c r="J614" s="37">
        <v>1</v>
      </c>
      <c r="K614" s="37">
        <v>0</v>
      </c>
      <c r="L614" s="37">
        <f t="shared" si="38"/>
        <v>2</v>
      </c>
      <c r="M614" s="40" t="str">
        <f t="shared" si="36"/>
        <v>Survived</v>
      </c>
      <c r="N614" s="37" t="str">
        <f>_xlfn.XLOOKUP(L614,notes!$B$28:$B$30,notes!$C$28:$C$30,"Unknown",-1)</f>
        <v>Small Family</v>
      </c>
      <c r="O614" s="37">
        <v>367230</v>
      </c>
      <c r="P614" s="37">
        <v>15.5</v>
      </c>
      <c r="Q614" s="37" t="str">
        <f t="shared" si="39"/>
        <v>Mid</v>
      </c>
      <c r="R614" s="37" t="s">
        <v>1236</v>
      </c>
      <c r="S614" s="37" t="s">
        <v>28</v>
      </c>
      <c r="T614" s="41" t="str">
        <f t="shared" si="37"/>
        <v>Queenstown</v>
      </c>
    </row>
    <row r="615" spans="1:20">
      <c r="A615" s="37">
        <v>614</v>
      </c>
      <c r="B615" s="37">
        <v>0</v>
      </c>
      <c r="C615" s="37">
        <v>3</v>
      </c>
      <c r="D615" s="37" t="s">
        <v>2294</v>
      </c>
      <c r="E615" s="37" t="s">
        <v>1592</v>
      </c>
      <c r="F615" s="37" t="s">
        <v>1235</v>
      </c>
      <c r="G615" s="37" t="str">
        <f>_xlfn.XLOOKUP(F615,notes!$B$12:$B$18,notes!$C$12:$C$18,"Unknown")</f>
        <v>Male</v>
      </c>
      <c r="H615" s="38" t="s">
        <v>1236</v>
      </c>
      <c r="I615" s="39" t="str">
        <f>_xlfn.XLOOKUP(H615,notes!$B$4:$B$8,notes!$C$4:$C$8,"Invalid",-1)</f>
        <v>Unknown</v>
      </c>
      <c r="J615" s="37">
        <v>0</v>
      </c>
      <c r="K615" s="37">
        <v>0</v>
      </c>
      <c r="L615" s="37">
        <f t="shared" si="38"/>
        <v>1</v>
      </c>
      <c r="M615" s="40" t="str">
        <f t="shared" si="36"/>
        <v>Not Survived</v>
      </c>
      <c r="N615" s="37" t="str">
        <f>_xlfn.XLOOKUP(L615,notes!$B$28:$B$30,notes!$C$28:$C$30,"Unknown",-1)</f>
        <v>Alone</v>
      </c>
      <c r="O615" s="37">
        <v>370377</v>
      </c>
      <c r="P615" s="37">
        <v>7.75</v>
      </c>
      <c r="Q615" s="37" t="str">
        <f t="shared" si="39"/>
        <v>Low</v>
      </c>
      <c r="R615" s="37" t="s">
        <v>1236</v>
      </c>
      <c r="S615" s="37" t="s">
        <v>28</v>
      </c>
      <c r="T615" s="41" t="str">
        <f t="shared" si="37"/>
        <v>Queenstown</v>
      </c>
    </row>
    <row r="616" spans="1:20">
      <c r="A616" s="37">
        <v>615</v>
      </c>
      <c r="B616" s="37">
        <v>0</v>
      </c>
      <c r="C616" s="37">
        <v>3</v>
      </c>
      <c r="D616" s="37" t="s">
        <v>2295</v>
      </c>
      <c r="E616" s="37" t="s">
        <v>2296</v>
      </c>
      <c r="F616" s="37" t="s">
        <v>1235</v>
      </c>
      <c r="G616" s="37" t="str">
        <f>_xlfn.XLOOKUP(F616,notes!$B$12:$B$18,notes!$C$12:$C$18,"Unknown")</f>
        <v>Male</v>
      </c>
      <c r="H616" s="38">
        <v>35</v>
      </c>
      <c r="I616" s="39" t="str">
        <f>_xlfn.XLOOKUP(H616,notes!$B$4:$B$8,notes!$C$4:$C$8,"Invalid",-1)</f>
        <v>Adult</v>
      </c>
      <c r="J616" s="37">
        <v>0</v>
      </c>
      <c r="K616" s="37">
        <v>0</v>
      </c>
      <c r="L616" s="37">
        <f t="shared" si="38"/>
        <v>1</v>
      </c>
      <c r="M616" s="40" t="str">
        <f t="shared" si="36"/>
        <v>Not Survived</v>
      </c>
      <c r="N616" s="37" t="str">
        <f>_xlfn.XLOOKUP(L616,notes!$B$28:$B$30,notes!$C$28:$C$30,"Unknown",-1)</f>
        <v>Alone</v>
      </c>
      <c r="O616" s="37">
        <v>364512</v>
      </c>
      <c r="P616" s="37">
        <v>8.05</v>
      </c>
      <c r="Q616" s="37" t="str">
        <f t="shared" si="39"/>
        <v>Low</v>
      </c>
      <c r="R616" s="37" t="s">
        <v>1236</v>
      </c>
      <c r="S616" s="37" t="s">
        <v>15</v>
      </c>
      <c r="T616" s="41" t="str">
        <f t="shared" si="37"/>
        <v>Southampton</v>
      </c>
    </row>
    <row r="617" spans="1:20">
      <c r="A617" s="37">
        <v>616</v>
      </c>
      <c r="B617" s="37">
        <v>1</v>
      </c>
      <c r="C617" s="37">
        <v>2</v>
      </c>
      <c r="D617" s="37" t="s">
        <v>2297</v>
      </c>
      <c r="E617" s="37" t="s">
        <v>2298</v>
      </c>
      <c r="F617" s="37" t="s">
        <v>1242</v>
      </c>
      <c r="G617" s="37" t="str">
        <f>_xlfn.XLOOKUP(F617,notes!$B$12:$B$18,notes!$C$12:$C$18,"Unknown")</f>
        <v>Female</v>
      </c>
      <c r="H617" s="38">
        <v>24</v>
      </c>
      <c r="I617" s="39" t="str">
        <f>_xlfn.XLOOKUP(H617,notes!$B$4:$B$8,notes!$C$4:$C$8,"Invalid",-1)</f>
        <v>Adult</v>
      </c>
      <c r="J617" s="37">
        <v>1</v>
      </c>
      <c r="K617" s="37">
        <v>2</v>
      </c>
      <c r="L617" s="37">
        <f t="shared" si="38"/>
        <v>4</v>
      </c>
      <c r="M617" s="40" t="str">
        <f t="shared" si="36"/>
        <v>Survived</v>
      </c>
      <c r="N617" s="37" t="str">
        <f>_xlfn.XLOOKUP(L617,notes!$B$28:$B$30,notes!$C$28:$C$30,"Unknown",-1)</f>
        <v>Large Family</v>
      </c>
      <c r="O617" s="37">
        <v>220845</v>
      </c>
      <c r="P617" s="37">
        <v>65</v>
      </c>
      <c r="Q617" s="37" t="str">
        <f t="shared" si="39"/>
        <v>High</v>
      </c>
      <c r="R617" s="37" t="s">
        <v>1236</v>
      </c>
      <c r="S617" s="37" t="s">
        <v>15</v>
      </c>
      <c r="T617" s="41" t="str">
        <f t="shared" si="37"/>
        <v>Southampton</v>
      </c>
    </row>
    <row r="618" spans="1:20">
      <c r="A618" s="37">
        <v>617</v>
      </c>
      <c r="B618" s="37">
        <v>0</v>
      </c>
      <c r="C618" s="37">
        <v>3</v>
      </c>
      <c r="D618" s="37" t="s">
        <v>1992</v>
      </c>
      <c r="E618" s="37" t="s">
        <v>2299</v>
      </c>
      <c r="F618" s="37" t="s">
        <v>1235</v>
      </c>
      <c r="G618" s="37" t="str">
        <f>_xlfn.XLOOKUP(F618,notes!$B$12:$B$18,notes!$C$12:$C$18,"Unknown")</f>
        <v>Male</v>
      </c>
      <c r="H618" s="38">
        <v>34</v>
      </c>
      <c r="I618" s="39" t="str">
        <f>_xlfn.XLOOKUP(H618,notes!$B$4:$B$8,notes!$C$4:$C$8,"Invalid",-1)</f>
        <v>Adult</v>
      </c>
      <c r="J618" s="37">
        <v>1</v>
      </c>
      <c r="K618" s="37">
        <v>1</v>
      </c>
      <c r="L618" s="37">
        <f t="shared" si="38"/>
        <v>3</v>
      </c>
      <c r="M618" s="40" t="str">
        <f t="shared" si="36"/>
        <v>Not Survived</v>
      </c>
      <c r="N618" s="37" t="str">
        <f>_xlfn.XLOOKUP(L618,notes!$B$28:$B$30,notes!$C$28:$C$30,"Unknown",-1)</f>
        <v>Small Family</v>
      </c>
      <c r="O618" s="37">
        <v>347080</v>
      </c>
      <c r="P618" s="37">
        <v>14.4</v>
      </c>
      <c r="Q618" s="37" t="str">
        <f t="shared" si="39"/>
        <v>Mid</v>
      </c>
      <c r="R618" s="37" t="s">
        <v>1236</v>
      </c>
      <c r="S618" s="37" t="s">
        <v>15</v>
      </c>
      <c r="T618" s="41" t="str">
        <f t="shared" si="37"/>
        <v>Southampton</v>
      </c>
    </row>
    <row r="619" spans="1:20">
      <c r="A619" s="37">
        <v>618</v>
      </c>
      <c r="B619" s="37">
        <v>0</v>
      </c>
      <c r="C619" s="37">
        <v>3</v>
      </c>
      <c r="D619" s="37" t="s">
        <v>1709</v>
      </c>
      <c r="E619" s="37" t="s">
        <v>2300</v>
      </c>
      <c r="F619" s="37" t="s">
        <v>1239</v>
      </c>
      <c r="G619" s="37" t="str">
        <f>_xlfn.XLOOKUP(F619,notes!$B$12:$B$18,notes!$C$12:$C$18,"Unknown")</f>
        <v>Female</v>
      </c>
      <c r="H619" s="38">
        <v>26</v>
      </c>
      <c r="I619" s="39" t="str">
        <f>_xlfn.XLOOKUP(H619,notes!$B$4:$B$8,notes!$C$4:$C$8,"Invalid",-1)</f>
        <v>Adult</v>
      </c>
      <c r="J619" s="37">
        <v>1</v>
      </c>
      <c r="K619" s="37">
        <v>0</v>
      </c>
      <c r="L619" s="37">
        <f t="shared" si="38"/>
        <v>2</v>
      </c>
      <c r="M619" s="40" t="str">
        <f t="shared" si="36"/>
        <v>Not Survived</v>
      </c>
      <c r="N619" s="37" t="str">
        <f>_xlfn.XLOOKUP(L619,notes!$B$28:$B$30,notes!$C$28:$C$30,"Unknown",-1)</f>
        <v>Small Family</v>
      </c>
      <c r="O619" s="37" t="s">
        <v>385</v>
      </c>
      <c r="P619" s="37">
        <v>16.1</v>
      </c>
      <c r="Q619" s="37" t="str">
        <f t="shared" si="39"/>
        <v>Mid</v>
      </c>
      <c r="R619" s="37" t="s">
        <v>1236</v>
      </c>
      <c r="S619" s="37" t="s">
        <v>15</v>
      </c>
      <c r="T619" s="41" t="str">
        <f t="shared" si="37"/>
        <v>Southampton</v>
      </c>
    </row>
    <row r="620" spans="1:20">
      <c r="A620" s="37">
        <v>619</v>
      </c>
      <c r="B620" s="37">
        <v>1</v>
      </c>
      <c r="C620" s="37">
        <v>2</v>
      </c>
      <c r="D620" s="37" t="s">
        <v>1581</v>
      </c>
      <c r="E620" s="37" t="s">
        <v>2301</v>
      </c>
      <c r="F620" s="37" t="s">
        <v>1242</v>
      </c>
      <c r="G620" s="37" t="str">
        <f>_xlfn.XLOOKUP(F620,notes!$B$12:$B$18,notes!$C$12:$C$18,"Unknown")</f>
        <v>Female</v>
      </c>
      <c r="H620" s="38">
        <v>4</v>
      </c>
      <c r="I620" s="39" t="str">
        <f>_xlfn.XLOOKUP(H620,notes!$B$4:$B$8,notes!$C$4:$C$8,"Invalid",-1)</f>
        <v>Kid</v>
      </c>
      <c r="J620" s="37">
        <v>2</v>
      </c>
      <c r="K620" s="37">
        <v>1</v>
      </c>
      <c r="L620" s="37">
        <f t="shared" si="38"/>
        <v>4</v>
      </c>
      <c r="M620" s="40" t="str">
        <f t="shared" si="36"/>
        <v>Survived</v>
      </c>
      <c r="N620" s="37" t="str">
        <f>_xlfn.XLOOKUP(L620,notes!$B$28:$B$30,notes!$C$28:$C$30,"Unknown",-1)</f>
        <v>Large Family</v>
      </c>
      <c r="O620" s="37">
        <v>230136</v>
      </c>
      <c r="P620" s="37">
        <v>39</v>
      </c>
      <c r="Q620" s="37" t="str">
        <f t="shared" si="39"/>
        <v>Mid</v>
      </c>
      <c r="R620" s="37" t="s">
        <v>287</v>
      </c>
      <c r="S620" s="37" t="s">
        <v>15</v>
      </c>
      <c r="T620" s="41" t="str">
        <f t="shared" si="37"/>
        <v>Southampton</v>
      </c>
    </row>
    <row r="621" spans="1:20">
      <c r="A621" s="37">
        <v>620</v>
      </c>
      <c r="B621" s="37">
        <v>0</v>
      </c>
      <c r="C621" s="37">
        <v>2</v>
      </c>
      <c r="D621" s="37" t="s">
        <v>2302</v>
      </c>
      <c r="E621" s="37" t="s">
        <v>1280</v>
      </c>
      <c r="F621" s="37" t="s">
        <v>1235</v>
      </c>
      <c r="G621" s="37" t="str">
        <f>_xlfn.XLOOKUP(F621,notes!$B$12:$B$18,notes!$C$12:$C$18,"Unknown")</f>
        <v>Male</v>
      </c>
      <c r="H621" s="38">
        <v>26</v>
      </c>
      <c r="I621" s="39" t="str">
        <f>_xlfn.XLOOKUP(H621,notes!$B$4:$B$8,notes!$C$4:$C$8,"Invalid",-1)</f>
        <v>Adult</v>
      </c>
      <c r="J621" s="37">
        <v>0</v>
      </c>
      <c r="K621" s="37">
        <v>0</v>
      </c>
      <c r="L621" s="37">
        <f t="shared" si="38"/>
        <v>1</v>
      </c>
      <c r="M621" s="40" t="str">
        <f t="shared" si="36"/>
        <v>Not Survived</v>
      </c>
      <c r="N621" s="37" t="str">
        <f>_xlfn.XLOOKUP(L621,notes!$B$28:$B$30,notes!$C$28:$C$30,"Unknown",-1)</f>
        <v>Alone</v>
      </c>
      <c r="O621" s="37">
        <v>31028</v>
      </c>
      <c r="P621" s="37">
        <v>10.5</v>
      </c>
      <c r="Q621" s="37" t="str">
        <f t="shared" si="39"/>
        <v>Mid</v>
      </c>
      <c r="R621" s="37" t="s">
        <v>1236</v>
      </c>
      <c r="S621" s="37" t="s">
        <v>15</v>
      </c>
      <c r="T621" s="41" t="str">
        <f t="shared" si="37"/>
        <v>Southampton</v>
      </c>
    </row>
    <row r="622" spans="1:20">
      <c r="A622" s="37">
        <v>621</v>
      </c>
      <c r="B622" s="37">
        <v>0</v>
      </c>
      <c r="C622" s="37">
        <v>3</v>
      </c>
      <c r="D622" s="37" t="s">
        <v>2303</v>
      </c>
      <c r="E622" s="37" t="s">
        <v>2304</v>
      </c>
      <c r="F622" s="37" t="s">
        <v>1235</v>
      </c>
      <c r="G622" s="37" t="str">
        <f>_xlfn.XLOOKUP(F622,notes!$B$12:$B$18,notes!$C$12:$C$18,"Unknown")</f>
        <v>Male</v>
      </c>
      <c r="H622" s="38">
        <v>27</v>
      </c>
      <c r="I622" s="39" t="str">
        <f>_xlfn.XLOOKUP(H622,notes!$B$4:$B$8,notes!$C$4:$C$8,"Invalid",-1)</f>
        <v>Adult</v>
      </c>
      <c r="J622" s="37">
        <v>1</v>
      </c>
      <c r="K622" s="37">
        <v>0</v>
      </c>
      <c r="L622" s="37">
        <f t="shared" si="38"/>
        <v>2</v>
      </c>
      <c r="M622" s="40" t="str">
        <f t="shared" si="36"/>
        <v>Not Survived</v>
      </c>
      <c r="N622" s="37" t="str">
        <f>_xlfn.XLOOKUP(L622,notes!$B$28:$B$30,notes!$C$28:$C$30,"Unknown",-1)</f>
        <v>Small Family</v>
      </c>
      <c r="O622" s="37">
        <v>2659</v>
      </c>
      <c r="P622" s="37">
        <v>14.4542</v>
      </c>
      <c r="Q622" s="37" t="str">
        <f t="shared" si="39"/>
        <v>Mid</v>
      </c>
      <c r="R622" s="37" t="s">
        <v>1236</v>
      </c>
      <c r="S622" s="37" t="s">
        <v>20</v>
      </c>
      <c r="T622" s="41" t="str">
        <f t="shared" si="37"/>
        <v>Cherbourg</v>
      </c>
    </row>
    <row r="623" spans="1:20">
      <c r="A623" s="37">
        <v>622</v>
      </c>
      <c r="B623" s="37">
        <v>1</v>
      </c>
      <c r="C623" s="37">
        <v>1</v>
      </c>
      <c r="D623" s="37" t="s">
        <v>2305</v>
      </c>
      <c r="E623" s="37" t="s">
        <v>2306</v>
      </c>
      <c r="F623" s="37" t="s">
        <v>1235</v>
      </c>
      <c r="G623" s="37" t="str">
        <f>_xlfn.XLOOKUP(F623,notes!$B$12:$B$18,notes!$C$12:$C$18,"Unknown")</f>
        <v>Male</v>
      </c>
      <c r="H623" s="38">
        <v>42</v>
      </c>
      <c r="I623" s="39" t="str">
        <f>_xlfn.XLOOKUP(H623,notes!$B$4:$B$8,notes!$C$4:$C$8,"Invalid",-1)</f>
        <v>Adult</v>
      </c>
      <c r="J623" s="37">
        <v>1</v>
      </c>
      <c r="K623" s="37">
        <v>0</v>
      </c>
      <c r="L623" s="37">
        <f t="shared" si="38"/>
        <v>2</v>
      </c>
      <c r="M623" s="40" t="str">
        <f t="shared" si="36"/>
        <v>Survived</v>
      </c>
      <c r="N623" s="37" t="str">
        <f>_xlfn.XLOOKUP(L623,notes!$B$28:$B$30,notes!$C$28:$C$30,"Unknown",-1)</f>
        <v>Small Family</v>
      </c>
      <c r="O623" s="37">
        <v>11753</v>
      </c>
      <c r="P623" s="37">
        <v>52.5542</v>
      </c>
      <c r="Q623" s="37" t="str">
        <f t="shared" si="39"/>
        <v>High</v>
      </c>
      <c r="R623" s="37" t="s">
        <v>883</v>
      </c>
      <c r="S623" s="37" t="s">
        <v>15</v>
      </c>
      <c r="T623" s="41" t="str">
        <f t="shared" si="37"/>
        <v>Southampton</v>
      </c>
    </row>
    <row r="624" spans="1:20">
      <c r="A624" s="37">
        <v>623</v>
      </c>
      <c r="B624" s="37">
        <v>1</v>
      </c>
      <c r="C624" s="37">
        <v>3</v>
      </c>
      <c r="D624" s="37" t="s">
        <v>1927</v>
      </c>
      <c r="E624" s="37" t="s">
        <v>2307</v>
      </c>
      <c r="F624" s="37" t="s">
        <v>1235</v>
      </c>
      <c r="G624" s="37" t="str">
        <f>_xlfn.XLOOKUP(F624,notes!$B$12:$B$18,notes!$C$12:$C$18,"Unknown")</f>
        <v>Male</v>
      </c>
      <c r="H624" s="38">
        <v>20</v>
      </c>
      <c r="I624" s="39" t="str">
        <f>_xlfn.XLOOKUP(H624,notes!$B$4:$B$8,notes!$C$4:$C$8,"Invalid",-1)</f>
        <v>Adult</v>
      </c>
      <c r="J624" s="37">
        <v>1</v>
      </c>
      <c r="K624" s="37">
        <v>1</v>
      </c>
      <c r="L624" s="37">
        <f t="shared" si="38"/>
        <v>3</v>
      </c>
      <c r="M624" s="40" t="str">
        <f t="shared" si="36"/>
        <v>Survived</v>
      </c>
      <c r="N624" s="37" t="str">
        <f>_xlfn.XLOOKUP(L624,notes!$B$28:$B$30,notes!$C$28:$C$30,"Unknown",-1)</f>
        <v>Small Family</v>
      </c>
      <c r="O624" s="37">
        <v>2653</v>
      </c>
      <c r="P624" s="37">
        <v>15.7417</v>
      </c>
      <c r="Q624" s="37" t="str">
        <f t="shared" si="39"/>
        <v>Mid</v>
      </c>
      <c r="R624" s="37" t="s">
        <v>1236</v>
      </c>
      <c r="S624" s="37" t="s">
        <v>20</v>
      </c>
      <c r="T624" s="41" t="str">
        <f t="shared" si="37"/>
        <v>Cherbourg</v>
      </c>
    </row>
    <row r="625" spans="1:20">
      <c r="A625" s="37">
        <v>624</v>
      </c>
      <c r="B625" s="37">
        <v>0</v>
      </c>
      <c r="C625" s="37">
        <v>3</v>
      </c>
      <c r="D625" s="37" t="s">
        <v>2308</v>
      </c>
      <c r="E625" s="37" t="s">
        <v>2309</v>
      </c>
      <c r="F625" s="37" t="s">
        <v>1235</v>
      </c>
      <c r="G625" s="37" t="str">
        <f>_xlfn.XLOOKUP(F625,notes!$B$12:$B$18,notes!$C$12:$C$18,"Unknown")</f>
        <v>Male</v>
      </c>
      <c r="H625" s="38">
        <v>21</v>
      </c>
      <c r="I625" s="39" t="str">
        <f>_xlfn.XLOOKUP(H625,notes!$B$4:$B$8,notes!$C$4:$C$8,"Invalid",-1)</f>
        <v>Adult</v>
      </c>
      <c r="J625" s="37">
        <v>0</v>
      </c>
      <c r="K625" s="37">
        <v>0</v>
      </c>
      <c r="L625" s="37">
        <f t="shared" si="38"/>
        <v>1</v>
      </c>
      <c r="M625" s="40" t="str">
        <f t="shared" si="36"/>
        <v>Not Survived</v>
      </c>
      <c r="N625" s="37" t="str">
        <f>_xlfn.XLOOKUP(L625,notes!$B$28:$B$30,notes!$C$28:$C$30,"Unknown",-1)</f>
        <v>Alone</v>
      </c>
      <c r="O625" s="37">
        <v>350029</v>
      </c>
      <c r="P625" s="37">
        <v>7.8542</v>
      </c>
      <c r="Q625" s="37" t="str">
        <f t="shared" si="39"/>
        <v>Low</v>
      </c>
      <c r="R625" s="37" t="s">
        <v>1236</v>
      </c>
      <c r="S625" s="37" t="s">
        <v>15</v>
      </c>
      <c r="T625" s="41" t="str">
        <f t="shared" si="37"/>
        <v>Southampton</v>
      </c>
    </row>
    <row r="626" spans="1:20">
      <c r="A626" s="37">
        <v>625</v>
      </c>
      <c r="B626" s="37">
        <v>0</v>
      </c>
      <c r="C626" s="37">
        <v>3</v>
      </c>
      <c r="D626" s="37" t="s">
        <v>2310</v>
      </c>
      <c r="E626" s="37" t="s">
        <v>2311</v>
      </c>
      <c r="F626" s="37" t="s">
        <v>1235</v>
      </c>
      <c r="G626" s="37" t="str">
        <f>_xlfn.XLOOKUP(F626,notes!$B$12:$B$18,notes!$C$12:$C$18,"Unknown")</f>
        <v>Male</v>
      </c>
      <c r="H626" s="38">
        <v>21</v>
      </c>
      <c r="I626" s="39" t="str">
        <f>_xlfn.XLOOKUP(H626,notes!$B$4:$B$8,notes!$C$4:$C$8,"Invalid",-1)</f>
        <v>Adult</v>
      </c>
      <c r="J626" s="37">
        <v>0</v>
      </c>
      <c r="K626" s="37">
        <v>0</v>
      </c>
      <c r="L626" s="37">
        <f t="shared" si="38"/>
        <v>1</v>
      </c>
      <c r="M626" s="40" t="str">
        <f t="shared" si="36"/>
        <v>Not Survived</v>
      </c>
      <c r="N626" s="37" t="str">
        <f>_xlfn.XLOOKUP(L626,notes!$B$28:$B$30,notes!$C$28:$C$30,"Unknown",-1)</f>
        <v>Alone</v>
      </c>
      <c r="O626" s="37">
        <v>54636</v>
      </c>
      <c r="P626" s="37">
        <v>16.1</v>
      </c>
      <c r="Q626" s="37" t="str">
        <f t="shared" si="39"/>
        <v>Mid</v>
      </c>
      <c r="R626" s="37" t="s">
        <v>1236</v>
      </c>
      <c r="S626" s="37" t="s">
        <v>15</v>
      </c>
      <c r="T626" s="41" t="str">
        <f t="shared" si="37"/>
        <v>Southampton</v>
      </c>
    </row>
    <row r="627" spans="1:20">
      <c r="A627" s="37">
        <v>626</v>
      </c>
      <c r="B627" s="37">
        <v>0</v>
      </c>
      <c r="C627" s="37">
        <v>1</v>
      </c>
      <c r="D627" s="37" t="s">
        <v>2312</v>
      </c>
      <c r="E627" s="37" t="s">
        <v>1615</v>
      </c>
      <c r="F627" s="37" t="s">
        <v>1235</v>
      </c>
      <c r="G627" s="37" t="str">
        <f>_xlfn.XLOOKUP(F627,notes!$B$12:$B$18,notes!$C$12:$C$18,"Unknown")</f>
        <v>Male</v>
      </c>
      <c r="H627" s="38">
        <v>61</v>
      </c>
      <c r="I627" s="39" t="str">
        <f>_xlfn.XLOOKUP(H627,notes!$B$4:$B$8,notes!$C$4:$C$8,"Invalid",-1)</f>
        <v>Elderly</v>
      </c>
      <c r="J627" s="37">
        <v>0</v>
      </c>
      <c r="K627" s="37">
        <v>0</v>
      </c>
      <c r="L627" s="37">
        <f t="shared" si="38"/>
        <v>1</v>
      </c>
      <c r="M627" s="40" t="str">
        <f t="shared" si="36"/>
        <v>Not Survived</v>
      </c>
      <c r="N627" s="37" t="str">
        <f>_xlfn.XLOOKUP(L627,notes!$B$28:$B$30,notes!$C$28:$C$30,"Unknown",-1)</f>
        <v>Alone</v>
      </c>
      <c r="O627" s="37">
        <v>36963</v>
      </c>
      <c r="P627" s="37">
        <v>32.3208</v>
      </c>
      <c r="Q627" s="37" t="str">
        <f t="shared" si="39"/>
        <v>Mid</v>
      </c>
      <c r="R627" s="37" t="s">
        <v>888</v>
      </c>
      <c r="S627" s="37" t="s">
        <v>15</v>
      </c>
      <c r="T627" s="41" t="str">
        <f t="shared" si="37"/>
        <v>Southampton</v>
      </c>
    </row>
    <row r="628" spans="1:20">
      <c r="A628" s="37">
        <v>627</v>
      </c>
      <c r="B628" s="37">
        <v>0</v>
      </c>
      <c r="C628" s="37">
        <v>2</v>
      </c>
      <c r="D628" s="37" t="s">
        <v>2313</v>
      </c>
      <c r="E628" s="37" t="s">
        <v>2314</v>
      </c>
      <c r="F628" s="37" t="s">
        <v>1522</v>
      </c>
      <c r="G628" s="37" t="str">
        <f>_xlfn.XLOOKUP(F628,notes!$B$12:$B$18,notes!$C$12:$C$18,"Unknown")</f>
        <v>Male</v>
      </c>
      <c r="H628" s="38">
        <v>57</v>
      </c>
      <c r="I628" s="39" t="str">
        <f>_xlfn.XLOOKUP(H628,notes!$B$4:$B$8,notes!$C$4:$C$8,"Invalid",-1)</f>
        <v>Adult</v>
      </c>
      <c r="J628" s="37">
        <v>0</v>
      </c>
      <c r="K628" s="37">
        <v>0</v>
      </c>
      <c r="L628" s="37">
        <f t="shared" si="38"/>
        <v>1</v>
      </c>
      <c r="M628" s="40" t="str">
        <f t="shared" si="36"/>
        <v>Not Survived</v>
      </c>
      <c r="N628" s="37" t="str">
        <f>_xlfn.XLOOKUP(L628,notes!$B$28:$B$30,notes!$C$28:$C$30,"Unknown",-1)</f>
        <v>Alone</v>
      </c>
      <c r="O628" s="37">
        <v>219533</v>
      </c>
      <c r="P628" s="37">
        <v>12.35</v>
      </c>
      <c r="Q628" s="37" t="str">
        <f t="shared" si="39"/>
        <v>Mid</v>
      </c>
      <c r="R628" s="37" t="s">
        <v>1236</v>
      </c>
      <c r="S628" s="37" t="s">
        <v>28</v>
      </c>
      <c r="T628" s="41" t="str">
        <f t="shared" si="37"/>
        <v>Queenstown</v>
      </c>
    </row>
    <row r="629" spans="1:20">
      <c r="A629" s="37">
        <v>628</v>
      </c>
      <c r="B629" s="37">
        <v>1</v>
      </c>
      <c r="C629" s="37">
        <v>1</v>
      </c>
      <c r="D629" s="37" t="s">
        <v>2315</v>
      </c>
      <c r="E629" s="37" t="s">
        <v>2316</v>
      </c>
      <c r="F629" s="37" t="s">
        <v>1242</v>
      </c>
      <c r="G629" s="37" t="str">
        <f>_xlfn.XLOOKUP(F629,notes!$B$12:$B$18,notes!$C$12:$C$18,"Unknown")</f>
        <v>Female</v>
      </c>
      <c r="H629" s="38">
        <v>21</v>
      </c>
      <c r="I629" s="39" t="str">
        <f>_xlfn.XLOOKUP(H629,notes!$B$4:$B$8,notes!$C$4:$C$8,"Invalid",-1)</f>
        <v>Adult</v>
      </c>
      <c r="J629" s="37">
        <v>0</v>
      </c>
      <c r="K629" s="37">
        <v>0</v>
      </c>
      <c r="L629" s="37">
        <f t="shared" si="38"/>
        <v>1</v>
      </c>
      <c r="M629" s="40" t="str">
        <f t="shared" si="36"/>
        <v>Survived</v>
      </c>
      <c r="N629" s="37" t="str">
        <f>_xlfn.XLOOKUP(L629,notes!$B$28:$B$30,notes!$C$28:$C$30,"Unknown",-1)</f>
        <v>Alone</v>
      </c>
      <c r="O629" s="37">
        <v>13502</v>
      </c>
      <c r="P629" s="37">
        <v>77.9583</v>
      </c>
      <c r="Q629" s="37" t="str">
        <f t="shared" si="39"/>
        <v>High</v>
      </c>
      <c r="R629" s="37" t="s">
        <v>891</v>
      </c>
      <c r="S629" s="37" t="s">
        <v>15</v>
      </c>
      <c r="T629" s="41" t="str">
        <f t="shared" si="37"/>
        <v>Southampton</v>
      </c>
    </row>
    <row r="630" spans="1:20">
      <c r="A630" s="37">
        <v>629</v>
      </c>
      <c r="B630" s="37">
        <v>0</v>
      </c>
      <c r="C630" s="37">
        <v>3</v>
      </c>
      <c r="D630" s="37" t="s">
        <v>2317</v>
      </c>
      <c r="E630" s="37" t="s">
        <v>2318</v>
      </c>
      <c r="F630" s="37" t="s">
        <v>1235</v>
      </c>
      <c r="G630" s="37" t="str">
        <f>_xlfn.XLOOKUP(F630,notes!$B$12:$B$18,notes!$C$12:$C$18,"Unknown")</f>
        <v>Male</v>
      </c>
      <c r="H630" s="38">
        <v>26</v>
      </c>
      <c r="I630" s="39" t="str">
        <f>_xlfn.XLOOKUP(H630,notes!$B$4:$B$8,notes!$C$4:$C$8,"Invalid",-1)</f>
        <v>Adult</v>
      </c>
      <c r="J630" s="37">
        <v>0</v>
      </c>
      <c r="K630" s="37">
        <v>0</v>
      </c>
      <c r="L630" s="37">
        <f t="shared" si="38"/>
        <v>1</v>
      </c>
      <c r="M630" s="40" t="str">
        <f t="shared" si="36"/>
        <v>Not Survived</v>
      </c>
      <c r="N630" s="37" t="str">
        <f>_xlfn.XLOOKUP(L630,notes!$B$28:$B$30,notes!$C$28:$C$30,"Unknown",-1)</f>
        <v>Alone</v>
      </c>
      <c r="O630" s="37">
        <v>349224</v>
      </c>
      <c r="P630" s="37">
        <v>7.8958</v>
      </c>
      <c r="Q630" s="37" t="str">
        <f t="shared" si="39"/>
        <v>Low</v>
      </c>
      <c r="R630" s="37" t="s">
        <v>1236</v>
      </c>
      <c r="S630" s="37" t="s">
        <v>15</v>
      </c>
      <c r="T630" s="41" t="str">
        <f t="shared" si="37"/>
        <v>Southampton</v>
      </c>
    </row>
    <row r="631" spans="1:20">
      <c r="A631" s="37">
        <v>630</v>
      </c>
      <c r="B631" s="37">
        <v>0</v>
      </c>
      <c r="C631" s="37">
        <v>3</v>
      </c>
      <c r="D631" s="37" t="s">
        <v>2319</v>
      </c>
      <c r="E631" s="37" t="s">
        <v>2320</v>
      </c>
      <c r="F631" s="37" t="s">
        <v>1235</v>
      </c>
      <c r="G631" s="37" t="str">
        <f>_xlfn.XLOOKUP(F631,notes!$B$12:$B$18,notes!$C$12:$C$18,"Unknown")</f>
        <v>Male</v>
      </c>
      <c r="H631" s="38" t="s">
        <v>1236</v>
      </c>
      <c r="I631" s="39" t="str">
        <f>_xlfn.XLOOKUP(H631,notes!$B$4:$B$8,notes!$C$4:$C$8,"Invalid",-1)</f>
        <v>Unknown</v>
      </c>
      <c r="J631" s="37">
        <v>0</v>
      </c>
      <c r="K631" s="37">
        <v>0</v>
      </c>
      <c r="L631" s="37">
        <f t="shared" si="38"/>
        <v>1</v>
      </c>
      <c r="M631" s="40" t="str">
        <f t="shared" si="36"/>
        <v>Not Survived</v>
      </c>
      <c r="N631" s="37" t="str">
        <f>_xlfn.XLOOKUP(L631,notes!$B$28:$B$30,notes!$C$28:$C$30,"Unknown",-1)</f>
        <v>Alone</v>
      </c>
      <c r="O631" s="37">
        <v>334912</v>
      </c>
      <c r="P631" s="37">
        <v>7.7333</v>
      </c>
      <c r="Q631" s="37" t="str">
        <f t="shared" si="39"/>
        <v>Low</v>
      </c>
      <c r="R631" s="37" t="s">
        <v>1236</v>
      </c>
      <c r="S631" s="37" t="s">
        <v>28</v>
      </c>
      <c r="T631" s="41" t="str">
        <f t="shared" si="37"/>
        <v>Queenstown</v>
      </c>
    </row>
    <row r="632" spans="1:20">
      <c r="A632" s="37">
        <v>631</v>
      </c>
      <c r="B632" s="37">
        <v>1</v>
      </c>
      <c r="C632" s="37">
        <v>1</v>
      </c>
      <c r="D632" s="37" t="s">
        <v>2321</v>
      </c>
      <c r="E632" s="37" t="s">
        <v>2322</v>
      </c>
      <c r="F632" s="37" t="s">
        <v>1235</v>
      </c>
      <c r="G632" s="37" t="str">
        <f>_xlfn.XLOOKUP(F632,notes!$B$12:$B$18,notes!$C$12:$C$18,"Unknown")</f>
        <v>Male</v>
      </c>
      <c r="H632" s="38">
        <v>80</v>
      </c>
      <c r="I632" s="39" t="str">
        <f>_xlfn.XLOOKUP(H632,notes!$B$4:$B$8,notes!$C$4:$C$8,"Invalid",-1)</f>
        <v>Elderly</v>
      </c>
      <c r="J632" s="37">
        <v>0</v>
      </c>
      <c r="K632" s="37">
        <v>0</v>
      </c>
      <c r="L632" s="37">
        <f t="shared" si="38"/>
        <v>1</v>
      </c>
      <c r="M632" s="40" t="str">
        <f t="shared" si="36"/>
        <v>Survived</v>
      </c>
      <c r="N632" s="37" t="str">
        <f>_xlfn.XLOOKUP(L632,notes!$B$28:$B$30,notes!$C$28:$C$30,"Unknown",-1)</f>
        <v>Alone</v>
      </c>
      <c r="O632" s="37">
        <v>27042</v>
      </c>
      <c r="P632" s="37">
        <v>30</v>
      </c>
      <c r="Q632" s="37" t="str">
        <f t="shared" si="39"/>
        <v>Mid</v>
      </c>
      <c r="R632" s="37" t="s">
        <v>895</v>
      </c>
      <c r="S632" s="37" t="s">
        <v>15</v>
      </c>
      <c r="T632" s="41" t="str">
        <f t="shared" si="37"/>
        <v>Southampton</v>
      </c>
    </row>
    <row r="633" spans="1:20">
      <c r="A633" s="37">
        <v>632</v>
      </c>
      <c r="B633" s="37">
        <v>0</v>
      </c>
      <c r="C633" s="37">
        <v>3</v>
      </c>
      <c r="D633" s="37" t="s">
        <v>2323</v>
      </c>
      <c r="E633" s="37" t="s">
        <v>2324</v>
      </c>
      <c r="F633" s="37" t="s">
        <v>1235</v>
      </c>
      <c r="G633" s="37" t="str">
        <f>_xlfn.XLOOKUP(F633,notes!$B$12:$B$18,notes!$C$12:$C$18,"Unknown")</f>
        <v>Male</v>
      </c>
      <c r="H633" s="38">
        <v>51</v>
      </c>
      <c r="I633" s="39" t="str">
        <f>_xlfn.XLOOKUP(H633,notes!$B$4:$B$8,notes!$C$4:$C$8,"Invalid",-1)</f>
        <v>Adult</v>
      </c>
      <c r="J633" s="37">
        <v>0</v>
      </c>
      <c r="K633" s="37">
        <v>0</v>
      </c>
      <c r="L633" s="37">
        <f t="shared" si="38"/>
        <v>1</v>
      </c>
      <c r="M633" s="40" t="str">
        <f t="shared" si="36"/>
        <v>Not Survived</v>
      </c>
      <c r="N633" s="37" t="str">
        <f>_xlfn.XLOOKUP(L633,notes!$B$28:$B$30,notes!$C$28:$C$30,"Unknown",-1)</f>
        <v>Alone</v>
      </c>
      <c r="O633" s="37">
        <v>347743</v>
      </c>
      <c r="P633" s="37">
        <v>7.0542</v>
      </c>
      <c r="Q633" s="37" t="str">
        <f t="shared" si="39"/>
        <v>Low</v>
      </c>
      <c r="R633" s="37" t="s">
        <v>1236</v>
      </c>
      <c r="S633" s="37" t="s">
        <v>15</v>
      </c>
      <c r="T633" s="41" t="str">
        <f t="shared" si="37"/>
        <v>Southampton</v>
      </c>
    </row>
    <row r="634" spans="1:20">
      <c r="A634" s="37">
        <v>633</v>
      </c>
      <c r="B634" s="37">
        <v>1</v>
      </c>
      <c r="C634" s="37">
        <v>1</v>
      </c>
      <c r="D634" s="37" t="s">
        <v>2325</v>
      </c>
      <c r="E634" s="37" t="s">
        <v>2326</v>
      </c>
      <c r="F634" s="37" t="s">
        <v>1695</v>
      </c>
      <c r="G634" s="37" t="str">
        <f>_xlfn.XLOOKUP(F634,notes!$B$12:$B$18,notes!$C$12:$C$18,"Unknown")</f>
        <v>Male</v>
      </c>
      <c r="H634" s="38">
        <v>32</v>
      </c>
      <c r="I634" s="39" t="str">
        <f>_xlfn.XLOOKUP(H634,notes!$B$4:$B$8,notes!$C$4:$C$8,"Invalid",-1)</f>
        <v>Adult</v>
      </c>
      <c r="J634" s="37">
        <v>0</v>
      </c>
      <c r="K634" s="37">
        <v>0</v>
      </c>
      <c r="L634" s="37">
        <f t="shared" si="38"/>
        <v>1</v>
      </c>
      <c r="M634" s="40" t="str">
        <f t="shared" si="36"/>
        <v>Survived</v>
      </c>
      <c r="N634" s="37" t="str">
        <f>_xlfn.XLOOKUP(L634,notes!$B$28:$B$30,notes!$C$28:$C$30,"Unknown",-1)</f>
        <v>Alone</v>
      </c>
      <c r="O634" s="37">
        <v>13214</v>
      </c>
      <c r="P634" s="37">
        <v>30.5</v>
      </c>
      <c r="Q634" s="37" t="str">
        <f t="shared" si="39"/>
        <v>Mid</v>
      </c>
      <c r="R634" s="37" t="s">
        <v>898</v>
      </c>
      <c r="S634" s="37" t="s">
        <v>20</v>
      </c>
      <c r="T634" s="41" t="str">
        <f t="shared" si="37"/>
        <v>Cherbourg</v>
      </c>
    </row>
    <row r="635" spans="1:20">
      <c r="A635" s="37">
        <v>634</v>
      </c>
      <c r="B635" s="37">
        <v>0</v>
      </c>
      <c r="C635" s="37">
        <v>1</v>
      </c>
      <c r="D635" s="37" t="s">
        <v>2327</v>
      </c>
      <c r="E635" s="37" t="s">
        <v>2328</v>
      </c>
      <c r="F635" s="37" t="s">
        <v>1235</v>
      </c>
      <c r="G635" s="37" t="str">
        <f>_xlfn.XLOOKUP(F635,notes!$B$12:$B$18,notes!$C$12:$C$18,"Unknown")</f>
        <v>Male</v>
      </c>
      <c r="H635" s="38" t="s">
        <v>1236</v>
      </c>
      <c r="I635" s="39" t="str">
        <f>_xlfn.XLOOKUP(H635,notes!$B$4:$B$8,notes!$C$4:$C$8,"Invalid",-1)</f>
        <v>Unknown</v>
      </c>
      <c r="J635" s="37">
        <v>0</v>
      </c>
      <c r="K635" s="37">
        <v>0</v>
      </c>
      <c r="L635" s="37">
        <f t="shared" si="38"/>
        <v>1</v>
      </c>
      <c r="M635" s="40" t="str">
        <f t="shared" si="36"/>
        <v>Not Survived</v>
      </c>
      <c r="N635" s="37" t="str">
        <f>_xlfn.XLOOKUP(L635,notes!$B$28:$B$30,notes!$C$28:$C$30,"Unknown",-1)</f>
        <v>Alone</v>
      </c>
      <c r="O635" s="37">
        <v>112052</v>
      </c>
      <c r="P635" s="37">
        <v>0</v>
      </c>
      <c r="Q635" s="37" t="str">
        <f t="shared" si="39"/>
        <v>Low</v>
      </c>
      <c r="R635" s="37" t="s">
        <v>1236</v>
      </c>
      <c r="S635" s="37" t="s">
        <v>15</v>
      </c>
      <c r="T635" s="41" t="str">
        <f t="shared" si="37"/>
        <v>Southampton</v>
      </c>
    </row>
    <row r="636" spans="1:20">
      <c r="A636" s="37">
        <v>635</v>
      </c>
      <c r="B636" s="37">
        <v>0</v>
      </c>
      <c r="C636" s="37">
        <v>3</v>
      </c>
      <c r="D636" s="37" t="s">
        <v>1362</v>
      </c>
      <c r="E636" s="37" t="s">
        <v>2329</v>
      </c>
      <c r="F636" s="37" t="s">
        <v>1242</v>
      </c>
      <c r="G636" s="37" t="str">
        <f>_xlfn.XLOOKUP(F636,notes!$B$12:$B$18,notes!$C$12:$C$18,"Unknown")</f>
        <v>Female</v>
      </c>
      <c r="H636" s="38">
        <v>9</v>
      </c>
      <c r="I636" s="39" t="str">
        <f>_xlfn.XLOOKUP(H636,notes!$B$4:$B$8,notes!$C$4:$C$8,"Invalid",-1)</f>
        <v>Kid</v>
      </c>
      <c r="J636" s="37">
        <v>3</v>
      </c>
      <c r="K636" s="37">
        <v>2</v>
      </c>
      <c r="L636" s="37">
        <f t="shared" si="38"/>
        <v>6</v>
      </c>
      <c r="M636" s="40" t="str">
        <f t="shared" si="36"/>
        <v>Not Survived</v>
      </c>
      <c r="N636" s="37" t="str">
        <f>_xlfn.XLOOKUP(L636,notes!$B$28:$B$30,notes!$C$28:$C$30,"Unknown",-1)</f>
        <v>Large Family</v>
      </c>
      <c r="O636" s="37">
        <v>347088</v>
      </c>
      <c r="P636" s="37">
        <v>27.9</v>
      </c>
      <c r="Q636" s="37" t="str">
        <f t="shared" si="39"/>
        <v>Mid</v>
      </c>
      <c r="R636" s="37" t="s">
        <v>1236</v>
      </c>
      <c r="S636" s="37" t="s">
        <v>15</v>
      </c>
      <c r="T636" s="41" t="str">
        <f t="shared" si="37"/>
        <v>Southampton</v>
      </c>
    </row>
    <row r="637" spans="1:20">
      <c r="A637" s="37">
        <v>636</v>
      </c>
      <c r="B637" s="37">
        <v>1</v>
      </c>
      <c r="C637" s="37">
        <v>2</v>
      </c>
      <c r="D637" s="37" t="s">
        <v>2330</v>
      </c>
      <c r="E637" s="37" t="s">
        <v>1890</v>
      </c>
      <c r="F637" s="37" t="s">
        <v>1242</v>
      </c>
      <c r="G637" s="37" t="str">
        <f>_xlfn.XLOOKUP(F637,notes!$B$12:$B$18,notes!$C$12:$C$18,"Unknown")</f>
        <v>Female</v>
      </c>
      <c r="H637" s="38">
        <v>28</v>
      </c>
      <c r="I637" s="39" t="str">
        <f>_xlfn.XLOOKUP(H637,notes!$B$4:$B$8,notes!$C$4:$C$8,"Invalid",-1)</f>
        <v>Adult</v>
      </c>
      <c r="J637" s="37">
        <v>0</v>
      </c>
      <c r="K637" s="37">
        <v>0</v>
      </c>
      <c r="L637" s="37">
        <f t="shared" si="38"/>
        <v>1</v>
      </c>
      <c r="M637" s="40" t="str">
        <f t="shared" si="36"/>
        <v>Survived</v>
      </c>
      <c r="N637" s="37" t="str">
        <f>_xlfn.XLOOKUP(L637,notes!$B$28:$B$30,notes!$C$28:$C$30,"Unknown",-1)</f>
        <v>Alone</v>
      </c>
      <c r="O637" s="37">
        <v>237668</v>
      </c>
      <c r="P637" s="37">
        <v>13</v>
      </c>
      <c r="Q637" s="37" t="str">
        <f t="shared" si="39"/>
        <v>Mid</v>
      </c>
      <c r="R637" s="37" t="s">
        <v>1236</v>
      </c>
      <c r="S637" s="37" t="s">
        <v>15</v>
      </c>
      <c r="T637" s="41" t="str">
        <f t="shared" si="37"/>
        <v>Southampton</v>
      </c>
    </row>
    <row r="638" spans="1:20">
      <c r="A638" s="37">
        <v>637</v>
      </c>
      <c r="B638" s="37">
        <v>0</v>
      </c>
      <c r="C638" s="37">
        <v>3</v>
      </c>
      <c r="D638" s="37" t="s">
        <v>2331</v>
      </c>
      <c r="E638" s="37" t="s">
        <v>2332</v>
      </c>
      <c r="F638" s="37" t="s">
        <v>1235</v>
      </c>
      <c r="G638" s="37" t="str">
        <f>_xlfn.XLOOKUP(F638,notes!$B$12:$B$18,notes!$C$12:$C$18,"Unknown")</f>
        <v>Male</v>
      </c>
      <c r="H638" s="38">
        <v>32</v>
      </c>
      <c r="I638" s="39" t="str">
        <f>_xlfn.XLOOKUP(H638,notes!$B$4:$B$8,notes!$C$4:$C$8,"Invalid",-1)</f>
        <v>Adult</v>
      </c>
      <c r="J638" s="37">
        <v>0</v>
      </c>
      <c r="K638" s="37">
        <v>0</v>
      </c>
      <c r="L638" s="37">
        <f t="shared" si="38"/>
        <v>1</v>
      </c>
      <c r="M638" s="40" t="str">
        <f t="shared" si="36"/>
        <v>Not Survived</v>
      </c>
      <c r="N638" s="37" t="str">
        <f>_xlfn.XLOOKUP(L638,notes!$B$28:$B$30,notes!$C$28:$C$30,"Unknown",-1)</f>
        <v>Alone</v>
      </c>
      <c r="O638" s="37" t="s">
        <v>903</v>
      </c>
      <c r="P638" s="37">
        <v>7.925</v>
      </c>
      <c r="Q638" s="37" t="str">
        <f t="shared" si="39"/>
        <v>Low</v>
      </c>
      <c r="R638" s="37" t="s">
        <v>1236</v>
      </c>
      <c r="S638" s="37" t="s">
        <v>15</v>
      </c>
      <c r="T638" s="41" t="str">
        <f t="shared" si="37"/>
        <v>Southampton</v>
      </c>
    </row>
    <row r="639" spans="1:20">
      <c r="A639" s="37">
        <v>638</v>
      </c>
      <c r="B639" s="37">
        <v>0</v>
      </c>
      <c r="C639" s="37">
        <v>2</v>
      </c>
      <c r="D639" s="37" t="s">
        <v>1680</v>
      </c>
      <c r="E639" s="37" t="s">
        <v>2333</v>
      </c>
      <c r="F639" s="37" t="s">
        <v>1235</v>
      </c>
      <c r="G639" s="37" t="str">
        <f>_xlfn.XLOOKUP(F639,notes!$B$12:$B$18,notes!$C$12:$C$18,"Unknown")</f>
        <v>Male</v>
      </c>
      <c r="H639" s="38">
        <v>31</v>
      </c>
      <c r="I639" s="39" t="str">
        <f>_xlfn.XLOOKUP(H639,notes!$B$4:$B$8,notes!$C$4:$C$8,"Invalid",-1)</f>
        <v>Adult</v>
      </c>
      <c r="J639" s="37">
        <v>1</v>
      </c>
      <c r="K639" s="37">
        <v>1</v>
      </c>
      <c r="L639" s="37">
        <f t="shared" si="38"/>
        <v>3</v>
      </c>
      <c r="M639" s="40" t="str">
        <f t="shared" si="36"/>
        <v>Not Survived</v>
      </c>
      <c r="N639" s="37" t="str">
        <f>_xlfn.XLOOKUP(L639,notes!$B$28:$B$30,notes!$C$28:$C$30,"Unknown",-1)</f>
        <v>Small Family</v>
      </c>
      <c r="O639" s="37" t="s">
        <v>362</v>
      </c>
      <c r="P639" s="37">
        <v>26.25</v>
      </c>
      <c r="Q639" s="37" t="str">
        <f t="shared" si="39"/>
        <v>Mid</v>
      </c>
      <c r="R639" s="37" t="s">
        <v>1236</v>
      </c>
      <c r="S639" s="37" t="s">
        <v>15</v>
      </c>
      <c r="T639" s="41" t="str">
        <f t="shared" si="37"/>
        <v>Southampton</v>
      </c>
    </row>
    <row r="640" spans="1:20">
      <c r="A640" s="37">
        <v>639</v>
      </c>
      <c r="B640" s="37">
        <v>0</v>
      </c>
      <c r="C640" s="37">
        <v>3</v>
      </c>
      <c r="D640" s="37" t="s">
        <v>1336</v>
      </c>
      <c r="E640" s="37" t="s">
        <v>2334</v>
      </c>
      <c r="F640" s="37" t="s">
        <v>1239</v>
      </c>
      <c r="G640" s="37" t="str">
        <f>_xlfn.XLOOKUP(F640,notes!$B$12:$B$18,notes!$C$12:$C$18,"Unknown")</f>
        <v>Female</v>
      </c>
      <c r="H640" s="38">
        <v>41</v>
      </c>
      <c r="I640" s="39" t="str">
        <f>_xlfn.XLOOKUP(H640,notes!$B$4:$B$8,notes!$C$4:$C$8,"Invalid",-1)</f>
        <v>Adult</v>
      </c>
      <c r="J640" s="37">
        <v>0</v>
      </c>
      <c r="K640" s="37">
        <v>5</v>
      </c>
      <c r="L640" s="37">
        <f t="shared" si="38"/>
        <v>6</v>
      </c>
      <c r="M640" s="40" t="str">
        <f t="shared" si="36"/>
        <v>Not Survived</v>
      </c>
      <c r="N640" s="37" t="str">
        <f>_xlfn.XLOOKUP(L640,notes!$B$28:$B$30,notes!$C$28:$C$30,"Unknown",-1)</f>
        <v>Large Family</v>
      </c>
      <c r="O640" s="37">
        <v>3101295</v>
      </c>
      <c r="P640" s="37">
        <v>39.6875</v>
      </c>
      <c r="Q640" s="37" t="str">
        <f t="shared" si="39"/>
        <v>Mid</v>
      </c>
      <c r="R640" s="37" t="s">
        <v>1236</v>
      </c>
      <c r="S640" s="37" t="s">
        <v>15</v>
      </c>
      <c r="T640" s="41" t="str">
        <f t="shared" si="37"/>
        <v>Southampton</v>
      </c>
    </row>
    <row r="641" spans="1:20">
      <c r="A641" s="37">
        <v>640</v>
      </c>
      <c r="B641" s="37">
        <v>0</v>
      </c>
      <c r="C641" s="37">
        <v>3</v>
      </c>
      <c r="D641" s="37" t="s">
        <v>2006</v>
      </c>
      <c r="E641" s="37" t="s">
        <v>2335</v>
      </c>
      <c r="F641" s="37" t="s">
        <v>1235</v>
      </c>
      <c r="G641" s="37" t="str">
        <f>_xlfn.XLOOKUP(F641,notes!$B$12:$B$18,notes!$C$12:$C$18,"Unknown")</f>
        <v>Male</v>
      </c>
      <c r="H641" s="38" t="s">
        <v>1236</v>
      </c>
      <c r="I641" s="39" t="str">
        <f>_xlfn.XLOOKUP(H641,notes!$B$4:$B$8,notes!$C$4:$C$8,"Invalid",-1)</f>
        <v>Unknown</v>
      </c>
      <c r="J641" s="37">
        <v>1</v>
      </c>
      <c r="K641" s="37">
        <v>0</v>
      </c>
      <c r="L641" s="37">
        <f t="shared" si="38"/>
        <v>2</v>
      </c>
      <c r="M641" s="40" t="str">
        <f t="shared" si="36"/>
        <v>Not Survived</v>
      </c>
      <c r="N641" s="37" t="str">
        <f>_xlfn.XLOOKUP(L641,notes!$B$28:$B$30,notes!$C$28:$C$30,"Unknown",-1)</f>
        <v>Small Family</v>
      </c>
      <c r="O641" s="37">
        <v>376564</v>
      </c>
      <c r="P641" s="37">
        <v>16.1</v>
      </c>
      <c r="Q641" s="37" t="str">
        <f t="shared" si="39"/>
        <v>Mid</v>
      </c>
      <c r="R641" s="37" t="s">
        <v>1236</v>
      </c>
      <c r="S641" s="37" t="s">
        <v>15</v>
      </c>
      <c r="T641" s="41" t="str">
        <f t="shared" si="37"/>
        <v>Southampton</v>
      </c>
    </row>
    <row r="642" spans="1:20">
      <c r="A642" s="37">
        <v>641</v>
      </c>
      <c r="B642" s="37">
        <v>0</v>
      </c>
      <c r="C642" s="37">
        <v>3</v>
      </c>
      <c r="D642" s="37" t="s">
        <v>2336</v>
      </c>
      <c r="E642" s="37" t="s">
        <v>2337</v>
      </c>
      <c r="F642" s="37" t="s">
        <v>1235</v>
      </c>
      <c r="G642" s="37" t="str">
        <f>_xlfn.XLOOKUP(F642,notes!$B$12:$B$18,notes!$C$12:$C$18,"Unknown")</f>
        <v>Male</v>
      </c>
      <c r="H642" s="38">
        <v>20</v>
      </c>
      <c r="I642" s="39" t="str">
        <f>_xlfn.XLOOKUP(H642,notes!$B$4:$B$8,notes!$C$4:$C$8,"Invalid",-1)</f>
        <v>Adult</v>
      </c>
      <c r="J642" s="37">
        <v>0</v>
      </c>
      <c r="K642" s="37">
        <v>0</v>
      </c>
      <c r="L642" s="37">
        <f t="shared" si="38"/>
        <v>1</v>
      </c>
      <c r="M642" s="40" t="str">
        <f t="shared" ref="M642:M705" si="40">IF(B642=1,"Survived","Not Survived")</f>
        <v>Not Survived</v>
      </c>
      <c r="N642" s="37" t="str">
        <f>_xlfn.XLOOKUP(L642,notes!$B$28:$B$30,notes!$C$28:$C$30,"Unknown",-1)</f>
        <v>Alone</v>
      </c>
      <c r="O642" s="37">
        <v>350050</v>
      </c>
      <c r="P642" s="37">
        <v>7.8542</v>
      </c>
      <c r="Q642" s="37" t="str">
        <f t="shared" si="39"/>
        <v>Low</v>
      </c>
      <c r="R642" s="37" t="s">
        <v>1236</v>
      </c>
      <c r="S642" s="37" t="s">
        <v>15</v>
      </c>
      <c r="T642" s="41" t="str">
        <f t="shared" ref="T642:T705" si="41">IF(S642="Q","Queenstown",IF(S642="C","Cherbourg",IF(S642="S","Southampton","Unknown")))</f>
        <v>Southampton</v>
      </c>
    </row>
    <row r="643" spans="1:20">
      <c r="A643" s="37">
        <v>642</v>
      </c>
      <c r="B643" s="37">
        <v>1</v>
      </c>
      <c r="C643" s="37">
        <v>1</v>
      </c>
      <c r="D643" s="37" t="s">
        <v>2338</v>
      </c>
      <c r="E643" s="37" t="s">
        <v>2339</v>
      </c>
      <c r="F643" s="37" t="s">
        <v>2340</v>
      </c>
      <c r="G643" s="37" t="str">
        <f>_xlfn.XLOOKUP(F643,notes!$B$12:$B$18,notes!$C$12:$C$18,"Unknown")</f>
        <v>Unknown</v>
      </c>
      <c r="H643" s="38">
        <v>24</v>
      </c>
      <c r="I643" s="39" t="str">
        <f>_xlfn.XLOOKUP(H643,notes!$B$4:$B$8,notes!$C$4:$C$8,"Invalid",-1)</f>
        <v>Adult</v>
      </c>
      <c r="J643" s="37">
        <v>0</v>
      </c>
      <c r="K643" s="37">
        <v>0</v>
      </c>
      <c r="L643" s="37">
        <f t="shared" ref="L643:L706" si="42">(J643+K643)+1</f>
        <v>1</v>
      </c>
      <c r="M643" s="40" t="str">
        <f t="shared" si="40"/>
        <v>Survived</v>
      </c>
      <c r="N643" s="37" t="str">
        <f>_xlfn.XLOOKUP(L643,notes!$B$28:$B$30,notes!$C$28:$C$30,"Unknown",-1)</f>
        <v>Alone</v>
      </c>
      <c r="O643" s="37" t="s">
        <v>550</v>
      </c>
      <c r="P643" s="37">
        <v>69.3</v>
      </c>
      <c r="Q643" s="37" t="str">
        <f t="shared" ref="Q643:Q706" si="43">IF(P643&gt;=50,"High",IF(P643&gt;=10,"Mid",IF(P643&lt;10,"Low","invalid")))</f>
        <v>High</v>
      </c>
      <c r="R643" s="37" t="s">
        <v>551</v>
      </c>
      <c r="S643" s="37" t="s">
        <v>20</v>
      </c>
      <c r="T643" s="41" t="str">
        <f t="shared" si="41"/>
        <v>Cherbourg</v>
      </c>
    </row>
    <row r="644" spans="1:20">
      <c r="A644" s="37">
        <v>643</v>
      </c>
      <c r="B644" s="37">
        <v>0</v>
      </c>
      <c r="C644" s="37">
        <v>3</v>
      </c>
      <c r="D644" s="37" t="s">
        <v>1362</v>
      </c>
      <c r="E644" s="37" t="s">
        <v>2341</v>
      </c>
      <c r="F644" s="37" t="s">
        <v>1242</v>
      </c>
      <c r="G644" s="37" t="str">
        <f>_xlfn.XLOOKUP(F644,notes!$B$12:$B$18,notes!$C$12:$C$18,"Unknown")</f>
        <v>Female</v>
      </c>
      <c r="H644" s="38">
        <v>2</v>
      </c>
      <c r="I644" s="39" t="str">
        <f>_xlfn.XLOOKUP(H644,notes!$B$4:$B$8,notes!$C$4:$C$8,"Invalid",-1)</f>
        <v>Kid</v>
      </c>
      <c r="J644" s="37">
        <v>3</v>
      </c>
      <c r="K644" s="37">
        <v>2</v>
      </c>
      <c r="L644" s="37">
        <f t="shared" si="42"/>
        <v>6</v>
      </c>
      <c r="M644" s="40" t="str">
        <f t="shared" si="40"/>
        <v>Not Survived</v>
      </c>
      <c r="N644" s="37" t="str">
        <f>_xlfn.XLOOKUP(L644,notes!$B$28:$B$30,notes!$C$28:$C$30,"Unknown",-1)</f>
        <v>Large Family</v>
      </c>
      <c r="O644" s="37">
        <v>347088</v>
      </c>
      <c r="P644" s="37">
        <v>27.9</v>
      </c>
      <c r="Q644" s="37" t="str">
        <f t="shared" si="43"/>
        <v>Mid</v>
      </c>
      <c r="R644" s="37" t="s">
        <v>1236</v>
      </c>
      <c r="S644" s="37" t="s">
        <v>15</v>
      </c>
      <c r="T644" s="41" t="str">
        <f t="shared" si="41"/>
        <v>Southampton</v>
      </c>
    </row>
    <row r="645" spans="1:20">
      <c r="A645" s="37">
        <v>644</v>
      </c>
      <c r="B645" s="37">
        <v>1</v>
      </c>
      <c r="C645" s="37">
        <v>3</v>
      </c>
      <c r="D645" s="37" t="s">
        <v>2342</v>
      </c>
      <c r="E645" s="37" t="s">
        <v>2343</v>
      </c>
      <c r="F645" s="37" t="s">
        <v>1235</v>
      </c>
      <c r="G645" s="37" t="str">
        <f>_xlfn.XLOOKUP(F645,notes!$B$12:$B$18,notes!$C$12:$C$18,"Unknown")</f>
        <v>Male</v>
      </c>
      <c r="H645" s="38" t="s">
        <v>1236</v>
      </c>
      <c r="I645" s="39" t="str">
        <f>_xlfn.XLOOKUP(H645,notes!$B$4:$B$8,notes!$C$4:$C$8,"Invalid",-1)</f>
        <v>Unknown</v>
      </c>
      <c r="J645" s="37">
        <v>0</v>
      </c>
      <c r="K645" s="37">
        <v>0</v>
      </c>
      <c r="L645" s="37">
        <f t="shared" si="42"/>
        <v>1</v>
      </c>
      <c r="M645" s="40" t="str">
        <f t="shared" si="40"/>
        <v>Survived</v>
      </c>
      <c r="N645" s="37" t="str">
        <f>_xlfn.XLOOKUP(L645,notes!$B$28:$B$30,notes!$C$28:$C$30,"Unknown",-1)</f>
        <v>Alone</v>
      </c>
      <c r="O645" s="37">
        <v>1601</v>
      </c>
      <c r="P645" s="37">
        <v>56.4958</v>
      </c>
      <c r="Q645" s="37" t="str">
        <f t="shared" si="43"/>
        <v>High</v>
      </c>
      <c r="R645" s="37" t="s">
        <v>1236</v>
      </c>
      <c r="S645" s="37" t="s">
        <v>15</v>
      </c>
      <c r="T645" s="41" t="str">
        <f t="shared" si="41"/>
        <v>Southampton</v>
      </c>
    </row>
    <row r="646" spans="1:20">
      <c r="A646" s="37">
        <v>645</v>
      </c>
      <c r="B646" s="37">
        <v>1</v>
      </c>
      <c r="C646" s="37">
        <v>3</v>
      </c>
      <c r="D646" s="37" t="s">
        <v>2035</v>
      </c>
      <c r="E646" s="37" t="s">
        <v>2344</v>
      </c>
      <c r="F646" s="37" t="s">
        <v>1242</v>
      </c>
      <c r="G646" s="37" t="str">
        <f>_xlfn.XLOOKUP(F646,notes!$B$12:$B$18,notes!$C$12:$C$18,"Unknown")</f>
        <v>Female</v>
      </c>
      <c r="H646" s="38">
        <v>0.75</v>
      </c>
      <c r="I646" s="39" t="str">
        <f>_xlfn.XLOOKUP(H646,notes!$B$4:$B$8,notes!$C$4:$C$8,"Invalid",-1)</f>
        <v>Kid</v>
      </c>
      <c r="J646" s="37">
        <v>2</v>
      </c>
      <c r="K646" s="37">
        <v>1</v>
      </c>
      <c r="L646" s="37">
        <f t="shared" si="42"/>
        <v>4</v>
      </c>
      <c r="M646" s="40" t="str">
        <f t="shared" si="40"/>
        <v>Survived</v>
      </c>
      <c r="N646" s="37" t="str">
        <f>_xlfn.XLOOKUP(L646,notes!$B$28:$B$30,notes!$C$28:$C$30,"Unknown",-1)</f>
        <v>Large Family</v>
      </c>
      <c r="O646" s="37">
        <v>2666</v>
      </c>
      <c r="P646" s="37">
        <v>19.2583</v>
      </c>
      <c r="Q646" s="37" t="str">
        <f t="shared" si="43"/>
        <v>Mid</v>
      </c>
      <c r="R646" s="37" t="s">
        <v>1236</v>
      </c>
      <c r="S646" s="37" t="s">
        <v>20</v>
      </c>
      <c r="T646" s="41" t="str">
        <f t="shared" si="41"/>
        <v>Cherbourg</v>
      </c>
    </row>
    <row r="647" spans="1:20">
      <c r="A647" s="37">
        <v>646</v>
      </c>
      <c r="B647" s="37">
        <v>1</v>
      </c>
      <c r="C647" s="37">
        <v>1</v>
      </c>
      <c r="D647" s="37" t="s">
        <v>1340</v>
      </c>
      <c r="E647" s="37" t="s">
        <v>2345</v>
      </c>
      <c r="F647" s="37" t="s">
        <v>1235</v>
      </c>
      <c r="G647" s="37" t="str">
        <f>_xlfn.XLOOKUP(F647,notes!$B$12:$B$18,notes!$C$12:$C$18,"Unknown")</f>
        <v>Male</v>
      </c>
      <c r="H647" s="38">
        <v>48</v>
      </c>
      <c r="I647" s="39" t="str">
        <f>_xlfn.XLOOKUP(H647,notes!$B$4:$B$8,notes!$C$4:$C$8,"Invalid",-1)</f>
        <v>Adult</v>
      </c>
      <c r="J647" s="37">
        <v>1</v>
      </c>
      <c r="K647" s="37">
        <v>0</v>
      </c>
      <c r="L647" s="37">
        <f t="shared" si="42"/>
        <v>2</v>
      </c>
      <c r="M647" s="40" t="str">
        <f t="shared" si="40"/>
        <v>Survived</v>
      </c>
      <c r="N647" s="37" t="str">
        <f>_xlfn.XLOOKUP(L647,notes!$B$28:$B$30,notes!$C$28:$C$30,"Unknown",-1)</f>
        <v>Small Family</v>
      </c>
      <c r="O647" s="37" t="s">
        <v>93</v>
      </c>
      <c r="P647" s="37">
        <v>76.7292</v>
      </c>
      <c r="Q647" s="37" t="str">
        <f t="shared" si="43"/>
        <v>High</v>
      </c>
      <c r="R647" s="37" t="s">
        <v>94</v>
      </c>
      <c r="S647" s="37" t="s">
        <v>20</v>
      </c>
      <c r="T647" s="41" t="str">
        <f t="shared" si="41"/>
        <v>Cherbourg</v>
      </c>
    </row>
    <row r="648" spans="1:20">
      <c r="A648" s="37">
        <v>647</v>
      </c>
      <c r="B648" s="37">
        <v>0</v>
      </c>
      <c r="C648" s="37">
        <v>3</v>
      </c>
      <c r="D648" s="37" t="s">
        <v>2346</v>
      </c>
      <c r="E648" s="37" t="s">
        <v>2347</v>
      </c>
      <c r="F648" s="37" t="s">
        <v>1235</v>
      </c>
      <c r="G648" s="37" t="str">
        <f>_xlfn.XLOOKUP(F648,notes!$B$12:$B$18,notes!$C$12:$C$18,"Unknown")</f>
        <v>Male</v>
      </c>
      <c r="H648" s="38">
        <v>19</v>
      </c>
      <c r="I648" s="39" t="str">
        <f>_xlfn.XLOOKUP(H648,notes!$B$4:$B$8,notes!$C$4:$C$8,"Invalid",-1)</f>
        <v>Teenager</v>
      </c>
      <c r="J648" s="37">
        <v>0</v>
      </c>
      <c r="K648" s="37">
        <v>0</v>
      </c>
      <c r="L648" s="37">
        <f t="shared" si="42"/>
        <v>1</v>
      </c>
      <c r="M648" s="40" t="str">
        <f t="shared" si="40"/>
        <v>Not Survived</v>
      </c>
      <c r="N648" s="37" t="str">
        <f>_xlfn.XLOOKUP(L648,notes!$B$28:$B$30,notes!$C$28:$C$30,"Unknown",-1)</f>
        <v>Alone</v>
      </c>
      <c r="O648" s="37">
        <v>349231</v>
      </c>
      <c r="P648" s="37">
        <v>7.8958</v>
      </c>
      <c r="Q648" s="37" t="str">
        <f t="shared" si="43"/>
        <v>Low</v>
      </c>
      <c r="R648" s="37" t="s">
        <v>1236</v>
      </c>
      <c r="S648" s="37" t="s">
        <v>15</v>
      </c>
      <c r="T648" s="41" t="str">
        <f t="shared" si="41"/>
        <v>Southampton</v>
      </c>
    </row>
    <row r="649" spans="1:20">
      <c r="A649" s="37">
        <v>648</v>
      </c>
      <c r="B649" s="37">
        <v>1</v>
      </c>
      <c r="C649" s="37">
        <v>1</v>
      </c>
      <c r="D649" s="37" t="s">
        <v>2348</v>
      </c>
      <c r="E649" s="37" t="s">
        <v>2349</v>
      </c>
      <c r="F649" s="37" t="s">
        <v>2350</v>
      </c>
      <c r="G649" s="37" t="str">
        <f>_xlfn.XLOOKUP(F649,notes!$B$12:$B$18,notes!$C$12:$C$18,"Unknown")</f>
        <v>Male</v>
      </c>
      <c r="H649" s="38">
        <v>56</v>
      </c>
      <c r="I649" s="39" t="str">
        <f>_xlfn.XLOOKUP(H649,notes!$B$4:$B$8,notes!$C$4:$C$8,"Invalid",-1)</f>
        <v>Adult</v>
      </c>
      <c r="J649" s="37">
        <v>0</v>
      </c>
      <c r="K649" s="37">
        <v>0</v>
      </c>
      <c r="L649" s="37">
        <f t="shared" si="42"/>
        <v>1</v>
      </c>
      <c r="M649" s="40" t="str">
        <f t="shared" si="40"/>
        <v>Survived</v>
      </c>
      <c r="N649" s="37" t="str">
        <f>_xlfn.XLOOKUP(L649,notes!$B$28:$B$30,notes!$C$28:$C$30,"Unknown",-1)</f>
        <v>Alone</v>
      </c>
      <c r="O649" s="37">
        <v>13213</v>
      </c>
      <c r="P649" s="37">
        <v>35.5</v>
      </c>
      <c r="Q649" s="37" t="str">
        <f t="shared" si="43"/>
        <v>Mid</v>
      </c>
      <c r="R649" s="37" t="s">
        <v>915</v>
      </c>
      <c r="S649" s="37" t="s">
        <v>20</v>
      </c>
      <c r="T649" s="41" t="str">
        <f t="shared" si="41"/>
        <v>Cherbourg</v>
      </c>
    </row>
    <row r="650" spans="1:20">
      <c r="A650" s="37">
        <v>649</v>
      </c>
      <c r="B650" s="37">
        <v>0</v>
      </c>
      <c r="C650" s="37">
        <v>3</v>
      </c>
      <c r="D650" s="37" t="s">
        <v>2351</v>
      </c>
      <c r="E650" s="37" t="s">
        <v>2189</v>
      </c>
      <c r="F650" s="37" t="s">
        <v>1235</v>
      </c>
      <c r="G650" s="37" t="str">
        <f>_xlfn.XLOOKUP(F650,notes!$B$12:$B$18,notes!$C$12:$C$18,"Unknown")</f>
        <v>Male</v>
      </c>
      <c r="H650" s="38" t="s">
        <v>1236</v>
      </c>
      <c r="I650" s="39" t="str">
        <f>_xlfn.XLOOKUP(H650,notes!$B$4:$B$8,notes!$C$4:$C$8,"Invalid",-1)</f>
        <v>Unknown</v>
      </c>
      <c r="J650" s="37">
        <v>0</v>
      </c>
      <c r="K650" s="37">
        <v>0</v>
      </c>
      <c r="L650" s="37">
        <f t="shared" si="42"/>
        <v>1</v>
      </c>
      <c r="M650" s="40" t="str">
        <f t="shared" si="40"/>
        <v>Not Survived</v>
      </c>
      <c r="N650" s="37" t="str">
        <f>_xlfn.XLOOKUP(L650,notes!$B$28:$B$30,notes!$C$28:$C$30,"Unknown",-1)</f>
        <v>Alone</v>
      </c>
      <c r="O650" s="37" t="s">
        <v>917</v>
      </c>
      <c r="P650" s="37">
        <v>7.55</v>
      </c>
      <c r="Q650" s="37" t="str">
        <f t="shared" si="43"/>
        <v>Low</v>
      </c>
      <c r="R650" s="37" t="s">
        <v>1236</v>
      </c>
      <c r="S650" s="37" t="s">
        <v>15</v>
      </c>
      <c r="T650" s="41" t="str">
        <f t="shared" si="41"/>
        <v>Southampton</v>
      </c>
    </row>
    <row r="651" spans="1:20">
      <c r="A651" s="37">
        <v>650</v>
      </c>
      <c r="B651" s="37">
        <v>1</v>
      </c>
      <c r="C651" s="37">
        <v>3</v>
      </c>
      <c r="D651" s="37" t="s">
        <v>2112</v>
      </c>
      <c r="E651" s="37" t="s">
        <v>2352</v>
      </c>
      <c r="F651" s="37" t="s">
        <v>1242</v>
      </c>
      <c r="G651" s="37" t="str">
        <f>_xlfn.XLOOKUP(F651,notes!$B$12:$B$18,notes!$C$12:$C$18,"Unknown")</f>
        <v>Female</v>
      </c>
      <c r="H651" s="38">
        <v>23</v>
      </c>
      <c r="I651" s="39" t="str">
        <f>_xlfn.XLOOKUP(H651,notes!$B$4:$B$8,notes!$C$4:$C$8,"Invalid",-1)</f>
        <v>Adult</v>
      </c>
      <c r="J651" s="37">
        <v>0</v>
      </c>
      <c r="K651" s="37">
        <v>0</v>
      </c>
      <c r="L651" s="37">
        <f t="shared" si="42"/>
        <v>1</v>
      </c>
      <c r="M651" s="40" t="str">
        <f t="shared" si="40"/>
        <v>Survived</v>
      </c>
      <c r="N651" s="37" t="str">
        <f>_xlfn.XLOOKUP(L651,notes!$B$28:$B$30,notes!$C$28:$C$30,"Unknown",-1)</f>
        <v>Alone</v>
      </c>
      <c r="O651" s="37" t="s">
        <v>919</v>
      </c>
      <c r="P651" s="37">
        <v>7.55</v>
      </c>
      <c r="Q651" s="37" t="str">
        <f t="shared" si="43"/>
        <v>Low</v>
      </c>
      <c r="R651" s="37" t="s">
        <v>1236</v>
      </c>
      <c r="S651" s="37" t="s">
        <v>15</v>
      </c>
      <c r="T651" s="41" t="str">
        <f t="shared" si="41"/>
        <v>Southampton</v>
      </c>
    </row>
    <row r="652" spans="1:20">
      <c r="A652" s="37">
        <v>651</v>
      </c>
      <c r="B652" s="37">
        <v>0</v>
      </c>
      <c r="C652" s="37">
        <v>3</v>
      </c>
      <c r="D652" s="37" t="s">
        <v>2353</v>
      </c>
      <c r="E652" s="37" t="s">
        <v>2354</v>
      </c>
      <c r="F652" s="37" t="s">
        <v>1235</v>
      </c>
      <c r="G652" s="37" t="str">
        <f>_xlfn.XLOOKUP(F652,notes!$B$12:$B$18,notes!$C$12:$C$18,"Unknown")</f>
        <v>Male</v>
      </c>
      <c r="H652" s="38" t="s">
        <v>1236</v>
      </c>
      <c r="I652" s="39" t="str">
        <f>_xlfn.XLOOKUP(H652,notes!$B$4:$B$8,notes!$C$4:$C$8,"Invalid",-1)</f>
        <v>Unknown</v>
      </c>
      <c r="J652" s="37">
        <v>0</v>
      </c>
      <c r="K652" s="37">
        <v>0</v>
      </c>
      <c r="L652" s="37">
        <f t="shared" si="42"/>
        <v>1</v>
      </c>
      <c r="M652" s="40" t="str">
        <f t="shared" si="40"/>
        <v>Not Survived</v>
      </c>
      <c r="N652" s="37" t="str">
        <f>_xlfn.XLOOKUP(L652,notes!$B$28:$B$30,notes!$C$28:$C$30,"Unknown",-1)</f>
        <v>Alone</v>
      </c>
      <c r="O652" s="37">
        <v>349221</v>
      </c>
      <c r="P652" s="37">
        <v>7.8958</v>
      </c>
      <c r="Q652" s="37" t="str">
        <f t="shared" si="43"/>
        <v>Low</v>
      </c>
      <c r="R652" s="37" t="s">
        <v>1236</v>
      </c>
      <c r="S652" s="37" t="s">
        <v>15</v>
      </c>
      <c r="T652" s="41" t="str">
        <f t="shared" si="41"/>
        <v>Southampton</v>
      </c>
    </row>
    <row r="653" spans="1:20">
      <c r="A653" s="37">
        <v>652</v>
      </c>
      <c r="B653" s="37">
        <v>1</v>
      </c>
      <c r="C653" s="37">
        <v>2</v>
      </c>
      <c r="D653" s="37" t="s">
        <v>1428</v>
      </c>
      <c r="E653" s="37" t="s">
        <v>2355</v>
      </c>
      <c r="F653" s="37" t="s">
        <v>1242</v>
      </c>
      <c r="G653" s="37" t="str">
        <f>_xlfn.XLOOKUP(F653,notes!$B$12:$B$18,notes!$C$12:$C$18,"Unknown")</f>
        <v>Female</v>
      </c>
      <c r="H653" s="38">
        <v>18</v>
      </c>
      <c r="I653" s="39" t="str">
        <f>_xlfn.XLOOKUP(H653,notes!$B$4:$B$8,notes!$C$4:$C$8,"Invalid",-1)</f>
        <v>Teenager</v>
      </c>
      <c r="J653" s="37">
        <v>0</v>
      </c>
      <c r="K653" s="37">
        <v>1</v>
      </c>
      <c r="L653" s="37">
        <f t="shared" si="42"/>
        <v>2</v>
      </c>
      <c r="M653" s="40" t="str">
        <f t="shared" si="40"/>
        <v>Survived</v>
      </c>
      <c r="N653" s="37" t="str">
        <f>_xlfn.XLOOKUP(L653,notes!$B$28:$B$30,notes!$C$28:$C$30,"Unknown",-1)</f>
        <v>Small Family</v>
      </c>
      <c r="O653" s="37">
        <v>231919</v>
      </c>
      <c r="P653" s="37">
        <v>23</v>
      </c>
      <c r="Q653" s="37" t="str">
        <f t="shared" si="43"/>
        <v>Mid</v>
      </c>
      <c r="R653" s="37" t="s">
        <v>1236</v>
      </c>
      <c r="S653" s="37" t="s">
        <v>15</v>
      </c>
      <c r="T653" s="41" t="str">
        <f t="shared" si="41"/>
        <v>Southampton</v>
      </c>
    </row>
    <row r="654" spans="1:20">
      <c r="A654" s="37">
        <v>653</v>
      </c>
      <c r="B654" s="37">
        <v>0</v>
      </c>
      <c r="C654" s="37">
        <v>3</v>
      </c>
      <c r="D654" s="37" t="s">
        <v>2356</v>
      </c>
      <c r="E654" s="37" t="s">
        <v>2357</v>
      </c>
      <c r="F654" s="37" t="s">
        <v>1235</v>
      </c>
      <c r="G654" s="37" t="str">
        <f>_xlfn.XLOOKUP(F654,notes!$B$12:$B$18,notes!$C$12:$C$18,"Unknown")</f>
        <v>Male</v>
      </c>
      <c r="H654" s="38">
        <v>21</v>
      </c>
      <c r="I654" s="39" t="str">
        <f>_xlfn.XLOOKUP(H654,notes!$B$4:$B$8,notes!$C$4:$C$8,"Invalid",-1)</f>
        <v>Adult</v>
      </c>
      <c r="J654" s="37">
        <v>0</v>
      </c>
      <c r="K654" s="37">
        <v>0</v>
      </c>
      <c r="L654" s="37">
        <f t="shared" si="42"/>
        <v>1</v>
      </c>
      <c r="M654" s="40" t="str">
        <f t="shared" si="40"/>
        <v>Not Survived</v>
      </c>
      <c r="N654" s="37" t="str">
        <f>_xlfn.XLOOKUP(L654,notes!$B$28:$B$30,notes!$C$28:$C$30,"Unknown",-1)</f>
        <v>Alone</v>
      </c>
      <c r="O654" s="37">
        <v>8475</v>
      </c>
      <c r="P654" s="37">
        <v>8.4333</v>
      </c>
      <c r="Q654" s="37" t="str">
        <f t="shared" si="43"/>
        <v>Low</v>
      </c>
      <c r="R654" s="37" t="s">
        <v>1236</v>
      </c>
      <c r="S654" s="37" t="s">
        <v>15</v>
      </c>
      <c r="T654" s="41" t="str">
        <f t="shared" si="41"/>
        <v>Southampton</v>
      </c>
    </row>
    <row r="655" spans="1:20">
      <c r="A655" s="37">
        <v>654</v>
      </c>
      <c r="B655" s="37">
        <v>1</v>
      </c>
      <c r="C655" s="37">
        <v>3</v>
      </c>
      <c r="D655" s="37" t="s">
        <v>2358</v>
      </c>
      <c r="E655" s="37" t="s">
        <v>2359</v>
      </c>
      <c r="F655" s="37" t="s">
        <v>1242</v>
      </c>
      <c r="G655" s="37" t="str">
        <f>_xlfn.XLOOKUP(F655,notes!$B$12:$B$18,notes!$C$12:$C$18,"Unknown")</f>
        <v>Female</v>
      </c>
      <c r="H655" s="38" t="s">
        <v>1236</v>
      </c>
      <c r="I655" s="39" t="str">
        <f>_xlfn.XLOOKUP(H655,notes!$B$4:$B$8,notes!$C$4:$C$8,"Invalid",-1)</f>
        <v>Unknown</v>
      </c>
      <c r="J655" s="37">
        <v>0</v>
      </c>
      <c r="K655" s="37">
        <v>0</v>
      </c>
      <c r="L655" s="37">
        <f t="shared" si="42"/>
        <v>1</v>
      </c>
      <c r="M655" s="40" t="str">
        <f t="shared" si="40"/>
        <v>Survived</v>
      </c>
      <c r="N655" s="37" t="str">
        <f>_xlfn.XLOOKUP(L655,notes!$B$28:$B$30,notes!$C$28:$C$30,"Unknown",-1)</f>
        <v>Alone</v>
      </c>
      <c r="O655" s="37">
        <v>330919</v>
      </c>
      <c r="P655" s="37">
        <v>7.8292</v>
      </c>
      <c r="Q655" s="37" t="str">
        <f t="shared" si="43"/>
        <v>Low</v>
      </c>
      <c r="R655" s="37" t="s">
        <v>1236</v>
      </c>
      <c r="S655" s="37" t="s">
        <v>28</v>
      </c>
      <c r="T655" s="41" t="str">
        <f t="shared" si="41"/>
        <v>Queenstown</v>
      </c>
    </row>
    <row r="656" spans="1:20">
      <c r="A656" s="37">
        <v>655</v>
      </c>
      <c r="B656" s="37">
        <v>0</v>
      </c>
      <c r="C656" s="37">
        <v>3</v>
      </c>
      <c r="D656" s="37" t="s">
        <v>2360</v>
      </c>
      <c r="E656" s="37" t="s">
        <v>1745</v>
      </c>
      <c r="F656" s="37" t="s">
        <v>1242</v>
      </c>
      <c r="G656" s="37" t="str">
        <f>_xlfn.XLOOKUP(F656,notes!$B$12:$B$18,notes!$C$12:$C$18,"Unknown")</f>
        <v>Female</v>
      </c>
      <c r="H656" s="38">
        <v>18</v>
      </c>
      <c r="I656" s="39" t="str">
        <f>_xlfn.XLOOKUP(H656,notes!$B$4:$B$8,notes!$C$4:$C$8,"Invalid",-1)</f>
        <v>Teenager</v>
      </c>
      <c r="J656" s="37">
        <v>0</v>
      </c>
      <c r="K656" s="37">
        <v>0</v>
      </c>
      <c r="L656" s="37">
        <f t="shared" si="42"/>
        <v>1</v>
      </c>
      <c r="M656" s="40" t="str">
        <f t="shared" si="40"/>
        <v>Not Survived</v>
      </c>
      <c r="N656" s="37" t="str">
        <f>_xlfn.XLOOKUP(L656,notes!$B$28:$B$30,notes!$C$28:$C$30,"Unknown",-1)</f>
        <v>Alone</v>
      </c>
      <c r="O656" s="37">
        <v>365226</v>
      </c>
      <c r="P656" s="37">
        <v>6.75</v>
      </c>
      <c r="Q656" s="37" t="str">
        <f t="shared" si="43"/>
        <v>Low</v>
      </c>
      <c r="R656" s="37" t="s">
        <v>1236</v>
      </c>
      <c r="S656" s="37" t="s">
        <v>28</v>
      </c>
      <c r="T656" s="41" t="str">
        <f t="shared" si="41"/>
        <v>Queenstown</v>
      </c>
    </row>
    <row r="657" spans="1:20">
      <c r="A657" s="37">
        <v>656</v>
      </c>
      <c r="B657" s="37">
        <v>0</v>
      </c>
      <c r="C657" s="37">
        <v>2</v>
      </c>
      <c r="D657" s="37" t="s">
        <v>1468</v>
      </c>
      <c r="E657" s="37" t="s">
        <v>2361</v>
      </c>
      <c r="F657" s="37" t="s">
        <v>1235</v>
      </c>
      <c r="G657" s="37" t="str">
        <f>_xlfn.XLOOKUP(F657,notes!$B$12:$B$18,notes!$C$12:$C$18,"Unknown")</f>
        <v>Male</v>
      </c>
      <c r="H657" s="38">
        <v>24</v>
      </c>
      <c r="I657" s="39" t="str">
        <f>_xlfn.XLOOKUP(H657,notes!$B$4:$B$8,notes!$C$4:$C$8,"Invalid",-1)</f>
        <v>Adult</v>
      </c>
      <c r="J657" s="37">
        <v>2</v>
      </c>
      <c r="K657" s="37">
        <v>0</v>
      </c>
      <c r="L657" s="37">
        <f t="shared" si="42"/>
        <v>3</v>
      </c>
      <c r="M657" s="40" t="str">
        <f t="shared" si="40"/>
        <v>Not Survived</v>
      </c>
      <c r="N657" s="37" t="str">
        <f>_xlfn.XLOOKUP(L657,notes!$B$28:$B$30,notes!$C$28:$C$30,"Unknown",-1)</f>
        <v>Small Family</v>
      </c>
      <c r="O657" s="37" t="s">
        <v>127</v>
      </c>
      <c r="P657" s="37">
        <v>73.5</v>
      </c>
      <c r="Q657" s="37" t="str">
        <f t="shared" si="43"/>
        <v>High</v>
      </c>
      <c r="R657" s="37" t="s">
        <v>1236</v>
      </c>
      <c r="S657" s="37" t="s">
        <v>15</v>
      </c>
      <c r="T657" s="41" t="str">
        <f t="shared" si="41"/>
        <v>Southampton</v>
      </c>
    </row>
    <row r="658" spans="1:20">
      <c r="A658" s="37">
        <v>657</v>
      </c>
      <c r="B658" s="37">
        <v>0</v>
      </c>
      <c r="C658" s="37">
        <v>3</v>
      </c>
      <c r="D658" s="37" t="s">
        <v>2362</v>
      </c>
      <c r="E658" s="37" t="s">
        <v>1738</v>
      </c>
      <c r="F658" s="37" t="s">
        <v>1235</v>
      </c>
      <c r="G658" s="37" t="str">
        <f>_xlfn.XLOOKUP(F658,notes!$B$12:$B$18,notes!$C$12:$C$18,"Unknown")</f>
        <v>Male</v>
      </c>
      <c r="H658" s="38" t="s">
        <v>1236</v>
      </c>
      <c r="I658" s="39" t="str">
        <f>_xlfn.XLOOKUP(H658,notes!$B$4:$B$8,notes!$C$4:$C$8,"Invalid",-1)</f>
        <v>Unknown</v>
      </c>
      <c r="J658" s="37">
        <v>0</v>
      </c>
      <c r="K658" s="37">
        <v>0</v>
      </c>
      <c r="L658" s="37">
        <f t="shared" si="42"/>
        <v>1</v>
      </c>
      <c r="M658" s="40" t="str">
        <f t="shared" si="40"/>
        <v>Not Survived</v>
      </c>
      <c r="N658" s="37" t="str">
        <f>_xlfn.XLOOKUP(L658,notes!$B$28:$B$30,notes!$C$28:$C$30,"Unknown",-1)</f>
        <v>Alone</v>
      </c>
      <c r="O658" s="37">
        <v>349223</v>
      </c>
      <c r="P658" s="37">
        <v>7.8958</v>
      </c>
      <c r="Q658" s="37" t="str">
        <f t="shared" si="43"/>
        <v>Low</v>
      </c>
      <c r="R658" s="37" t="s">
        <v>1236</v>
      </c>
      <c r="S658" s="37" t="s">
        <v>15</v>
      </c>
      <c r="T658" s="41" t="str">
        <f t="shared" si="41"/>
        <v>Southampton</v>
      </c>
    </row>
    <row r="659" spans="1:20">
      <c r="A659" s="37">
        <v>658</v>
      </c>
      <c r="B659" s="37">
        <v>0</v>
      </c>
      <c r="C659" s="37">
        <v>3</v>
      </c>
      <c r="D659" s="37" t="s">
        <v>1591</v>
      </c>
      <c r="E659" s="37" t="s">
        <v>2363</v>
      </c>
      <c r="F659" s="37" t="s">
        <v>1239</v>
      </c>
      <c r="G659" s="37" t="str">
        <f>_xlfn.XLOOKUP(F659,notes!$B$12:$B$18,notes!$C$12:$C$18,"Unknown")</f>
        <v>Female</v>
      </c>
      <c r="H659" s="38">
        <v>32</v>
      </c>
      <c r="I659" s="39" t="str">
        <f>_xlfn.XLOOKUP(H659,notes!$B$4:$B$8,notes!$C$4:$C$8,"Invalid",-1)</f>
        <v>Adult</v>
      </c>
      <c r="J659" s="37">
        <v>1</v>
      </c>
      <c r="K659" s="37">
        <v>1</v>
      </c>
      <c r="L659" s="37">
        <f t="shared" si="42"/>
        <v>3</v>
      </c>
      <c r="M659" s="40" t="str">
        <f t="shared" si="40"/>
        <v>Not Survived</v>
      </c>
      <c r="N659" s="37" t="str">
        <f>_xlfn.XLOOKUP(L659,notes!$B$28:$B$30,notes!$C$28:$C$30,"Unknown",-1)</f>
        <v>Small Family</v>
      </c>
      <c r="O659" s="37">
        <v>364849</v>
      </c>
      <c r="P659" s="37">
        <v>15.5</v>
      </c>
      <c r="Q659" s="37" t="str">
        <f t="shared" si="43"/>
        <v>Mid</v>
      </c>
      <c r="R659" s="37" t="s">
        <v>1236</v>
      </c>
      <c r="S659" s="37" t="s">
        <v>28</v>
      </c>
      <c r="T659" s="41" t="str">
        <f t="shared" si="41"/>
        <v>Queenstown</v>
      </c>
    </row>
    <row r="660" spans="1:20">
      <c r="A660" s="37">
        <v>659</v>
      </c>
      <c r="B660" s="37">
        <v>0</v>
      </c>
      <c r="C660" s="37">
        <v>2</v>
      </c>
      <c r="D660" s="37" t="s">
        <v>2364</v>
      </c>
      <c r="E660" s="37" t="s">
        <v>2365</v>
      </c>
      <c r="F660" s="37" t="s">
        <v>1235</v>
      </c>
      <c r="G660" s="37" t="str">
        <f>_xlfn.XLOOKUP(F660,notes!$B$12:$B$18,notes!$C$12:$C$18,"Unknown")</f>
        <v>Male</v>
      </c>
      <c r="H660" s="38">
        <v>23</v>
      </c>
      <c r="I660" s="39" t="str">
        <f>_xlfn.XLOOKUP(H660,notes!$B$4:$B$8,notes!$C$4:$C$8,"Invalid",-1)</f>
        <v>Adult</v>
      </c>
      <c r="J660" s="37">
        <v>0</v>
      </c>
      <c r="K660" s="37">
        <v>0</v>
      </c>
      <c r="L660" s="37">
        <f t="shared" si="42"/>
        <v>1</v>
      </c>
      <c r="M660" s="40" t="str">
        <f t="shared" si="40"/>
        <v>Not Survived</v>
      </c>
      <c r="N660" s="37" t="str">
        <f>_xlfn.XLOOKUP(L660,notes!$B$28:$B$30,notes!$C$28:$C$30,"Unknown",-1)</f>
        <v>Alone</v>
      </c>
      <c r="O660" s="37">
        <v>29751</v>
      </c>
      <c r="P660" s="37">
        <v>13</v>
      </c>
      <c r="Q660" s="37" t="str">
        <f t="shared" si="43"/>
        <v>Mid</v>
      </c>
      <c r="R660" s="37" t="s">
        <v>1236</v>
      </c>
      <c r="S660" s="37" t="s">
        <v>15</v>
      </c>
      <c r="T660" s="41" t="str">
        <f t="shared" si="41"/>
        <v>Southampton</v>
      </c>
    </row>
    <row r="661" spans="1:20">
      <c r="A661" s="37">
        <v>660</v>
      </c>
      <c r="B661" s="37">
        <v>0</v>
      </c>
      <c r="C661" s="37">
        <v>1</v>
      </c>
      <c r="D661" s="37" t="s">
        <v>1641</v>
      </c>
      <c r="E661" s="37" t="s">
        <v>2366</v>
      </c>
      <c r="F661" s="37" t="s">
        <v>1235</v>
      </c>
      <c r="G661" s="37" t="str">
        <f>_xlfn.XLOOKUP(F661,notes!$B$12:$B$18,notes!$C$12:$C$18,"Unknown")</f>
        <v>Male</v>
      </c>
      <c r="H661" s="38">
        <v>58</v>
      </c>
      <c r="I661" s="39" t="str">
        <f>_xlfn.XLOOKUP(H661,notes!$B$4:$B$8,notes!$C$4:$C$8,"Invalid",-1)</f>
        <v>Adult</v>
      </c>
      <c r="J661" s="37">
        <v>0</v>
      </c>
      <c r="K661" s="37">
        <v>2</v>
      </c>
      <c r="L661" s="37">
        <f t="shared" si="42"/>
        <v>3</v>
      </c>
      <c r="M661" s="40" t="str">
        <f t="shared" si="40"/>
        <v>Not Survived</v>
      </c>
      <c r="N661" s="37" t="str">
        <f>_xlfn.XLOOKUP(L661,notes!$B$28:$B$30,notes!$C$28:$C$30,"Unknown",-1)</f>
        <v>Small Family</v>
      </c>
      <c r="O661" s="37">
        <v>35273</v>
      </c>
      <c r="P661" s="37">
        <v>113.275</v>
      </c>
      <c r="Q661" s="37" t="str">
        <f t="shared" si="43"/>
        <v>High</v>
      </c>
      <c r="R661" s="37" t="s">
        <v>930</v>
      </c>
      <c r="S661" s="37" t="s">
        <v>20</v>
      </c>
      <c r="T661" s="41" t="str">
        <f t="shared" si="41"/>
        <v>Cherbourg</v>
      </c>
    </row>
    <row r="662" spans="1:20">
      <c r="A662" s="37">
        <v>661</v>
      </c>
      <c r="B662" s="37">
        <v>1</v>
      </c>
      <c r="C662" s="37">
        <v>1</v>
      </c>
      <c r="D662" s="37" t="s">
        <v>1847</v>
      </c>
      <c r="E662" s="37" t="s">
        <v>2367</v>
      </c>
      <c r="F662" s="37" t="s">
        <v>1695</v>
      </c>
      <c r="G662" s="37" t="str">
        <f>_xlfn.XLOOKUP(F662,notes!$B$12:$B$18,notes!$C$12:$C$18,"Unknown")</f>
        <v>Male</v>
      </c>
      <c r="H662" s="38">
        <v>50</v>
      </c>
      <c r="I662" s="39" t="str">
        <f>_xlfn.XLOOKUP(H662,notes!$B$4:$B$8,notes!$C$4:$C$8,"Invalid",-1)</f>
        <v>Adult</v>
      </c>
      <c r="J662" s="37">
        <v>2</v>
      </c>
      <c r="K662" s="37">
        <v>0</v>
      </c>
      <c r="L662" s="37">
        <f t="shared" si="42"/>
        <v>3</v>
      </c>
      <c r="M662" s="40" t="str">
        <f t="shared" si="40"/>
        <v>Survived</v>
      </c>
      <c r="N662" s="37" t="str">
        <f>_xlfn.XLOOKUP(L662,notes!$B$28:$B$30,notes!$C$28:$C$30,"Unknown",-1)</f>
        <v>Small Family</v>
      </c>
      <c r="O662" s="37" t="s">
        <v>506</v>
      </c>
      <c r="P662" s="37">
        <v>133.65</v>
      </c>
      <c r="Q662" s="37" t="str">
        <f t="shared" si="43"/>
        <v>High</v>
      </c>
      <c r="R662" s="37" t="s">
        <v>1236</v>
      </c>
      <c r="S662" s="37" t="s">
        <v>15</v>
      </c>
      <c r="T662" s="41" t="str">
        <f t="shared" si="41"/>
        <v>Southampton</v>
      </c>
    </row>
    <row r="663" spans="1:20">
      <c r="A663" s="37">
        <v>662</v>
      </c>
      <c r="B663" s="37">
        <v>0</v>
      </c>
      <c r="C663" s="37">
        <v>3</v>
      </c>
      <c r="D663" s="37" t="s">
        <v>2368</v>
      </c>
      <c r="E663" s="37" t="s">
        <v>2369</v>
      </c>
      <c r="F663" s="37" t="s">
        <v>1235</v>
      </c>
      <c r="G663" s="37" t="str">
        <f>_xlfn.XLOOKUP(F663,notes!$B$12:$B$18,notes!$C$12:$C$18,"Unknown")</f>
        <v>Male</v>
      </c>
      <c r="H663" s="38">
        <v>40</v>
      </c>
      <c r="I663" s="39" t="str">
        <f>_xlfn.XLOOKUP(H663,notes!$B$4:$B$8,notes!$C$4:$C$8,"Invalid",-1)</f>
        <v>Adult</v>
      </c>
      <c r="J663" s="37">
        <v>0</v>
      </c>
      <c r="K663" s="37">
        <v>0</v>
      </c>
      <c r="L663" s="37">
        <f t="shared" si="42"/>
        <v>1</v>
      </c>
      <c r="M663" s="40" t="str">
        <f t="shared" si="40"/>
        <v>Not Survived</v>
      </c>
      <c r="N663" s="37" t="str">
        <f>_xlfn.XLOOKUP(L663,notes!$B$28:$B$30,notes!$C$28:$C$30,"Unknown",-1)</f>
        <v>Alone</v>
      </c>
      <c r="O663" s="37">
        <v>2623</v>
      </c>
      <c r="P663" s="37">
        <v>7.225</v>
      </c>
      <c r="Q663" s="37" t="str">
        <f t="shared" si="43"/>
        <v>Low</v>
      </c>
      <c r="R663" s="37" t="s">
        <v>1236</v>
      </c>
      <c r="S663" s="37" t="s">
        <v>20</v>
      </c>
      <c r="T663" s="41" t="str">
        <f t="shared" si="41"/>
        <v>Cherbourg</v>
      </c>
    </row>
    <row r="664" spans="1:20">
      <c r="A664" s="37">
        <v>663</v>
      </c>
      <c r="B664" s="37">
        <v>0</v>
      </c>
      <c r="C664" s="37">
        <v>1</v>
      </c>
      <c r="D664" s="37" t="s">
        <v>2370</v>
      </c>
      <c r="E664" s="37" t="s">
        <v>2371</v>
      </c>
      <c r="F664" s="37" t="s">
        <v>1235</v>
      </c>
      <c r="G664" s="37" t="str">
        <f>_xlfn.XLOOKUP(F664,notes!$B$12:$B$18,notes!$C$12:$C$18,"Unknown")</f>
        <v>Male</v>
      </c>
      <c r="H664" s="38">
        <v>47</v>
      </c>
      <c r="I664" s="39" t="str">
        <f>_xlfn.XLOOKUP(H664,notes!$B$4:$B$8,notes!$C$4:$C$8,"Invalid",-1)</f>
        <v>Adult</v>
      </c>
      <c r="J664" s="37">
        <v>0</v>
      </c>
      <c r="K664" s="37">
        <v>0</v>
      </c>
      <c r="L664" s="37">
        <f t="shared" si="42"/>
        <v>1</v>
      </c>
      <c r="M664" s="40" t="str">
        <f t="shared" si="40"/>
        <v>Not Survived</v>
      </c>
      <c r="N664" s="37" t="str">
        <f>_xlfn.XLOOKUP(L664,notes!$B$28:$B$30,notes!$C$28:$C$30,"Unknown",-1)</f>
        <v>Alone</v>
      </c>
      <c r="O664" s="37">
        <v>5727</v>
      </c>
      <c r="P664" s="37">
        <v>25.5875</v>
      </c>
      <c r="Q664" s="37" t="str">
        <f t="shared" si="43"/>
        <v>Mid</v>
      </c>
      <c r="R664" s="37" t="s">
        <v>934</v>
      </c>
      <c r="S664" s="37" t="s">
        <v>15</v>
      </c>
      <c r="T664" s="41" t="str">
        <f t="shared" si="41"/>
        <v>Southampton</v>
      </c>
    </row>
    <row r="665" spans="1:20">
      <c r="A665" s="37">
        <v>664</v>
      </c>
      <c r="B665" s="37">
        <v>0</v>
      </c>
      <c r="C665" s="37">
        <v>3</v>
      </c>
      <c r="D665" s="37" t="s">
        <v>2143</v>
      </c>
      <c r="E665" s="37" t="s">
        <v>2372</v>
      </c>
      <c r="F665" s="37" t="s">
        <v>1235</v>
      </c>
      <c r="G665" s="37" t="str">
        <f>_xlfn.XLOOKUP(F665,notes!$B$12:$B$18,notes!$C$12:$C$18,"Unknown")</f>
        <v>Male</v>
      </c>
      <c r="H665" s="38">
        <v>36</v>
      </c>
      <c r="I665" s="39" t="str">
        <f>_xlfn.XLOOKUP(H665,notes!$B$4:$B$8,notes!$C$4:$C$8,"Invalid",-1)</f>
        <v>Adult</v>
      </c>
      <c r="J665" s="37">
        <v>0</v>
      </c>
      <c r="K665" s="37">
        <v>0</v>
      </c>
      <c r="L665" s="37">
        <f t="shared" si="42"/>
        <v>1</v>
      </c>
      <c r="M665" s="40" t="str">
        <f t="shared" si="40"/>
        <v>Not Survived</v>
      </c>
      <c r="N665" s="37" t="str">
        <f>_xlfn.XLOOKUP(L665,notes!$B$28:$B$30,notes!$C$28:$C$30,"Unknown",-1)</f>
        <v>Alone</v>
      </c>
      <c r="O665" s="37">
        <v>349210</v>
      </c>
      <c r="P665" s="37">
        <v>7.4958</v>
      </c>
      <c r="Q665" s="37" t="str">
        <f t="shared" si="43"/>
        <v>Low</v>
      </c>
      <c r="R665" s="37" t="s">
        <v>1236</v>
      </c>
      <c r="S665" s="37" t="s">
        <v>15</v>
      </c>
      <c r="T665" s="41" t="str">
        <f t="shared" si="41"/>
        <v>Southampton</v>
      </c>
    </row>
    <row r="666" spans="1:20">
      <c r="A666" s="37">
        <v>665</v>
      </c>
      <c r="B666" s="37">
        <v>1</v>
      </c>
      <c r="C666" s="37">
        <v>3</v>
      </c>
      <c r="D666" s="37" t="s">
        <v>2373</v>
      </c>
      <c r="E666" s="37" t="s">
        <v>2374</v>
      </c>
      <c r="F666" s="37" t="s">
        <v>1235</v>
      </c>
      <c r="G666" s="37" t="str">
        <f>_xlfn.XLOOKUP(F666,notes!$B$12:$B$18,notes!$C$12:$C$18,"Unknown")</f>
        <v>Male</v>
      </c>
      <c r="H666" s="38">
        <v>20</v>
      </c>
      <c r="I666" s="39" t="str">
        <f>_xlfn.XLOOKUP(H666,notes!$B$4:$B$8,notes!$C$4:$C$8,"Invalid",-1)</f>
        <v>Adult</v>
      </c>
      <c r="J666" s="37">
        <v>1</v>
      </c>
      <c r="K666" s="37">
        <v>0</v>
      </c>
      <c r="L666" s="37">
        <f t="shared" si="42"/>
        <v>2</v>
      </c>
      <c r="M666" s="40" t="str">
        <f t="shared" si="40"/>
        <v>Survived</v>
      </c>
      <c r="N666" s="37" t="str">
        <f>_xlfn.XLOOKUP(L666,notes!$B$28:$B$30,notes!$C$28:$C$30,"Unknown",-1)</f>
        <v>Small Family</v>
      </c>
      <c r="O666" s="37" t="s">
        <v>937</v>
      </c>
      <c r="P666" s="37">
        <v>7.925</v>
      </c>
      <c r="Q666" s="37" t="str">
        <f t="shared" si="43"/>
        <v>Low</v>
      </c>
      <c r="R666" s="37" t="s">
        <v>1236</v>
      </c>
      <c r="S666" s="37" t="s">
        <v>15</v>
      </c>
      <c r="T666" s="41" t="str">
        <f t="shared" si="41"/>
        <v>Southampton</v>
      </c>
    </row>
    <row r="667" spans="1:20">
      <c r="A667" s="37">
        <v>666</v>
      </c>
      <c r="B667" s="37">
        <v>0</v>
      </c>
      <c r="C667" s="37">
        <v>2</v>
      </c>
      <c r="D667" s="37" t="s">
        <v>1468</v>
      </c>
      <c r="E667" s="37" t="s">
        <v>2375</v>
      </c>
      <c r="F667" s="37" t="s">
        <v>1235</v>
      </c>
      <c r="G667" s="37" t="str">
        <f>_xlfn.XLOOKUP(F667,notes!$B$12:$B$18,notes!$C$12:$C$18,"Unknown")</f>
        <v>Male</v>
      </c>
      <c r="H667" s="38">
        <v>32</v>
      </c>
      <c r="I667" s="39" t="str">
        <f>_xlfn.XLOOKUP(H667,notes!$B$4:$B$8,notes!$C$4:$C$8,"Invalid",-1)</f>
        <v>Adult</v>
      </c>
      <c r="J667" s="37">
        <v>2</v>
      </c>
      <c r="K667" s="37">
        <v>0</v>
      </c>
      <c r="L667" s="37">
        <f t="shared" si="42"/>
        <v>3</v>
      </c>
      <c r="M667" s="40" t="str">
        <f t="shared" si="40"/>
        <v>Not Survived</v>
      </c>
      <c r="N667" s="37" t="str">
        <f>_xlfn.XLOOKUP(L667,notes!$B$28:$B$30,notes!$C$28:$C$30,"Unknown",-1)</f>
        <v>Small Family</v>
      </c>
      <c r="O667" s="37" t="s">
        <v>127</v>
      </c>
      <c r="P667" s="37">
        <v>73.5</v>
      </c>
      <c r="Q667" s="37" t="str">
        <f t="shared" si="43"/>
        <v>High</v>
      </c>
      <c r="R667" s="37" t="s">
        <v>1236</v>
      </c>
      <c r="S667" s="37" t="s">
        <v>15</v>
      </c>
      <c r="T667" s="41" t="str">
        <f t="shared" si="41"/>
        <v>Southampton</v>
      </c>
    </row>
    <row r="668" spans="1:20">
      <c r="A668" s="37">
        <v>667</v>
      </c>
      <c r="B668" s="37">
        <v>0</v>
      </c>
      <c r="C668" s="37">
        <v>2</v>
      </c>
      <c r="D668" s="37" t="s">
        <v>2376</v>
      </c>
      <c r="E668" s="37" t="s">
        <v>2377</v>
      </c>
      <c r="F668" s="37" t="s">
        <v>1235</v>
      </c>
      <c r="G668" s="37" t="str">
        <f>_xlfn.XLOOKUP(F668,notes!$B$12:$B$18,notes!$C$12:$C$18,"Unknown")</f>
        <v>Male</v>
      </c>
      <c r="H668" s="38">
        <v>25</v>
      </c>
      <c r="I668" s="39" t="str">
        <f>_xlfn.XLOOKUP(H668,notes!$B$4:$B$8,notes!$C$4:$C$8,"Invalid",-1)</f>
        <v>Adult</v>
      </c>
      <c r="J668" s="37">
        <v>0</v>
      </c>
      <c r="K668" s="37">
        <v>0</v>
      </c>
      <c r="L668" s="37">
        <f t="shared" si="42"/>
        <v>1</v>
      </c>
      <c r="M668" s="40" t="str">
        <f t="shared" si="40"/>
        <v>Not Survived</v>
      </c>
      <c r="N668" s="37" t="str">
        <f>_xlfn.XLOOKUP(L668,notes!$B$28:$B$30,notes!$C$28:$C$30,"Unknown",-1)</f>
        <v>Alone</v>
      </c>
      <c r="O668" s="37">
        <v>234686</v>
      </c>
      <c r="P668" s="37">
        <v>13</v>
      </c>
      <c r="Q668" s="37" t="str">
        <f t="shared" si="43"/>
        <v>Mid</v>
      </c>
      <c r="R668" s="37" t="s">
        <v>1236</v>
      </c>
      <c r="S668" s="37" t="s">
        <v>15</v>
      </c>
      <c r="T668" s="41" t="str">
        <f t="shared" si="41"/>
        <v>Southampton</v>
      </c>
    </row>
    <row r="669" spans="1:20">
      <c r="A669" s="37">
        <v>668</v>
      </c>
      <c r="B669" s="37">
        <v>0</v>
      </c>
      <c r="C669" s="37">
        <v>3</v>
      </c>
      <c r="D669" s="37" t="s">
        <v>2378</v>
      </c>
      <c r="E669" s="37" t="s">
        <v>2379</v>
      </c>
      <c r="F669" s="37" t="s">
        <v>1235</v>
      </c>
      <c r="G669" s="37" t="str">
        <f>_xlfn.XLOOKUP(F669,notes!$B$12:$B$18,notes!$C$12:$C$18,"Unknown")</f>
        <v>Male</v>
      </c>
      <c r="H669" s="38" t="s">
        <v>1236</v>
      </c>
      <c r="I669" s="39" t="str">
        <f>_xlfn.XLOOKUP(H669,notes!$B$4:$B$8,notes!$C$4:$C$8,"Invalid",-1)</f>
        <v>Unknown</v>
      </c>
      <c r="J669" s="37">
        <v>0</v>
      </c>
      <c r="K669" s="37">
        <v>0</v>
      </c>
      <c r="L669" s="37">
        <f t="shared" si="42"/>
        <v>1</v>
      </c>
      <c r="M669" s="40" t="str">
        <f t="shared" si="40"/>
        <v>Not Survived</v>
      </c>
      <c r="N669" s="37" t="str">
        <f>_xlfn.XLOOKUP(L669,notes!$B$28:$B$30,notes!$C$28:$C$30,"Unknown",-1)</f>
        <v>Alone</v>
      </c>
      <c r="O669" s="37">
        <v>312993</v>
      </c>
      <c r="P669" s="37">
        <v>7.775</v>
      </c>
      <c r="Q669" s="37" t="str">
        <f t="shared" si="43"/>
        <v>Low</v>
      </c>
      <c r="R669" s="37" t="s">
        <v>1236</v>
      </c>
      <c r="S669" s="37" t="s">
        <v>15</v>
      </c>
      <c r="T669" s="41" t="str">
        <f t="shared" si="41"/>
        <v>Southampton</v>
      </c>
    </row>
    <row r="670" spans="1:20">
      <c r="A670" s="37">
        <v>669</v>
      </c>
      <c r="B670" s="37">
        <v>0</v>
      </c>
      <c r="C670" s="37">
        <v>3</v>
      </c>
      <c r="D670" s="37" t="s">
        <v>2380</v>
      </c>
      <c r="E670" s="37" t="s">
        <v>2381</v>
      </c>
      <c r="F670" s="37" t="s">
        <v>1235</v>
      </c>
      <c r="G670" s="37" t="str">
        <f>_xlfn.XLOOKUP(F670,notes!$B$12:$B$18,notes!$C$12:$C$18,"Unknown")</f>
        <v>Male</v>
      </c>
      <c r="H670" s="38">
        <v>43</v>
      </c>
      <c r="I670" s="39" t="str">
        <f>_xlfn.XLOOKUP(H670,notes!$B$4:$B$8,notes!$C$4:$C$8,"Invalid",-1)</f>
        <v>Adult</v>
      </c>
      <c r="J670" s="37">
        <v>0</v>
      </c>
      <c r="K670" s="37">
        <v>0</v>
      </c>
      <c r="L670" s="37">
        <f t="shared" si="42"/>
        <v>1</v>
      </c>
      <c r="M670" s="40" t="str">
        <f t="shared" si="40"/>
        <v>Not Survived</v>
      </c>
      <c r="N670" s="37" t="str">
        <f>_xlfn.XLOOKUP(L670,notes!$B$28:$B$30,notes!$C$28:$C$30,"Unknown",-1)</f>
        <v>Alone</v>
      </c>
      <c r="O670" s="37" t="s">
        <v>942</v>
      </c>
      <c r="P670" s="37">
        <v>8.05</v>
      </c>
      <c r="Q670" s="37" t="str">
        <f t="shared" si="43"/>
        <v>Low</v>
      </c>
      <c r="R670" s="37" t="s">
        <v>1236</v>
      </c>
      <c r="S670" s="37" t="s">
        <v>15</v>
      </c>
      <c r="T670" s="41" t="str">
        <f t="shared" si="41"/>
        <v>Southampton</v>
      </c>
    </row>
    <row r="671" spans="1:20">
      <c r="A671" s="37">
        <v>670</v>
      </c>
      <c r="B671" s="37">
        <v>1</v>
      </c>
      <c r="C671" s="37">
        <v>1</v>
      </c>
      <c r="D671" s="37" t="s">
        <v>2382</v>
      </c>
      <c r="E671" s="37" t="s">
        <v>2383</v>
      </c>
      <c r="F671" s="37" t="s">
        <v>1239</v>
      </c>
      <c r="G671" s="37" t="str">
        <f>_xlfn.XLOOKUP(F671,notes!$B$12:$B$18,notes!$C$12:$C$18,"Unknown")</f>
        <v>Female</v>
      </c>
      <c r="H671" s="38" t="s">
        <v>1236</v>
      </c>
      <c r="I671" s="39" t="str">
        <f>_xlfn.XLOOKUP(H671,notes!$B$4:$B$8,notes!$C$4:$C$8,"Invalid",-1)</f>
        <v>Unknown</v>
      </c>
      <c r="J671" s="37">
        <v>1</v>
      </c>
      <c r="K671" s="37">
        <v>0</v>
      </c>
      <c r="L671" s="37">
        <f t="shared" si="42"/>
        <v>2</v>
      </c>
      <c r="M671" s="40" t="str">
        <f t="shared" si="40"/>
        <v>Survived</v>
      </c>
      <c r="N671" s="37" t="str">
        <f>_xlfn.XLOOKUP(L671,notes!$B$28:$B$30,notes!$C$28:$C$30,"Unknown",-1)</f>
        <v>Small Family</v>
      </c>
      <c r="O671" s="37">
        <v>19996</v>
      </c>
      <c r="P671" s="37">
        <v>52</v>
      </c>
      <c r="Q671" s="37" t="str">
        <f t="shared" si="43"/>
        <v>High</v>
      </c>
      <c r="R671" s="37" t="s">
        <v>944</v>
      </c>
      <c r="S671" s="37" t="s">
        <v>15</v>
      </c>
      <c r="T671" s="41" t="str">
        <f t="shared" si="41"/>
        <v>Southampton</v>
      </c>
    </row>
    <row r="672" spans="1:20">
      <c r="A672" s="37">
        <v>671</v>
      </c>
      <c r="B672" s="37">
        <v>1</v>
      </c>
      <c r="C672" s="37">
        <v>2</v>
      </c>
      <c r="D672" s="37" t="s">
        <v>1602</v>
      </c>
      <c r="E672" s="37" t="s">
        <v>2384</v>
      </c>
      <c r="F672" s="37" t="s">
        <v>1239</v>
      </c>
      <c r="G672" s="37" t="str">
        <f>_xlfn.XLOOKUP(F672,notes!$B$12:$B$18,notes!$C$12:$C$18,"Unknown")</f>
        <v>Female</v>
      </c>
      <c r="H672" s="38">
        <v>40</v>
      </c>
      <c r="I672" s="39" t="str">
        <f>_xlfn.XLOOKUP(H672,notes!$B$4:$B$8,notes!$C$4:$C$8,"Invalid",-1)</f>
        <v>Adult</v>
      </c>
      <c r="J672" s="37">
        <v>1</v>
      </c>
      <c r="K672" s="37">
        <v>1</v>
      </c>
      <c r="L672" s="37">
        <f t="shared" si="42"/>
        <v>3</v>
      </c>
      <c r="M672" s="40" t="str">
        <f t="shared" si="40"/>
        <v>Survived</v>
      </c>
      <c r="N672" s="37" t="str">
        <f>_xlfn.XLOOKUP(L672,notes!$B$28:$B$30,notes!$C$28:$C$30,"Unknown",-1)</f>
        <v>Small Family</v>
      </c>
      <c r="O672" s="37">
        <v>29750</v>
      </c>
      <c r="P672" s="37">
        <v>39</v>
      </c>
      <c r="Q672" s="37" t="str">
        <f t="shared" si="43"/>
        <v>Mid</v>
      </c>
      <c r="R672" s="37" t="s">
        <v>1236</v>
      </c>
      <c r="S672" s="37" t="s">
        <v>15</v>
      </c>
      <c r="T672" s="41" t="str">
        <f t="shared" si="41"/>
        <v>Southampton</v>
      </c>
    </row>
    <row r="673" spans="1:20">
      <c r="A673" s="37">
        <v>672</v>
      </c>
      <c r="B673" s="37">
        <v>0</v>
      </c>
      <c r="C673" s="37">
        <v>1</v>
      </c>
      <c r="D673" s="37" t="s">
        <v>2385</v>
      </c>
      <c r="E673" s="37" t="s">
        <v>2386</v>
      </c>
      <c r="F673" s="37" t="s">
        <v>1235</v>
      </c>
      <c r="G673" s="37" t="str">
        <f>_xlfn.XLOOKUP(F673,notes!$B$12:$B$18,notes!$C$12:$C$18,"Unknown")</f>
        <v>Male</v>
      </c>
      <c r="H673" s="38">
        <v>31</v>
      </c>
      <c r="I673" s="39" t="str">
        <f>_xlfn.XLOOKUP(H673,notes!$B$4:$B$8,notes!$C$4:$C$8,"Invalid",-1)</f>
        <v>Adult</v>
      </c>
      <c r="J673" s="37">
        <v>1</v>
      </c>
      <c r="K673" s="37">
        <v>0</v>
      </c>
      <c r="L673" s="37">
        <f t="shared" si="42"/>
        <v>2</v>
      </c>
      <c r="M673" s="40" t="str">
        <f t="shared" si="40"/>
        <v>Not Survived</v>
      </c>
      <c r="N673" s="37" t="str">
        <f>_xlfn.XLOOKUP(L673,notes!$B$28:$B$30,notes!$C$28:$C$30,"Unknown",-1)</f>
        <v>Small Family</v>
      </c>
      <c r="O673" s="37" t="s">
        <v>947</v>
      </c>
      <c r="P673" s="37">
        <v>52</v>
      </c>
      <c r="Q673" s="37" t="str">
        <f t="shared" si="43"/>
        <v>High</v>
      </c>
      <c r="R673" s="37" t="s">
        <v>948</v>
      </c>
      <c r="S673" s="37" t="s">
        <v>15</v>
      </c>
      <c r="T673" s="41" t="str">
        <f t="shared" si="41"/>
        <v>Southampton</v>
      </c>
    </row>
    <row r="674" spans="1:20">
      <c r="A674" s="37">
        <v>673</v>
      </c>
      <c r="B674" s="37">
        <v>0</v>
      </c>
      <c r="C674" s="37">
        <v>2</v>
      </c>
      <c r="D674" s="37" t="s">
        <v>2387</v>
      </c>
      <c r="E674" s="37" t="s">
        <v>2388</v>
      </c>
      <c r="F674" s="37" t="s">
        <v>1235</v>
      </c>
      <c r="G674" s="37" t="str">
        <f>_xlfn.XLOOKUP(F674,notes!$B$12:$B$18,notes!$C$12:$C$18,"Unknown")</f>
        <v>Male</v>
      </c>
      <c r="H674" s="38">
        <v>70</v>
      </c>
      <c r="I674" s="39" t="str">
        <f>_xlfn.XLOOKUP(H674,notes!$B$4:$B$8,notes!$C$4:$C$8,"Invalid",-1)</f>
        <v>Elderly</v>
      </c>
      <c r="J674" s="37">
        <v>0</v>
      </c>
      <c r="K674" s="37">
        <v>0</v>
      </c>
      <c r="L674" s="37">
        <f t="shared" si="42"/>
        <v>1</v>
      </c>
      <c r="M674" s="40" t="str">
        <f t="shared" si="40"/>
        <v>Not Survived</v>
      </c>
      <c r="N674" s="37" t="str">
        <f>_xlfn.XLOOKUP(L674,notes!$B$28:$B$30,notes!$C$28:$C$30,"Unknown",-1)</f>
        <v>Alone</v>
      </c>
      <c r="O674" s="37" t="s">
        <v>950</v>
      </c>
      <c r="P674" s="37">
        <v>10.5</v>
      </c>
      <c r="Q674" s="37" t="str">
        <f t="shared" si="43"/>
        <v>Mid</v>
      </c>
      <c r="R674" s="37" t="s">
        <v>1236</v>
      </c>
      <c r="S674" s="37" t="s">
        <v>15</v>
      </c>
      <c r="T674" s="41" t="str">
        <f t="shared" si="41"/>
        <v>Southampton</v>
      </c>
    </row>
    <row r="675" spans="1:20">
      <c r="A675" s="37">
        <v>674</v>
      </c>
      <c r="B675" s="37">
        <v>1</v>
      </c>
      <c r="C675" s="37">
        <v>2</v>
      </c>
      <c r="D675" s="37" t="s">
        <v>2389</v>
      </c>
      <c r="E675" s="37" t="s">
        <v>2390</v>
      </c>
      <c r="F675" s="37" t="s">
        <v>1235</v>
      </c>
      <c r="G675" s="37" t="str">
        <f>_xlfn.XLOOKUP(F675,notes!$B$12:$B$18,notes!$C$12:$C$18,"Unknown")</f>
        <v>Male</v>
      </c>
      <c r="H675" s="38">
        <v>31</v>
      </c>
      <c r="I675" s="39" t="str">
        <f>_xlfn.XLOOKUP(H675,notes!$B$4:$B$8,notes!$C$4:$C$8,"Invalid",-1)</f>
        <v>Adult</v>
      </c>
      <c r="J675" s="37">
        <v>0</v>
      </c>
      <c r="K675" s="37">
        <v>0</v>
      </c>
      <c r="L675" s="37">
        <f t="shared" si="42"/>
        <v>1</v>
      </c>
      <c r="M675" s="40" t="str">
        <f t="shared" si="40"/>
        <v>Survived</v>
      </c>
      <c r="N675" s="37" t="str">
        <f>_xlfn.XLOOKUP(L675,notes!$B$28:$B$30,notes!$C$28:$C$30,"Unknown",-1)</f>
        <v>Alone</v>
      </c>
      <c r="O675" s="37">
        <v>244270</v>
      </c>
      <c r="P675" s="37">
        <v>13</v>
      </c>
      <c r="Q675" s="37" t="str">
        <f t="shared" si="43"/>
        <v>Mid</v>
      </c>
      <c r="R675" s="37" t="s">
        <v>1236</v>
      </c>
      <c r="S675" s="37" t="s">
        <v>15</v>
      </c>
      <c r="T675" s="41" t="str">
        <f t="shared" si="41"/>
        <v>Southampton</v>
      </c>
    </row>
    <row r="676" spans="1:20">
      <c r="A676" s="37">
        <v>675</v>
      </c>
      <c r="B676" s="37">
        <v>0</v>
      </c>
      <c r="C676" s="37">
        <v>2</v>
      </c>
      <c r="D676" s="37" t="s">
        <v>2391</v>
      </c>
      <c r="E676" s="37" t="s">
        <v>2392</v>
      </c>
      <c r="F676" s="37" t="s">
        <v>1235</v>
      </c>
      <c r="G676" s="37" t="str">
        <f>_xlfn.XLOOKUP(F676,notes!$B$12:$B$18,notes!$C$12:$C$18,"Unknown")</f>
        <v>Male</v>
      </c>
      <c r="H676" s="38" t="s">
        <v>1236</v>
      </c>
      <c r="I676" s="39" t="str">
        <f>_xlfn.XLOOKUP(H676,notes!$B$4:$B$8,notes!$C$4:$C$8,"Invalid",-1)</f>
        <v>Unknown</v>
      </c>
      <c r="J676" s="37">
        <v>0</v>
      </c>
      <c r="K676" s="37">
        <v>0</v>
      </c>
      <c r="L676" s="37">
        <f t="shared" si="42"/>
        <v>1</v>
      </c>
      <c r="M676" s="40" t="str">
        <f t="shared" si="40"/>
        <v>Not Survived</v>
      </c>
      <c r="N676" s="37" t="str">
        <f>_xlfn.XLOOKUP(L676,notes!$B$28:$B$30,notes!$C$28:$C$30,"Unknown",-1)</f>
        <v>Alone</v>
      </c>
      <c r="O676" s="37">
        <v>239856</v>
      </c>
      <c r="P676" s="37">
        <v>0</v>
      </c>
      <c r="Q676" s="37" t="str">
        <f t="shared" si="43"/>
        <v>Low</v>
      </c>
      <c r="R676" s="37" t="s">
        <v>1236</v>
      </c>
      <c r="S676" s="37" t="s">
        <v>15</v>
      </c>
      <c r="T676" s="41" t="str">
        <f t="shared" si="41"/>
        <v>Southampton</v>
      </c>
    </row>
    <row r="677" spans="1:20">
      <c r="A677" s="37">
        <v>676</v>
      </c>
      <c r="B677" s="37">
        <v>0</v>
      </c>
      <c r="C677" s="37">
        <v>3</v>
      </c>
      <c r="D677" s="37" t="s">
        <v>2393</v>
      </c>
      <c r="E677" s="37" t="s">
        <v>2394</v>
      </c>
      <c r="F677" s="37" t="s">
        <v>1235</v>
      </c>
      <c r="G677" s="37" t="str">
        <f>_xlfn.XLOOKUP(F677,notes!$B$12:$B$18,notes!$C$12:$C$18,"Unknown")</f>
        <v>Male</v>
      </c>
      <c r="H677" s="38">
        <v>18</v>
      </c>
      <c r="I677" s="39" t="str">
        <f>_xlfn.XLOOKUP(H677,notes!$B$4:$B$8,notes!$C$4:$C$8,"Invalid",-1)</f>
        <v>Teenager</v>
      </c>
      <c r="J677" s="37">
        <v>0</v>
      </c>
      <c r="K677" s="37">
        <v>0</v>
      </c>
      <c r="L677" s="37">
        <f t="shared" si="42"/>
        <v>1</v>
      </c>
      <c r="M677" s="40" t="str">
        <f t="shared" si="40"/>
        <v>Not Survived</v>
      </c>
      <c r="N677" s="37" t="str">
        <f>_xlfn.XLOOKUP(L677,notes!$B$28:$B$30,notes!$C$28:$C$30,"Unknown",-1)</f>
        <v>Alone</v>
      </c>
      <c r="O677" s="37">
        <v>349912</v>
      </c>
      <c r="P677" s="37">
        <v>7.775</v>
      </c>
      <c r="Q677" s="37" t="str">
        <f t="shared" si="43"/>
        <v>Low</v>
      </c>
      <c r="R677" s="37" t="s">
        <v>1236</v>
      </c>
      <c r="S677" s="37" t="s">
        <v>15</v>
      </c>
      <c r="T677" s="41" t="str">
        <f t="shared" si="41"/>
        <v>Southampton</v>
      </c>
    </row>
    <row r="678" spans="1:20">
      <c r="A678" s="37">
        <v>677</v>
      </c>
      <c r="B678" s="37">
        <v>0</v>
      </c>
      <c r="C678" s="37">
        <v>3</v>
      </c>
      <c r="D678" s="37" t="s">
        <v>2395</v>
      </c>
      <c r="E678" s="37" t="s">
        <v>2396</v>
      </c>
      <c r="F678" s="37" t="s">
        <v>1235</v>
      </c>
      <c r="G678" s="37" t="str">
        <f>_xlfn.XLOOKUP(F678,notes!$B$12:$B$18,notes!$C$12:$C$18,"Unknown")</f>
        <v>Male</v>
      </c>
      <c r="H678" s="38">
        <v>24.5</v>
      </c>
      <c r="I678" s="39" t="str">
        <f>_xlfn.XLOOKUP(H678,notes!$B$4:$B$8,notes!$C$4:$C$8,"Invalid",-1)</f>
        <v>Adult</v>
      </c>
      <c r="J678" s="37">
        <v>0</v>
      </c>
      <c r="K678" s="37">
        <v>0</v>
      </c>
      <c r="L678" s="37">
        <f t="shared" si="42"/>
        <v>1</v>
      </c>
      <c r="M678" s="40" t="str">
        <f t="shared" si="40"/>
        <v>Not Survived</v>
      </c>
      <c r="N678" s="37" t="str">
        <f>_xlfn.XLOOKUP(L678,notes!$B$28:$B$30,notes!$C$28:$C$30,"Unknown",-1)</f>
        <v>Alone</v>
      </c>
      <c r="O678" s="37">
        <v>342826</v>
      </c>
      <c r="P678" s="37">
        <v>8.05</v>
      </c>
      <c r="Q678" s="37" t="str">
        <f t="shared" si="43"/>
        <v>Low</v>
      </c>
      <c r="R678" s="37" t="s">
        <v>1236</v>
      </c>
      <c r="S678" s="37" t="s">
        <v>15</v>
      </c>
      <c r="T678" s="41" t="str">
        <f t="shared" si="41"/>
        <v>Southampton</v>
      </c>
    </row>
    <row r="679" spans="1:20">
      <c r="A679" s="37">
        <v>678</v>
      </c>
      <c r="B679" s="37">
        <v>1</v>
      </c>
      <c r="C679" s="37">
        <v>3</v>
      </c>
      <c r="D679" s="37" t="s">
        <v>2397</v>
      </c>
      <c r="E679" s="37" t="s">
        <v>1507</v>
      </c>
      <c r="F679" s="37" t="s">
        <v>1242</v>
      </c>
      <c r="G679" s="37" t="str">
        <f>_xlfn.XLOOKUP(F679,notes!$B$12:$B$18,notes!$C$12:$C$18,"Unknown")</f>
        <v>Female</v>
      </c>
      <c r="H679" s="38">
        <v>18</v>
      </c>
      <c r="I679" s="39" t="str">
        <f>_xlfn.XLOOKUP(H679,notes!$B$4:$B$8,notes!$C$4:$C$8,"Invalid",-1)</f>
        <v>Teenager</v>
      </c>
      <c r="J679" s="37">
        <v>0</v>
      </c>
      <c r="K679" s="37">
        <v>0</v>
      </c>
      <c r="L679" s="37">
        <f t="shared" si="42"/>
        <v>1</v>
      </c>
      <c r="M679" s="40" t="str">
        <f t="shared" si="40"/>
        <v>Survived</v>
      </c>
      <c r="N679" s="37" t="str">
        <f>_xlfn.XLOOKUP(L679,notes!$B$28:$B$30,notes!$C$28:$C$30,"Unknown",-1)</f>
        <v>Alone</v>
      </c>
      <c r="O679" s="37">
        <v>4138</v>
      </c>
      <c r="P679" s="37">
        <v>9.8417</v>
      </c>
      <c r="Q679" s="37" t="str">
        <f t="shared" si="43"/>
        <v>Low</v>
      </c>
      <c r="R679" s="37" t="s">
        <v>1236</v>
      </c>
      <c r="S679" s="37" t="s">
        <v>15</v>
      </c>
      <c r="T679" s="41" t="str">
        <f t="shared" si="41"/>
        <v>Southampton</v>
      </c>
    </row>
    <row r="680" spans="1:20">
      <c r="A680" s="37">
        <v>679</v>
      </c>
      <c r="B680" s="37">
        <v>0</v>
      </c>
      <c r="C680" s="37">
        <v>3</v>
      </c>
      <c r="D680" s="37" t="s">
        <v>1354</v>
      </c>
      <c r="E680" s="37" t="s">
        <v>2398</v>
      </c>
      <c r="F680" s="37" t="s">
        <v>1239</v>
      </c>
      <c r="G680" s="37" t="str">
        <f>_xlfn.XLOOKUP(F680,notes!$B$12:$B$18,notes!$C$12:$C$18,"Unknown")</f>
        <v>Female</v>
      </c>
      <c r="H680" s="38">
        <v>43</v>
      </c>
      <c r="I680" s="39" t="str">
        <f>_xlfn.XLOOKUP(H680,notes!$B$4:$B$8,notes!$C$4:$C$8,"Invalid",-1)</f>
        <v>Adult</v>
      </c>
      <c r="J680" s="37">
        <v>1</v>
      </c>
      <c r="K680" s="37">
        <v>6</v>
      </c>
      <c r="L680" s="37">
        <f t="shared" si="42"/>
        <v>8</v>
      </c>
      <c r="M680" s="40" t="str">
        <f t="shared" si="40"/>
        <v>Not Survived</v>
      </c>
      <c r="N680" s="37" t="str">
        <f>_xlfn.XLOOKUP(L680,notes!$B$28:$B$30,notes!$C$28:$C$30,"Unknown",-1)</f>
        <v>Large Family</v>
      </c>
      <c r="O680" s="37" t="s">
        <v>106</v>
      </c>
      <c r="P680" s="37">
        <v>46.9</v>
      </c>
      <c r="Q680" s="37" t="str">
        <f t="shared" si="43"/>
        <v>Mid</v>
      </c>
      <c r="R680" s="37" t="s">
        <v>1236</v>
      </c>
      <c r="S680" s="37" t="s">
        <v>15</v>
      </c>
      <c r="T680" s="41" t="str">
        <f t="shared" si="41"/>
        <v>Southampton</v>
      </c>
    </row>
    <row r="681" spans="1:20">
      <c r="A681" s="37">
        <v>680</v>
      </c>
      <c r="B681" s="37">
        <v>1</v>
      </c>
      <c r="C681" s="37">
        <v>1</v>
      </c>
      <c r="D681" s="37" t="s">
        <v>2399</v>
      </c>
      <c r="E681" s="37" t="s">
        <v>2400</v>
      </c>
      <c r="F681" s="37" t="s">
        <v>1235</v>
      </c>
      <c r="G681" s="37" t="str">
        <f>_xlfn.XLOOKUP(F681,notes!$B$12:$B$18,notes!$C$12:$C$18,"Unknown")</f>
        <v>Male</v>
      </c>
      <c r="H681" s="38">
        <v>36</v>
      </c>
      <c r="I681" s="39" t="str">
        <f>_xlfn.XLOOKUP(H681,notes!$B$4:$B$8,notes!$C$4:$C$8,"Invalid",-1)</f>
        <v>Adult</v>
      </c>
      <c r="J681" s="37">
        <v>0</v>
      </c>
      <c r="K681" s="37">
        <v>1</v>
      </c>
      <c r="L681" s="37">
        <f t="shared" si="42"/>
        <v>2</v>
      </c>
      <c r="M681" s="40" t="str">
        <f t="shared" si="40"/>
        <v>Survived</v>
      </c>
      <c r="N681" s="37" t="str">
        <f>_xlfn.XLOOKUP(L681,notes!$B$28:$B$30,notes!$C$28:$C$30,"Unknown",-1)</f>
        <v>Small Family</v>
      </c>
      <c r="O681" s="37" t="s">
        <v>393</v>
      </c>
      <c r="P681" s="37">
        <v>512.3292</v>
      </c>
      <c r="Q681" s="37" t="str">
        <f t="shared" si="43"/>
        <v>High</v>
      </c>
      <c r="R681" s="37" t="s">
        <v>958</v>
      </c>
      <c r="S681" s="37" t="s">
        <v>20</v>
      </c>
      <c r="T681" s="41" t="str">
        <f t="shared" si="41"/>
        <v>Cherbourg</v>
      </c>
    </row>
    <row r="682" spans="1:20">
      <c r="A682" s="37">
        <v>681</v>
      </c>
      <c r="B682" s="37">
        <v>0</v>
      </c>
      <c r="C682" s="37">
        <v>3</v>
      </c>
      <c r="D682" s="37" t="s">
        <v>2401</v>
      </c>
      <c r="E682" s="37" t="s">
        <v>2402</v>
      </c>
      <c r="F682" s="37" t="s">
        <v>1242</v>
      </c>
      <c r="G682" s="37" t="str">
        <f>_xlfn.XLOOKUP(F682,notes!$B$12:$B$18,notes!$C$12:$C$18,"Unknown")</f>
        <v>Female</v>
      </c>
      <c r="H682" s="38" t="s">
        <v>1236</v>
      </c>
      <c r="I682" s="39" t="str">
        <f>_xlfn.XLOOKUP(H682,notes!$B$4:$B$8,notes!$C$4:$C$8,"Invalid",-1)</f>
        <v>Unknown</v>
      </c>
      <c r="J682" s="37">
        <v>0</v>
      </c>
      <c r="K682" s="37">
        <v>0</v>
      </c>
      <c r="L682" s="37">
        <f t="shared" si="42"/>
        <v>1</v>
      </c>
      <c r="M682" s="40" t="str">
        <f t="shared" si="40"/>
        <v>Not Survived</v>
      </c>
      <c r="N682" s="37" t="str">
        <f>_xlfn.XLOOKUP(L682,notes!$B$28:$B$30,notes!$C$28:$C$30,"Unknown",-1)</f>
        <v>Alone</v>
      </c>
      <c r="O682" s="37">
        <v>330935</v>
      </c>
      <c r="P682" s="37">
        <v>8.1375</v>
      </c>
      <c r="Q682" s="37" t="str">
        <f t="shared" si="43"/>
        <v>Low</v>
      </c>
      <c r="R682" s="37" t="s">
        <v>1236</v>
      </c>
      <c r="S682" s="37" t="s">
        <v>28</v>
      </c>
      <c r="T682" s="41" t="str">
        <f t="shared" si="41"/>
        <v>Queenstown</v>
      </c>
    </row>
    <row r="683" spans="1:20">
      <c r="A683" s="37">
        <v>682</v>
      </c>
      <c r="B683" s="37">
        <v>1</v>
      </c>
      <c r="C683" s="37">
        <v>1</v>
      </c>
      <c r="D683" s="37" t="s">
        <v>2403</v>
      </c>
      <c r="E683" s="37" t="s">
        <v>2404</v>
      </c>
      <c r="F683" s="37" t="s">
        <v>1235</v>
      </c>
      <c r="G683" s="37" t="str">
        <f>_xlfn.XLOOKUP(F683,notes!$B$12:$B$18,notes!$C$12:$C$18,"Unknown")</f>
        <v>Male</v>
      </c>
      <c r="H683" s="38">
        <v>27</v>
      </c>
      <c r="I683" s="39" t="str">
        <f>_xlfn.XLOOKUP(H683,notes!$B$4:$B$8,notes!$C$4:$C$8,"Invalid",-1)</f>
        <v>Adult</v>
      </c>
      <c r="J683" s="37">
        <v>0</v>
      </c>
      <c r="K683" s="37">
        <v>0</v>
      </c>
      <c r="L683" s="37">
        <f t="shared" si="42"/>
        <v>1</v>
      </c>
      <c r="M683" s="40" t="str">
        <f t="shared" si="40"/>
        <v>Survived</v>
      </c>
      <c r="N683" s="37" t="str">
        <f>_xlfn.XLOOKUP(L683,notes!$B$28:$B$30,notes!$C$28:$C$30,"Unknown",-1)</f>
        <v>Alone</v>
      </c>
      <c r="O683" s="37" t="s">
        <v>93</v>
      </c>
      <c r="P683" s="37">
        <v>76.7292</v>
      </c>
      <c r="Q683" s="37" t="str">
        <f t="shared" si="43"/>
        <v>High</v>
      </c>
      <c r="R683" s="37" t="s">
        <v>961</v>
      </c>
      <c r="S683" s="37" t="s">
        <v>20</v>
      </c>
      <c r="T683" s="41" t="str">
        <f t="shared" si="41"/>
        <v>Cherbourg</v>
      </c>
    </row>
    <row r="684" spans="1:20">
      <c r="A684" s="37">
        <v>683</v>
      </c>
      <c r="B684" s="37">
        <v>0</v>
      </c>
      <c r="C684" s="37">
        <v>3</v>
      </c>
      <c r="D684" s="37" t="s">
        <v>2405</v>
      </c>
      <c r="E684" s="37" t="s">
        <v>2406</v>
      </c>
      <c r="F684" s="37" t="s">
        <v>1235</v>
      </c>
      <c r="G684" s="37" t="str">
        <f>_xlfn.XLOOKUP(F684,notes!$B$12:$B$18,notes!$C$12:$C$18,"Unknown")</f>
        <v>Male</v>
      </c>
      <c r="H684" s="38">
        <v>20</v>
      </c>
      <c r="I684" s="39" t="str">
        <f>_xlfn.XLOOKUP(H684,notes!$B$4:$B$8,notes!$C$4:$C$8,"Invalid",-1)</f>
        <v>Adult</v>
      </c>
      <c r="J684" s="37">
        <v>0</v>
      </c>
      <c r="K684" s="37">
        <v>0</v>
      </c>
      <c r="L684" s="37">
        <f t="shared" si="42"/>
        <v>1</v>
      </c>
      <c r="M684" s="40" t="str">
        <f t="shared" si="40"/>
        <v>Not Survived</v>
      </c>
      <c r="N684" s="37" t="str">
        <f>_xlfn.XLOOKUP(L684,notes!$B$28:$B$30,notes!$C$28:$C$30,"Unknown",-1)</f>
        <v>Alone</v>
      </c>
      <c r="O684" s="37">
        <v>6563</v>
      </c>
      <c r="P684" s="37">
        <v>9.225</v>
      </c>
      <c r="Q684" s="37" t="str">
        <f t="shared" si="43"/>
        <v>Low</v>
      </c>
      <c r="R684" s="37" t="s">
        <v>1236</v>
      </c>
      <c r="S684" s="37" t="s">
        <v>15</v>
      </c>
      <c r="T684" s="41" t="str">
        <f t="shared" si="41"/>
        <v>Southampton</v>
      </c>
    </row>
    <row r="685" spans="1:20">
      <c r="A685" s="37">
        <v>684</v>
      </c>
      <c r="B685" s="37">
        <v>0</v>
      </c>
      <c r="C685" s="37">
        <v>3</v>
      </c>
      <c r="D685" s="37" t="s">
        <v>1354</v>
      </c>
      <c r="E685" s="37" t="s">
        <v>2407</v>
      </c>
      <c r="F685" s="37" t="s">
        <v>1235</v>
      </c>
      <c r="G685" s="37" t="str">
        <f>_xlfn.XLOOKUP(F685,notes!$B$12:$B$18,notes!$C$12:$C$18,"Unknown")</f>
        <v>Male</v>
      </c>
      <c r="H685" s="38">
        <v>14</v>
      </c>
      <c r="I685" s="39" t="str">
        <f>_xlfn.XLOOKUP(H685,notes!$B$4:$B$8,notes!$C$4:$C$8,"Invalid",-1)</f>
        <v>Teenager</v>
      </c>
      <c r="J685" s="37">
        <v>5</v>
      </c>
      <c r="K685" s="37">
        <v>2</v>
      </c>
      <c r="L685" s="37">
        <f t="shared" si="42"/>
        <v>8</v>
      </c>
      <c r="M685" s="40" t="str">
        <f t="shared" si="40"/>
        <v>Not Survived</v>
      </c>
      <c r="N685" s="37" t="str">
        <f>_xlfn.XLOOKUP(L685,notes!$B$28:$B$30,notes!$C$28:$C$30,"Unknown",-1)</f>
        <v>Large Family</v>
      </c>
      <c r="O685" s="37" t="s">
        <v>106</v>
      </c>
      <c r="P685" s="37">
        <v>46.9</v>
      </c>
      <c r="Q685" s="37" t="str">
        <f t="shared" si="43"/>
        <v>Mid</v>
      </c>
      <c r="R685" s="37" t="s">
        <v>1236</v>
      </c>
      <c r="S685" s="37" t="s">
        <v>15</v>
      </c>
      <c r="T685" s="41" t="str">
        <f t="shared" si="41"/>
        <v>Southampton</v>
      </c>
    </row>
    <row r="686" spans="1:20">
      <c r="A686" s="37">
        <v>685</v>
      </c>
      <c r="B686" s="37">
        <v>0</v>
      </c>
      <c r="C686" s="37">
        <v>2</v>
      </c>
      <c r="D686" s="37" t="s">
        <v>1602</v>
      </c>
      <c r="E686" s="37" t="s">
        <v>2408</v>
      </c>
      <c r="F686" s="37" t="s">
        <v>1235</v>
      </c>
      <c r="G686" s="37" t="str">
        <f>_xlfn.XLOOKUP(F686,notes!$B$12:$B$18,notes!$C$12:$C$18,"Unknown")</f>
        <v>Male</v>
      </c>
      <c r="H686" s="38">
        <v>60</v>
      </c>
      <c r="I686" s="39" t="str">
        <f>_xlfn.XLOOKUP(H686,notes!$B$4:$B$8,notes!$C$4:$C$8,"Invalid",-1)</f>
        <v>Elderly</v>
      </c>
      <c r="J686" s="37">
        <v>1</v>
      </c>
      <c r="K686" s="37">
        <v>1</v>
      </c>
      <c r="L686" s="37">
        <f t="shared" si="42"/>
        <v>3</v>
      </c>
      <c r="M686" s="40" t="str">
        <f t="shared" si="40"/>
        <v>Not Survived</v>
      </c>
      <c r="N686" s="37" t="str">
        <f>_xlfn.XLOOKUP(L686,notes!$B$28:$B$30,notes!$C$28:$C$30,"Unknown",-1)</f>
        <v>Small Family</v>
      </c>
      <c r="O686" s="37">
        <v>29750</v>
      </c>
      <c r="P686" s="37">
        <v>39</v>
      </c>
      <c r="Q686" s="37" t="str">
        <f t="shared" si="43"/>
        <v>Mid</v>
      </c>
      <c r="R686" s="37" t="s">
        <v>1236</v>
      </c>
      <c r="S686" s="37" t="s">
        <v>15</v>
      </c>
      <c r="T686" s="41" t="str">
        <f t="shared" si="41"/>
        <v>Southampton</v>
      </c>
    </row>
    <row r="687" spans="1:20">
      <c r="A687" s="37">
        <v>686</v>
      </c>
      <c r="B687" s="37">
        <v>0</v>
      </c>
      <c r="C687" s="37">
        <v>2</v>
      </c>
      <c r="D687" s="37" t="s">
        <v>1322</v>
      </c>
      <c r="E687" s="37" t="s">
        <v>2409</v>
      </c>
      <c r="F687" s="37" t="s">
        <v>1235</v>
      </c>
      <c r="G687" s="37" t="str">
        <f>_xlfn.XLOOKUP(F687,notes!$B$12:$B$18,notes!$C$12:$C$18,"Unknown")</f>
        <v>Male</v>
      </c>
      <c r="H687" s="38">
        <v>25</v>
      </c>
      <c r="I687" s="39" t="str">
        <f>_xlfn.XLOOKUP(H687,notes!$B$4:$B$8,notes!$C$4:$C$8,"Invalid",-1)</f>
        <v>Adult</v>
      </c>
      <c r="J687" s="37">
        <v>1</v>
      </c>
      <c r="K687" s="37">
        <v>2</v>
      </c>
      <c r="L687" s="37">
        <f t="shared" si="42"/>
        <v>4</v>
      </c>
      <c r="M687" s="40" t="str">
        <f t="shared" si="40"/>
        <v>Not Survived</v>
      </c>
      <c r="N687" s="37" t="str">
        <f>_xlfn.XLOOKUP(L687,notes!$B$28:$B$30,notes!$C$28:$C$30,"Unknown",-1)</f>
        <v>Large Family</v>
      </c>
      <c r="O687" s="37" t="s">
        <v>81</v>
      </c>
      <c r="P687" s="37">
        <v>41.5792</v>
      </c>
      <c r="Q687" s="37" t="str">
        <f t="shared" si="43"/>
        <v>Mid</v>
      </c>
      <c r="R687" s="37" t="s">
        <v>1236</v>
      </c>
      <c r="S687" s="37" t="s">
        <v>20</v>
      </c>
      <c r="T687" s="41" t="str">
        <f t="shared" si="41"/>
        <v>Cherbourg</v>
      </c>
    </row>
    <row r="688" spans="1:20">
      <c r="A688" s="37">
        <v>687</v>
      </c>
      <c r="B688" s="37">
        <v>0</v>
      </c>
      <c r="C688" s="37">
        <v>3</v>
      </c>
      <c r="D688" s="37" t="s">
        <v>1336</v>
      </c>
      <c r="E688" s="37" t="s">
        <v>2410</v>
      </c>
      <c r="F688" s="37" t="s">
        <v>1235</v>
      </c>
      <c r="G688" s="37" t="str">
        <f>_xlfn.XLOOKUP(F688,notes!$B$12:$B$18,notes!$C$12:$C$18,"Unknown")</f>
        <v>Male</v>
      </c>
      <c r="H688" s="38">
        <v>14</v>
      </c>
      <c r="I688" s="39" t="str">
        <f>_xlfn.XLOOKUP(H688,notes!$B$4:$B$8,notes!$C$4:$C$8,"Invalid",-1)</f>
        <v>Teenager</v>
      </c>
      <c r="J688" s="37">
        <v>4</v>
      </c>
      <c r="K688" s="37">
        <v>1</v>
      </c>
      <c r="L688" s="37">
        <f t="shared" si="42"/>
        <v>6</v>
      </c>
      <c r="M688" s="40" t="str">
        <f t="shared" si="40"/>
        <v>Not Survived</v>
      </c>
      <c r="N688" s="37" t="str">
        <f>_xlfn.XLOOKUP(L688,notes!$B$28:$B$30,notes!$C$28:$C$30,"Unknown",-1)</f>
        <v>Large Family</v>
      </c>
      <c r="O688" s="37">
        <v>3101295</v>
      </c>
      <c r="P688" s="37">
        <v>39.6875</v>
      </c>
      <c r="Q688" s="37" t="str">
        <f t="shared" si="43"/>
        <v>Mid</v>
      </c>
      <c r="R688" s="37" t="s">
        <v>1236</v>
      </c>
      <c r="S688" s="37" t="s">
        <v>15</v>
      </c>
      <c r="T688" s="41" t="str">
        <f t="shared" si="41"/>
        <v>Southampton</v>
      </c>
    </row>
    <row r="689" spans="1:20">
      <c r="A689" s="37">
        <v>688</v>
      </c>
      <c r="B689" s="37">
        <v>0</v>
      </c>
      <c r="C689" s="37">
        <v>3</v>
      </c>
      <c r="D689" s="37" t="s">
        <v>2411</v>
      </c>
      <c r="E689" s="37" t="s">
        <v>2412</v>
      </c>
      <c r="F689" s="37" t="s">
        <v>1235</v>
      </c>
      <c r="G689" s="37" t="str">
        <f>_xlfn.XLOOKUP(F689,notes!$B$12:$B$18,notes!$C$12:$C$18,"Unknown")</f>
        <v>Male</v>
      </c>
      <c r="H689" s="38">
        <v>19</v>
      </c>
      <c r="I689" s="39" t="str">
        <f>_xlfn.XLOOKUP(H689,notes!$B$4:$B$8,notes!$C$4:$C$8,"Invalid",-1)</f>
        <v>Teenager</v>
      </c>
      <c r="J689" s="37">
        <v>0</v>
      </c>
      <c r="K689" s="37">
        <v>0</v>
      </c>
      <c r="L689" s="37">
        <f t="shared" si="42"/>
        <v>1</v>
      </c>
      <c r="M689" s="40" t="str">
        <f t="shared" si="40"/>
        <v>Not Survived</v>
      </c>
      <c r="N689" s="37" t="str">
        <f>_xlfn.XLOOKUP(L689,notes!$B$28:$B$30,notes!$C$28:$C$30,"Unknown",-1)</f>
        <v>Alone</v>
      </c>
      <c r="O689" s="37">
        <v>349228</v>
      </c>
      <c r="P689" s="37">
        <v>10.1708</v>
      </c>
      <c r="Q689" s="37" t="str">
        <f t="shared" si="43"/>
        <v>Mid</v>
      </c>
      <c r="R689" s="37" t="s">
        <v>1236</v>
      </c>
      <c r="S689" s="37" t="s">
        <v>15</v>
      </c>
      <c r="T689" s="41" t="str">
        <f t="shared" si="41"/>
        <v>Southampton</v>
      </c>
    </row>
    <row r="690" spans="1:20">
      <c r="A690" s="37">
        <v>689</v>
      </c>
      <c r="B690" s="37">
        <v>0</v>
      </c>
      <c r="C690" s="37">
        <v>3</v>
      </c>
      <c r="D690" s="37" t="s">
        <v>2413</v>
      </c>
      <c r="E690" s="37" t="s">
        <v>2414</v>
      </c>
      <c r="F690" s="37" t="s">
        <v>1235</v>
      </c>
      <c r="G690" s="37" t="str">
        <f>_xlfn.XLOOKUP(F690,notes!$B$12:$B$18,notes!$C$12:$C$18,"Unknown")</f>
        <v>Male</v>
      </c>
      <c r="H690" s="38">
        <v>18</v>
      </c>
      <c r="I690" s="39" t="str">
        <f>_xlfn.XLOOKUP(H690,notes!$B$4:$B$8,notes!$C$4:$C$8,"Invalid",-1)</f>
        <v>Teenager</v>
      </c>
      <c r="J690" s="37">
        <v>0</v>
      </c>
      <c r="K690" s="37">
        <v>0</v>
      </c>
      <c r="L690" s="37">
        <f t="shared" si="42"/>
        <v>1</v>
      </c>
      <c r="M690" s="40" t="str">
        <f t="shared" si="40"/>
        <v>Not Survived</v>
      </c>
      <c r="N690" s="37" t="str">
        <f>_xlfn.XLOOKUP(L690,notes!$B$28:$B$30,notes!$C$28:$C$30,"Unknown",-1)</f>
        <v>Alone</v>
      </c>
      <c r="O690" s="37">
        <v>350036</v>
      </c>
      <c r="P690" s="37">
        <v>7.7958</v>
      </c>
      <c r="Q690" s="37" t="str">
        <f t="shared" si="43"/>
        <v>Low</v>
      </c>
      <c r="R690" s="37" t="s">
        <v>1236</v>
      </c>
      <c r="S690" s="37" t="s">
        <v>15</v>
      </c>
      <c r="T690" s="41" t="str">
        <f t="shared" si="41"/>
        <v>Southampton</v>
      </c>
    </row>
    <row r="691" spans="1:20">
      <c r="A691" s="37">
        <v>690</v>
      </c>
      <c r="B691" s="37">
        <v>1</v>
      </c>
      <c r="C691" s="37">
        <v>1</v>
      </c>
      <c r="D691" s="37" t="s">
        <v>2415</v>
      </c>
      <c r="E691" s="37" t="s">
        <v>2416</v>
      </c>
      <c r="F691" s="37" t="s">
        <v>1242</v>
      </c>
      <c r="G691" s="37" t="str">
        <f>_xlfn.XLOOKUP(F691,notes!$B$12:$B$18,notes!$C$12:$C$18,"Unknown")</f>
        <v>Female</v>
      </c>
      <c r="H691" s="38">
        <v>15</v>
      </c>
      <c r="I691" s="39" t="str">
        <f>_xlfn.XLOOKUP(H691,notes!$B$4:$B$8,notes!$C$4:$C$8,"Invalid",-1)</f>
        <v>Teenager</v>
      </c>
      <c r="J691" s="37">
        <v>0</v>
      </c>
      <c r="K691" s="37">
        <v>1</v>
      </c>
      <c r="L691" s="37">
        <f t="shared" si="42"/>
        <v>2</v>
      </c>
      <c r="M691" s="40" t="str">
        <f t="shared" si="40"/>
        <v>Survived</v>
      </c>
      <c r="N691" s="37" t="str">
        <f>_xlfn.XLOOKUP(L691,notes!$B$28:$B$30,notes!$C$28:$C$30,"Unknown",-1)</f>
        <v>Small Family</v>
      </c>
      <c r="O691" s="37">
        <v>24160</v>
      </c>
      <c r="P691" s="37">
        <v>211.3375</v>
      </c>
      <c r="Q691" s="37" t="str">
        <f t="shared" si="43"/>
        <v>High</v>
      </c>
      <c r="R691" s="37" t="s">
        <v>970</v>
      </c>
      <c r="S691" s="37" t="s">
        <v>15</v>
      </c>
      <c r="T691" s="41" t="str">
        <f t="shared" si="41"/>
        <v>Southampton</v>
      </c>
    </row>
    <row r="692" spans="1:20">
      <c r="A692" s="37">
        <v>691</v>
      </c>
      <c r="B692" s="37">
        <v>1</v>
      </c>
      <c r="C692" s="37">
        <v>1</v>
      </c>
      <c r="D692" s="37" t="s">
        <v>2417</v>
      </c>
      <c r="E692" s="37" t="s">
        <v>2418</v>
      </c>
      <c r="F692" s="37" t="s">
        <v>1235</v>
      </c>
      <c r="G692" s="37" t="str">
        <f>_xlfn.XLOOKUP(F692,notes!$B$12:$B$18,notes!$C$12:$C$18,"Unknown")</f>
        <v>Male</v>
      </c>
      <c r="H692" s="38">
        <v>31</v>
      </c>
      <c r="I692" s="39" t="str">
        <f>_xlfn.XLOOKUP(H692,notes!$B$4:$B$8,notes!$C$4:$C$8,"Invalid",-1)</f>
        <v>Adult</v>
      </c>
      <c r="J692" s="37">
        <v>1</v>
      </c>
      <c r="K692" s="37">
        <v>0</v>
      </c>
      <c r="L692" s="37">
        <f t="shared" si="42"/>
        <v>2</v>
      </c>
      <c r="M692" s="40" t="str">
        <f t="shared" si="40"/>
        <v>Survived</v>
      </c>
      <c r="N692" s="37" t="str">
        <f>_xlfn.XLOOKUP(L692,notes!$B$28:$B$30,notes!$C$28:$C$30,"Unknown",-1)</f>
        <v>Small Family</v>
      </c>
      <c r="O692" s="37">
        <v>17474</v>
      </c>
      <c r="P692" s="37">
        <v>57</v>
      </c>
      <c r="Q692" s="37" t="str">
        <f t="shared" si="43"/>
        <v>High</v>
      </c>
      <c r="R692" s="37" t="s">
        <v>972</v>
      </c>
      <c r="S692" s="37" t="s">
        <v>15</v>
      </c>
      <c r="T692" s="41" t="str">
        <f t="shared" si="41"/>
        <v>Southampton</v>
      </c>
    </row>
    <row r="693" spans="1:20">
      <c r="A693" s="37">
        <v>692</v>
      </c>
      <c r="B693" s="37">
        <v>1</v>
      </c>
      <c r="C693" s="37">
        <v>3</v>
      </c>
      <c r="D693" s="37" t="s">
        <v>2419</v>
      </c>
      <c r="E693" s="37" t="s">
        <v>2420</v>
      </c>
      <c r="F693" s="37" t="s">
        <v>1242</v>
      </c>
      <c r="G693" s="37" t="str">
        <f>_xlfn.XLOOKUP(F693,notes!$B$12:$B$18,notes!$C$12:$C$18,"Unknown")</f>
        <v>Female</v>
      </c>
      <c r="H693" s="38">
        <v>4</v>
      </c>
      <c r="I693" s="39" t="str">
        <f>_xlfn.XLOOKUP(H693,notes!$B$4:$B$8,notes!$C$4:$C$8,"Invalid",-1)</f>
        <v>Kid</v>
      </c>
      <c r="J693" s="37">
        <v>0</v>
      </c>
      <c r="K693" s="37">
        <v>1</v>
      </c>
      <c r="L693" s="37">
        <f t="shared" si="42"/>
        <v>2</v>
      </c>
      <c r="M693" s="40" t="str">
        <f t="shared" si="40"/>
        <v>Survived</v>
      </c>
      <c r="N693" s="37" t="str">
        <f>_xlfn.XLOOKUP(L693,notes!$B$28:$B$30,notes!$C$28:$C$30,"Unknown",-1)</f>
        <v>Small Family</v>
      </c>
      <c r="O693" s="37">
        <v>349256</v>
      </c>
      <c r="P693" s="37">
        <v>13.4167</v>
      </c>
      <c r="Q693" s="37" t="str">
        <f t="shared" si="43"/>
        <v>Mid</v>
      </c>
      <c r="R693" s="37" t="s">
        <v>1236</v>
      </c>
      <c r="S693" s="37" t="s">
        <v>20</v>
      </c>
      <c r="T693" s="41" t="str">
        <f t="shared" si="41"/>
        <v>Cherbourg</v>
      </c>
    </row>
    <row r="694" spans="1:20">
      <c r="A694" s="37">
        <v>693</v>
      </c>
      <c r="B694" s="37">
        <v>1</v>
      </c>
      <c r="C694" s="37">
        <v>3</v>
      </c>
      <c r="D694" s="37" t="s">
        <v>2421</v>
      </c>
      <c r="E694" s="37" t="s">
        <v>2422</v>
      </c>
      <c r="F694" s="37" t="s">
        <v>1235</v>
      </c>
      <c r="G694" s="37" t="str">
        <f>_xlfn.XLOOKUP(F694,notes!$B$12:$B$18,notes!$C$12:$C$18,"Unknown")</f>
        <v>Male</v>
      </c>
      <c r="H694" s="38" t="s">
        <v>1236</v>
      </c>
      <c r="I694" s="39" t="str">
        <f>_xlfn.XLOOKUP(H694,notes!$B$4:$B$8,notes!$C$4:$C$8,"Invalid",-1)</f>
        <v>Unknown</v>
      </c>
      <c r="J694" s="37">
        <v>0</v>
      </c>
      <c r="K694" s="37">
        <v>0</v>
      </c>
      <c r="L694" s="37">
        <f t="shared" si="42"/>
        <v>1</v>
      </c>
      <c r="M694" s="40" t="str">
        <f t="shared" si="40"/>
        <v>Survived</v>
      </c>
      <c r="N694" s="37" t="str">
        <f>_xlfn.XLOOKUP(L694,notes!$B$28:$B$30,notes!$C$28:$C$30,"Unknown",-1)</f>
        <v>Alone</v>
      </c>
      <c r="O694" s="37">
        <v>1601</v>
      </c>
      <c r="P694" s="37">
        <v>56.4958</v>
      </c>
      <c r="Q694" s="37" t="str">
        <f t="shared" si="43"/>
        <v>High</v>
      </c>
      <c r="R694" s="37" t="s">
        <v>1236</v>
      </c>
      <c r="S694" s="37" t="s">
        <v>15</v>
      </c>
      <c r="T694" s="41" t="str">
        <f t="shared" si="41"/>
        <v>Southampton</v>
      </c>
    </row>
    <row r="695" spans="1:20">
      <c r="A695" s="37">
        <v>694</v>
      </c>
      <c r="B695" s="37">
        <v>0</v>
      </c>
      <c r="C695" s="37">
        <v>3</v>
      </c>
      <c r="D695" s="37" t="s">
        <v>2423</v>
      </c>
      <c r="E695" s="37" t="s">
        <v>2424</v>
      </c>
      <c r="F695" s="37" t="s">
        <v>1235</v>
      </c>
      <c r="G695" s="37" t="str">
        <f>_xlfn.XLOOKUP(F695,notes!$B$12:$B$18,notes!$C$12:$C$18,"Unknown")</f>
        <v>Male</v>
      </c>
      <c r="H695" s="38">
        <v>25</v>
      </c>
      <c r="I695" s="39" t="str">
        <f>_xlfn.XLOOKUP(H695,notes!$B$4:$B$8,notes!$C$4:$C$8,"Invalid",-1)</f>
        <v>Adult</v>
      </c>
      <c r="J695" s="37">
        <v>0</v>
      </c>
      <c r="K695" s="37">
        <v>0</v>
      </c>
      <c r="L695" s="37">
        <f t="shared" si="42"/>
        <v>1</v>
      </c>
      <c r="M695" s="40" t="str">
        <f t="shared" si="40"/>
        <v>Not Survived</v>
      </c>
      <c r="N695" s="37" t="str">
        <f>_xlfn.XLOOKUP(L695,notes!$B$28:$B$30,notes!$C$28:$C$30,"Unknown",-1)</f>
        <v>Alone</v>
      </c>
      <c r="O695" s="37">
        <v>2672</v>
      </c>
      <c r="P695" s="37">
        <v>7.225</v>
      </c>
      <c r="Q695" s="37" t="str">
        <f t="shared" si="43"/>
        <v>Low</v>
      </c>
      <c r="R695" s="37" t="s">
        <v>1236</v>
      </c>
      <c r="S695" s="37" t="s">
        <v>20</v>
      </c>
      <c r="T695" s="41" t="str">
        <f t="shared" si="41"/>
        <v>Cherbourg</v>
      </c>
    </row>
    <row r="696" spans="1:20">
      <c r="A696" s="37">
        <v>695</v>
      </c>
      <c r="B696" s="37">
        <v>0</v>
      </c>
      <c r="C696" s="37">
        <v>1</v>
      </c>
      <c r="D696" s="37" t="s">
        <v>2425</v>
      </c>
      <c r="E696" s="37" t="s">
        <v>1592</v>
      </c>
      <c r="F696" s="37" t="s">
        <v>2350</v>
      </c>
      <c r="G696" s="37" t="str">
        <f>_xlfn.XLOOKUP(F696,notes!$B$12:$B$18,notes!$C$12:$C$18,"Unknown")</f>
        <v>Male</v>
      </c>
      <c r="H696" s="38">
        <v>60</v>
      </c>
      <c r="I696" s="39" t="str">
        <f>_xlfn.XLOOKUP(H696,notes!$B$4:$B$8,notes!$C$4:$C$8,"Invalid",-1)</f>
        <v>Elderly</v>
      </c>
      <c r="J696" s="37">
        <v>0</v>
      </c>
      <c r="K696" s="37">
        <v>0</v>
      </c>
      <c r="L696" s="37">
        <f t="shared" si="42"/>
        <v>1</v>
      </c>
      <c r="M696" s="40" t="str">
        <f t="shared" si="40"/>
        <v>Not Survived</v>
      </c>
      <c r="N696" s="37" t="str">
        <f>_xlfn.XLOOKUP(L696,notes!$B$28:$B$30,notes!$C$28:$C$30,"Unknown",-1)</f>
        <v>Alone</v>
      </c>
      <c r="O696" s="37">
        <v>113800</v>
      </c>
      <c r="P696" s="37">
        <v>26.55</v>
      </c>
      <c r="Q696" s="37" t="str">
        <f t="shared" si="43"/>
        <v>Mid</v>
      </c>
      <c r="R696" s="37" t="s">
        <v>1236</v>
      </c>
      <c r="S696" s="37" t="s">
        <v>15</v>
      </c>
      <c r="T696" s="41" t="str">
        <f t="shared" si="41"/>
        <v>Southampton</v>
      </c>
    </row>
    <row r="697" spans="1:20">
      <c r="A697" s="37">
        <v>696</v>
      </c>
      <c r="B697" s="37">
        <v>0</v>
      </c>
      <c r="C697" s="37">
        <v>2</v>
      </c>
      <c r="D697" s="37" t="s">
        <v>2267</v>
      </c>
      <c r="E697" s="37" t="s">
        <v>1935</v>
      </c>
      <c r="F697" s="37" t="s">
        <v>1235</v>
      </c>
      <c r="G697" s="37" t="str">
        <f>_xlfn.XLOOKUP(F697,notes!$B$12:$B$18,notes!$C$12:$C$18,"Unknown")</f>
        <v>Male</v>
      </c>
      <c r="H697" s="38">
        <v>52</v>
      </c>
      <c r="I697" s="39" t="str">
        <f>_xlfn.XLOOKUP(H697,notes!$B$4:$B$8,notes!$C$4:$C$8,"Invalid",-1)</f>
        <v>Adult</v>
      </c>
      <c r="J697" s="37">
        <v>0</v>
      </c>
      <c r="K697" s="37">
        <v>0</v>
      </c>
      <c r="L697" s="37">
        <f t="shared" si="42"/>
        <v>1</v>
      </c>
      <c r="M697" s="40" t="str">
        <f t="shared" si="40"/>
        <v>Not Survived</v>
      </c>
      <c r="N697" s="37" t="str">
        <f>_xlfn.XLOOKUP(L697,notes!$B$28:$B$30,notes!$C$28:$C$30,"Unknown",-1)</f>
        <v>Alone</v>
      </c>
      <c r="O697" s="37">
        <v>248731</v>
      </c>
      <c r="P697" s="37">
        <v>13.5</v>
      </c>
      <c r="Q697" s="37" t="str">
        <f t="shared" si="43"/>
        <v>Mid</v>
      </c>
      <c r="R697" s="37" t="s">
        <v>1236</v>
      </c>
      <c r="S697" s="37" t="s">
        <v>15</v>
      </c>
      <c r="T697" s="41" t="str">
        <f t="shared" si="41"/>
        <v>Southampton</v>
      </c>
    </row>
    <row r="698" spans="1:20">
      <c r="A698" s="37">
        <v>697</v>
      </c>
      <c r="B698" s="37">
        <v>0</v>
      </c>
      <c r="C698" s="37">
        <v>3</v>
      </c>
      <c r="D698" s="37" t="s">
        <v>1790</v>
      </c>
      <c r="E698" s="37" t="s">
        <v>1248</v>
      </c>
      <c r="F698" s="37" t="s">
        <v>1235</v>
      </c>
      <c r="G698" s="37" t="str">
        <f>_xlfn.XLOOKUP(F698,notes!$B$12:$B$18,notes!$C$12:$C$18,"Unknown")</f>
        <v>Male</v>
      </c>
      <c r="H698" s="38">
        <v>44</v>
      </c>
      <c r="I698" s="39" t="str">
        <f>_xlfn.XLOOKUP(H698,notes!$B$4:$B$8,notes!$C$4:$C$8,"Invalid",-1)</f>
        <v>Adult</v>
      </c>
      <c r="J698" s="37">
        <v>0</v>
      </c>
      <c r="K698" s="37">
        <v>0</v>
      </c>
      <c r="L698" s="37">
        <f t="shared" si="42"/>
        <v>1</v>
      </c>
      <c r="M698" s="40" t="str">
        <f t="shared" si="40"/>
        <v>Not Survived</v>
      </c>
      <c r="N698" s="37" t="str">
        <f>_xlfn.XLOOKUP(L698,notes!$B$28:$B$30,notes!$C$28:$C$30,"Unknown",-1)</f>
        <v>Alone</v>
      </c>
      <c r="O698" s="37">
        <v>363592</v>
      </c>
      <c r="P698" s="37">
        <v>8.05</v>
      </c>
      <c r="Q698" s="37" t="str">
        <f t="shared" si="43"/>
        <v>Low</v>
      </c>
      <c r="R698" s="37" t="s">
        <v>1236</v>
      </c>
      <c r="S698" s="37" t="s">
        <v>15</v>
      </c>
      <c r="T698" s="41" t="str">
        <f t="shared" si="41"/>
        <v>Southampton</v>
      </c>
    </row>
    <row r="699" spans="1:20">
      <c r="A699" s="37">
        <v>698</v>
      </c>
      <c r="B699" s="37">
        <v>1</v>
      </c>
      <c r="C699" s="37">
        <v>3</v>
      </c>
      <c r="D699" s="37" t="s">
        <v>2426</v>
      </c>
      <c r="E699" s="37" t="s">
        <v>1535</v>
      </c>
      <c r="F699" s="37" t="s">
        <v>1242</v>
      </c>
      <c r="G699" s="37" t="str">
        <f>_xlfn.XLOOKUP(F699,notes!$B$12:$B$18,notes!$C$12:$C$18,"Unknown")</f>
        <v>Female</v>
      </c>
      <c r="H699" s="38" t="s">
        <v>1236</v>
      </c>
      <c r="I699" s="39" t="str">
        <f>_xlfn.XLOOKUP(H699,notes!$B$4:$B$8,notes!$C$4:$C$8,"Invalid",-1)</f>
        <v>Unknown</v>
      </c>
      <c r="J699" s="37">
        <v>0</v>
      </c>
      <c r="K699" s="37">
        <v>0</v>
      </c>
      <c r="L699" s="37">
        <f t="shared" si="42"/>
        <v>1</v>
      </c>
      <c r="M699" s="40" t="str">
        <f t="shared" si="40"/>
        <v>Survived</v>
      </c>
      <c r="N699" s="37" t="str">
        <f>_xlfn.XLOOKUP(L699,notes!$B$28:$B$30,notes!$C$28:$C$30,"Unknown",-1)</f>
        <v>Alone</v>
      </c>
      <c r="O699" s="37">
        <v>35852</v>
      </c>
      <c r="P699" s="37">
        <v>7.7333</v>
      </c>
      <c r="Q699" s="37" t="str">
        <f t="shared" si="43"/>
        <v>Low</v>
      </c>
      <c r="R699" s="37" t="s">
        <v>1236</v>
      </c>
      <c r="S699" s="37" t="s">
        <v>28</v>
      </c>
      <c r="T699" s="41" t="str">
        <f t="shared" si="41"/>
        <v>Queenstown</v>
      </c>
    </row>
    <row r="700" spans="1:20">
      <c r="A700" s="37">
        <v>699</v>
      </c>
      <c r="B700" s="37">
        <v>0</v>
      </c>
      <c r="C700" s="37">
        <v>1</v>
      </c>
      <c r="D700" s="37" t="s">
        <v>2199</v>
      </c>
      <c r="E700" s="37" t="s">
        <v>2427</v>
      </c>
      <c r="F700" s="37" t="s">
        <v>1235</v>
      </c>
      <c r="G700" s="37" t="str">
        <f>_xlfn.XLOOKUP(F700,notes!$B$12:$B$18,notes!$C$12:$C$18,"Unknown")</f>
        <v>Male</v>
      </c>
      <c r="H700" s="38">
        <v>49</v>
      </c>
      <c r="I700" s="39" t="str">
        <f>_xlfn.XLOOKUP(H700,notes!$B$4:$B$8,notes!$C$4:$C$8,"Invalid",-1)</f>
        <v>Adult</v>
      </c>
      <c r="J700" s="37">
        <v>1</v>
      </c>
      <c r="K700" s="37">
        <v>1</v>
      </c>
      <c r="L700" s="37">
        <f t="shared" si="42"/>
        <v>3</v>
      </c>
      <c r="M700" s="40" t="str">
        <f t="shared" si="40"/>
        <v>Not Survived</v>
      </c>
      <c r="N700" s="37" t="str">
        <f>_xlfn.XLOOKUP(L700,notes!$B$28:$B$30,notes!$C$28:$C$30,"Unknown",-1)</f>
        <v>Small Family</v>
      </c>
      <c r="O700" s="37">
        <v>17421</v>
      </c>
      <c r="P700" s="37">
        <v>110.8833</v>
      </c>
      <c r="Q700" s="37" t="str">
        <f t="shared" si="43"/>
        <v>High</v>
      </c>
      <c r="R700" s="37" t="s">
        <v>833</v>
      </c>
      <c r="S700" s="37" t="s">
        <v>20</v>
      </c>
      <c r="T700" s="41" t="str">
        <f t="shared" si="41"/>
        <v>Cherbourg</v>
      </c>
    </row>
    <row r="701" spans="1:20">
      <c r="A701" s="37">
        <v>700</v>
      </c>
      <c r="B701" s="37">
        <v>0</v>
      </c>
      <c r="C701" s="37">
        <v>3</v>
      </c>
      <c r="D701" s="37" t="s">
        <v>2428</v>
      </c>
      <c r="E701" s="37" t="s">
        <v>2429</v>
      </c>
      <c r="F701" s="37" t="s">
        <v>1235</v>
      </c>
      <c r="G701" s="37" t="str">
        <f>_xlfn.XLOOKUP(F701,notes!$B$12:$B$18,notes!$C$12:$C$18,"Unknown")</f>
        <v>Male</v>
      </c>
      <c r="H701" s="38">
        <v>42</v>
      </c>
      <c r="I701" s="39" t="str">
        <f>_xlfn.XLOOKUP(H701,notes!$B$4:$B$8,notes!$C$4:$C$8,"Invalid",-1)</f>
        <v>Adult</v>
      </c>
      <c r="J701" s="37">
        <v>0</v>
      </c>
      <c r="K701" s="37">
        <v>0</v>
      </c>
      <c r="L701" s="37">
        <f t="shared" si="42"/>
        <v>1</v>
      </c>
      <c r="M701" s="40" t="str">
        <f t="shared" si="40"/>
        <v>Not Survived</v>
      </c>
      <c r="N701" s="37" t="str">
        <f>_xlfn.XLOOKUP(L701,notes!$B$28:$B$30,notes!$C$28:$C$30,"Unknown",-1)</f>
        <v>Alone</v>
      </c>
      <c r="O701" s="37">
        <v>348121</v>
      </c>
      <c r="P701" s="37">
        <v>7.65</v>
      </c>
      <c r="Q701" s="37" t="str">
        <f t="shared" si="43"/>
        <v>Low</v>
      </c>
      <c r="R701" s="37" t="s">
        <v>982</v>
      </c>
      <c r="S701" s="37" t="s">
        <v>15</v>
      </c>
      <c r="T701" s="41" t="str">
        <f t="shared" si="41"/>
        <v>Southampton</v>
      </c>
    </row>
    <row r="702" spans="1:20">
      <c r="A702" s="37">
        <v>701</v>
      </c>
      <c r="B702" s="37">
        <v>1</v>
      </c>
      <c r="C702" s="37">
        <v>1</v>
      </c>
      <c r="D702" s="37" t="s">
        <v>2430</v>
      </c>
      <c r="E702" s="37" t="s">
        <v>2431</v>
      </c>
      <c r="F702" s="37" t="s">
        <v>1239</v>
      </c>
      <c r="G702" s="37" t="str">
        <f>_xlfn.XLOOKUP(F702,notes!$B$12:$B$18,notes!$C$12:$C$18,"Unknown")</f>
        <v>Female</v>
      </c>
      <c r="H702" s="38">
        <v>18</v>
      </c>
      <c r="I702" s="39" t="str">
        <f>_xlfn.XLOOKUP(H702,notes!$B$4:$B$8,notes!$C$4:$C$8,"Invalid",-1)</f>
        <v>Teenager</v>
      </c>
      <c r="J702" s="37">
        <v>1</v>
      </c>
      <c r="K702" s="37">
        <v>0</v>
      </c>
      <c r="L702" s="37">
        <f t="shared" si="42"/>
        <v>2</v>
      </c>
      <c r="M702" s="40" t="str">
        <f t="shared" si="40"/>
        <v>Survived</v>
      </c>
      <c r="N702" s="37" t="str">
        <f>_xlfn.XLOOKUP(L702,notes!$B$28:$B$30,notes!$C$28:$C$30,"Unknown",-1)</f>
        <v>Small Family</v>
      </c>
      <c r="O702" s="37" t="s">
        <v>566</v>
      </c>
      <c r="P702" s="37">
        <v>227.525</v>
      </c>
      <c r="Q702" s="37" t="str">
        <f t="shared" si="43"/>
        <v>High</v>
      </c>
      <c r="R702" s="37" t="s">
        <v>984</v>
      </c>
      <c r="S702" s="37" t="s">
        <v>20</v>
      </c>
      <c r="T702" s="41" t="str">
        <f t="shared" si="41"/>
        <v>Cherbourg</v>
      </c>
    </row>
    <row r="703" spans="1:20">
      <c r="A703" s="37">
        <v>702</v>
      </c>
      <c r="B703" s="37">
        <v>1</v>
      </c>
      <c r="C703" s="37">
        <v>1</v>
      </c>
      <c r="D703" s="37" t="s">
        <v>2432</v>
      </c>
      <c r="E703" s="37" t="s">
        <v>2433</v>
      </c>
      <c r="F703" s="37" t="s">
        <v>1235</v>
      </c>
      <c r="G703" s="37" t="str">
        <f>_xlfn.XLOOKUP(F703,notes!$B$12:$B$18,notes!$C$12:$C$18,"Unknown")</f>
        <v>Male</v>
      </c>
      <c r="H703" s="38">
        <v>35</v>
      </c>
      <c r="I703" s="39" t="str">
        <f>_xlfn.XLOOKUP(H703,notes!$B$4:$B$8,notes!$C$4:$C$8,"Invalid",-1)</f>
        <v>Adult</v>
      </c>
      <c r="J703" s="37">
        <v>0</v>
      </c>
      <c r="K703" s="37">
        <v>0</v>
      </c>
      <c r="L703" s="37">
        <f t="shared" si="42"/>
        <v>1</v>
      </c>
      <c r="M703" s="40" t="str">
        <f t="shared" si="40"/>
        <v>Survived</v>
      </c>
      <c r="N703" s="37" t="str">
        <f>_xlfn.XLOOKUP(L703,notes!$B$28:$B$30,notes!$C$28:$C$30,"Unknown",-1)</f>
        <v>Alone</v>
      </c>
      <c r="O703" s="37" t="s">
        <v>986</v>
      </c>
      <c r="P703" s="37">
        <v>26.2875</v>
      </c>
      <c r="Q703" s="37" t="str">
        <f t="shared" si="43"/>
        <v>Mid</v>
      </c>
      <c r="R703" s="37" t="s">
        <v>987</v>
      </c>
      <c r="S703" s="37" t="s">
        <v>15</v>
      </c>
      <c r="T703" s="41" t="str">
        <f t="shared" si="41"/>
        <v>Southampton</v>
      </c>
    </row>
    <row r="704" spans="1:20">
      <c r="A704" s="37">
        <v>703</v>
      </c>
      <c r="B704" s="37">
        <v>0</v>
      </c>
      <c r="C704" s="37">
        <v>3</v>
      </c>
      <c r="D704" s="37" t="s">
        <v>1896</v>
      </c>
      <c r="E704" s="37" t="s">
        <v>2434</v>
      </c>
      <c r="F704" s="37" t="s">
        <v>1242</v>
      </c>
      <c r="G704" s="37" t="str">
        <f>_xlfn.XLOOKUP(F704,notes!$B$12:$B$18,notes!$C$12:$C$18,"Unknown")</f>
        <v>Female</v>
      </c>
      <c r="H704" s="38">
        <v>18</v>
      </c>
      <c r="I704" s="39" t="str">
        <f>_xlfn.XLOOKUP(H704,notes!$B$4:$B$8,notes!$C$4:$C$8,"Invalid",-1)</f>
        <v>Teenager</v>
      </c>
      <c r="J704" s="37">
        <v>0</v>
      </c>
      <c r="K704" s="37">
        <v>1</v>
      </c>
      <c r="L704" s="37">
        <f t="shared" si="42"/>
        <v>2</v>
      </c>
      <c r="M704" s="40" t="str">
        <f t="shared" si="40"/>
        <v>Not Survived</v>
      </c>
      <c r="N704" s="37" t="str">
        <f>_xlfn.XLOOKUP(L704,notes!$B$28:$B$30,notes!$C$28:$C$30,"Unknown",-1)</f>
        <v>Small Family</v>
      </c>
      <c r="O704" s="37">
        <v>2691</v>
      </c>
      <c r="P704" s="37">
        <v>14.4542</v>
      </c>
      <c r="Q704" s="37" t="str">
        <f t="shared" si="43"/>
        <v>Mid</v>
      </c>
      <c r="R704" s="37" t="s">
        <v>1236</v>
      </c>
      <c r="S704" s="37" t="s">
        <v>20</v>
      </c>
      <c r="T704" s="41" t="str">
        <f t="shared" si="41"/>
        <v>Cherbourg</v>
      </c>
    </row>
    <row r="705" spans="1:20">
      <c r="A705" s="37">
        <v>704</v>
      </c>
      <c r="B705" s="37">
        <v>0</v>
      </c>
      <c r="C705" s="37">
        <v>3</v>
      </c>
      <c r="D705" s="37" t="s">
        <v>2435</v>
      </c>
      <c r="E705" s="37" t="s">
        <v>1478</v>
      </c>
      <c r="F705" s="37" t="s">
        <v>1235</v>
      </c>
      <c r="G705" s="37" t="str">
        <f>_xlfn.XLOOKUP(F705,notes!$B$12:$B$18,notes!$C$12:$C$18,"Unknown")</f>
        <v>Male</v>
      </c>
      <c r="H705" s="38">
        <v>25</v>
      </c>
      <c r="I705" s="39" t="str">
        <f>_xlfn.XLOOKUP(H705,notes!$B$4:$B$8,notes!$C$4:$C$8,"Invalid",-1)</f>
        <v>Adult</v>
      </c>
      <c r="J705" s="37">
        <v>0</v>
      </c>
      <c r="K705" s="37">
        <v>0</v>
      </c>
      <c r="L705" s="37">
        <f t="shared" si="42"/>
        <v>1</v>
      </c>
      <c r="M705" s="40" t="str">
        <f t="shared" si="40"/>
        <v>Not Survived</v>
      </c>
      <c r="N705" s="37" t="str">
        <f>_xlfn.XLOOKUP(L705,notes!$B$28:$B$30,notes!$C$28:$C$30,"Unknown",-1)</f>
        <v>Alone</v>
      </c>
      <c r="O705" s="37">
        <v>36864</v>
      </c>
      <c r="P705" s="37">
        <v>7.7417</v>
      </c>
      <c r="Q705" s="37" t="str">
        <f t="shared" si="43"/>
        <v>Low</v>
      </c>
      <c r="R705" s="37" t="s">
        <v>1236</v>
      </c>
      <c r="S705" s="37" t="s">
        <v>28</v>
      </c>
      <c r="T705" s="41" t="str">
        <f t="shared" si="41"/>
        <v>Queenstown</v>
      </c>
    </row>
    <row r="706" spans="1:20">
      <c r="A706" s="37">
        <v>705</v>
      </c>
      <c r="B706" s="37">
        <v>0</v>
      </c>
      <c r="C706" s="37">
        <v>3</v>
      </c>
      <c r="D706" s="37" t="s">
        <v>2308</v>
      </c>
      <c r="E706" s="37" t="s">
        <v>2436</v>
      </c>
      <c r="F706" s="37" t="s">
        <v>1235</v>
      </c>
      <c r="G706" s="37" t="str">
        <f>_xlfn.XLOOKUP(F706,notes!$B$12:$B$18,notes!$C$12:$C$18,"Unknown")</f>
        <v>Male</v>
      </c>
      <c r="H706" s="38">
        <v>26</v>
      </c>
      <c r="I706" s="39" t="str">
        <f>_xlfn.XLOOKUP(H706,notes!$B$4:$B$8,notes!$C$4:$C$8,"Invalid",-1)</f>
        <v>Adult</v>
      </c>
      <c r="J706" s="37">
        <v>1</v>
      </c>
      <c r="K706" s="37">
        <v>0</v>
      </c>
      <c r="L706" s="37">
        <f t="shared" si="42"/>
        <v>2</v>
      </c>
      <c r="M706" s="40" t="str">
        <f t="shared" ref="M706:M769" si="44">IF(B706=1,"Survived","Not Survived")</f>
        <v>Not Survived</v>
      </c>
      <c r="N706" s="37" t="str">
        <f>_xlfn.XLOOKUP(L706,notes!$B$28:$B$30,notes!$C$28:$C$30,"Unknown",-1)</f>
        <v>Small Family</v>
      </c>
      <c r="O706" s="37">
        <v>350025</v>
      </c>
      <c r="P706" s="37">
        <v>7.8542</v>
      </c>
      <c r="Q706" s="37" t="str">
        <f t="shared" si="43"/>
        <v>Low</v>
      </c>
      <c r="R706" s="37" t="s">
        <v>1236</v>
      </c>
      <c r="S706" s="37" t="s">
        <v>15</v>
      </c>
      <c r="T706" s="41" t="str">
        <f t="shared" ref="T706:T769" si="45">IF(S706="Q","Queenstown",IF(S706="C","Cherbourg",IF(S706="S","Southampton","Unknown")))</f>
        <v>Southampton</v>
      </c>
    </row>
    <row r="707" spans="1:20">
      <c r="A707" s="37">
        <v>706</v>
      </c>
      <c r="B707" s="37">
        <v>0</v>
      </c>
      <c r="C707" s="37">
        <v>2</v>
      </c>
      <c r="D707" s="37" t="s">
        <v>2059</v>
      </c>
      <c r="E707" s="37" t="s">
        <v>2437</v>
      </c>
      <c r="F707" s="37" t="s">
        <v>1235</v>
      </c>
      <c r="G707" s="37" t="str">
        <f>_xlfn.XLOOKUP(F707,notes!$B$12:$B$18,notes!$C$12:$C$18,"Unknown")</f>
        <v>Male</v>
      </c>
      <c r="H707" s="38">
        <v>39</v>
      </c>
      <c r="I707" s="39" t="str">
        <f>_xlfn.XLOOKUP(H707,notes!$B$4:$B$8,notes!$C$4:$C$8,"Invalid",-1)</f>
        <v>Adult</v>
      </c>
      <c r="J707" s="37">
        <v>0</v>
      </c>
      <c r="K707" s="37">
        <v>0</v>
      </c>
      <c r="L707" s="37">
        <f t="shared" ref="L707:L770" si="46">(J707+K707)+1</f>
        <v>1</v>
      </c>
      <c r="M707" s="40" t="str">
        <f t="shared" si="44"/>
        <v>Not Survived</v>
      </c>
      <c r="N707" s="37" t="str">
        <f>_xlfn.XLOOKUP(L707,notes!$B$28:$B$30,notes!$C$28:$C$30,"Unknown",-1)</f>
        <v>Alone</v>
      </c>
      <c r="O707" s="37">
        <v>250655</v>
      </c>
      <c r="P707" s="37">
        <v>26</v>
      </c>
      <c r="Q707" s="37" t="str">
        <f t="shared" ref="Q707:Q770" si="47">IF(P707&gt;=50,"High",IF(P707&gt;=10,"Mid",IF(P707&lt;10,"Low","invalid")))</f>
        <v>Mid</v>
      </c>
      <c r="R707" s="37" t="s">
        <v>1236</v>
      </c>
      <c r="S707" s="37" t="s">
        <v>15</v>
      </c>
      <c r="T707" s="41" t="str">
        <f t="shared" si="45"/>
        <v>Southampton</v>
      </c>
    </row>
    <row r="708" spans="1:20">
      <c r="A708" s="37">
        <v>707</v>
      </c>
      <c r="B708" s="37">
        <v>1</v>
      </c>
      <c r="C708" s="37">
        <v>2</v>
      </c>
      <c r="D708" s="37" t="s">
        <v>1790</v>
      </c>
      <c r="E708" s="37" t="s">
        <v>2438</v>
      </c>
      <c r="F708" s="37" t="s">
        <v>1239</v>
      </c>
      <c r="G708" s="37" t="str">
        <f>_xlfn.XLOOKUP(F708,notes!$B$12:$B$18,notes!$C$12:$C$18,"Unknown")</f>
        <v>Female</v>
      </c>
      <c r="H708" s="38">
        <v>45</v>
      </c>
      <c r="I708" s="39" t="str">
        <f>_xlfn.XLOOKUP(H708,notes!$B$4:$B$8,notes!$C$4:$C$8,"Invalid",-1)</f>
        <v>Adult</v>
      </c>
      <c r="J708" s="37">
        <v>0</v>
      </c>
      <c r="K708" s="37">
        <v>0</v>
      </c>
      <c r="L708" s="37">
        <f t="shared" si="46"/>
        <v>1</v>
      </c>
      <c r="M708" s="40" t="str">
        <f t="shared" si="44"/>
        <v>Survived</v>
      </c>
      <c r="N708" s="37" t="str">
        <f>_xlfn.XLOOKUP(L708,notes!$B$28:$B$30,notes!$C$28:$C$30,"Unknown",-1)</f>
        <v>Alone</v>
      </c>
      <c r="O708" s="37">
        <v>223596</v>
      </c>
      <c r="P708" s="37">
        <v>13.5</v>
      </c>
      <c r="Q708" s="37" t="str">
        <f t="shared" si="47"/>
        <v>Mid</v>
      </c>
      <c r="R708" s="37" t="s">
        <v>1236</v>
      </c>
      <c r="S708" s="37" t="s">
        <v>15</v>
      </c>
      <c r="T708" s="41" t="str">
        <f t="shared" si="45"/>
        <v>Southampton</v>
      </c>
    </row>
    <row r="709" spans="1:20">
      <c r="A709" s="37">
        <v>708</v>
      </c>
      <c r="B709" s="37">
        <v>1</v>
      </c>
      <c r="C709" s="37">
        <v>1</v>
      </c>
      <c r="D709" s="37" t="s">
        <v>2439</v>
      </c>
      <c r="E709" s="37" t="s">
        <v>2440</v>
      </c>
      <c r="F709" s="37" t="s">
        <v>1235</v>
      </c>
      <c r="G709" s="37" t="str">
        <f>_xlfn.XLOOKUP(F709,notes!$B$12:$B$18,notes!$C$12:$C$18,"Unknown")</f>
        <v>Male</v>
      </c>
      <c r="H709" s="38">
        <v>42</v>
      </c>
      <c r="I709" s="39" t="str">
        <f>_xlfn.XLOOKUP(H709,notes!$B$4:$B$8,notes!$C$4:$C$8,"Invalid",-1)</f>
        <v>Adult</v>
      </c>
      <c r="J709" s="37">
        <v>0</v>
      </c>
      <c r="K709" s="37">
        <v>0</v>
      </c>
      <c r="L709" s="37">
        <f t="shared" si="46"/>
        <v>1</v>
      </c>
      <c r="M709" s="40" t="str">
        <f t="shared" si="44"/>
        <v>Survived</v>
      </c>
      <c r="N709" s="37" t="str">
        <f>_xlfn.XLOOKUP(L709,notes!$B$28:$B$30,notes!$C$28:$C$30,"Unknown",-1)</f>
        <v>Alone</v>
      </c>
      <c r="O709" s="37" t="s">
        <v>994</v>
      </c>
      <c r="P709" s="37">
        <v>26.2875</v>
      </c>
      <c r="Q709" s="37" t="str">
        <f t="shared" si="47"/>
        <v>Mid</v>
      </c>
      <c r="R709" s="37" t="s">
        <v>987</v>
      </c>
      <c r="S709" s="37" t="s">
        <v>15</v>
      </c>
      <c r="T709" s="41" t="str">
        <f t="shared" si="45"/>
        <v>Southampton</v>
      </c>
    </row>
    <row r="710" spans="1:20">
      <c r="A710" s="37">
        <v>709</v>
      </c>
      <c r="B710" s="37">
        <v>1</v>
      </c>
      <c r="C710" s="37">
        <v>1</v>
      </c>
      <c r="D710" s="37" t="s">
        <v>2441</v>
      </c>
      <c r="E710" s="37" t="s">
        <v>2298</v>
      </c>
      <c r="F710" s="37" t="s">
        <v>1242</v>
      </c>
      <c r="G710" s="37" t="str">
        <f>_xlfn.XLOOKUP(F710,notes!$B$12:$B$18,notes!$C$12:$C$18,"Unknown")</f>
        <v>Female</v>
      </c>
      <c r="H710" s="38">
        <v>22</v>
      </c>
      <c r="I710" s="39" t="str">
        <f>_xlfn.XLOOKUP(H710,notes!$B$4:$B$8,notes!$C$4:$C$8,"Invalid",-1)</f>
        <v>Adult</v>
      </c>
      <c r="J710" s="37">
        <v>0</v>
      </c>
      <c r="K710" s="37">
        <v>0</v>
      </c>
      <c r="L710" s="37">
        <f t="shared" si="46"/>
        <v>1</v>
      </c>
      <c r="M710" s="40" t="str">
        <f t="shared" si="44"/>
        <v>Survived</v>
      </c>
      <c r="N710" s="37" t="str">
        <f>_xlfn.XLOOKUP(L710,notes!$B$28:$B$30,notes!$C$28:$C$30,"Unknown",-1)</f>
        <v>Alone</v>
      </c>
      <c r="O710" s="37">
        <v>113781</v>
      </c>
      <c r="P710" s="37">
        <v>151.55</v>
      </c>
      <c r="Q710" s="37" t="str">
        <f t="shared" si="47"/>
        <v>High</v>
      </c>
      <c r="R710" s="37" t="s">
        <v>1236</v>
      </c>
      <c r="S710" s="37" t="s">
        <v>15</v>
      </c>
      <c r="T710" s="41" t="str">
        <f t="shared" si="45"/>
        <v>Southampton</v>
      </c>
    </row>
    <row r="711" spans="1:20">
      <c r="A711" s="37">
        <v>710</v>
      </c>
      <c r="B711" s="37">
        <v>1</v>
      </c>
      <c r="C711" s="37">
        <v>3</v>
      </c>
      <c r="D711" s="37" t="s">
        <v>1366</v>
      </c>
      <c r="E711" s="37" t="s">
        <v>2442</v>
      </c>
      <c r="F711" s="37" t="s">
        <v>1253</v>
      </c>
      <c r="G711" s="37" t="str">
        <f>_xlfn.XLOOKUP(F711,notes!$B$12:$B$18,notes!$C$12:$C$18,"Unknown")</f>
        <v>Male</v>
      </c>
      <c r="H711" s="38" t="s">
        <v>1236</v>
      </c>
      <c r="I711" s="39" t="str">
        <f>_xlfn.XLOOKUP(H711,notes!$B$4:$B$8,notes!$C$4:$C$8,"Invalid",-1)</f>
        <v>Unknown</v>
      </c>
      <c r="J711" s="37">
        <v>1</v>
      </c>
      <c r="K711" s="37">
        <v>1</v>
      </c>
      <c r="L711" s="37">
        <f t="shared" si="46"/>
        <v>3</v>
      </c>
      <c r="M711" s="40" t="str">
        <f t="shared" si="44"/>
        <v>Survived</v>
      </c>
      <c r="N711" s="37" t="str">
        <f>_xlfn.XLOOKUP(L711,notes!$B$28:$B$30,notes!$C$28:$C$30,"Unknown",-1)</f>
        <v>Small Family</v>
      </c>
      <c r="O711" s="37">
        <v>2661</v>
      </c>
      <c r="P711" s="37">
        <v>15.2458</v>
      </c>
      <c r="Q711" s="37" t="str">
        <f t="shared" si="47"/>
        <v>Mid</v>
      </c>
      <c r="R711" s="37" t="s">
        <v>1236</v>
      </c>
      <c r="S711" s="37" t="s">
        <v>20</v>
      </c>
      <c r="T711" s="41" t="str">
        <f t="shared" si="45"/>
        <v>Cherbourg</v>
      </c>
    </row>
    <row r="712" spans="1:20">
      <c r="A712" s="37">
        <v>711</v>
      </c>
      <c r="B712" s="37">
        <v>1</v>
      </c>
      <c r="C712" s="37">
        <v>1</v>
      </c>
      <c r="D712" s="37" t="s">
        <v>2443</v>
      </c>
      <c r="E712" s="37" t="s">
        <v>2444</v>
      </c>
      <c r="F712" s="37" t="s">
        <v>2340</v>
      </c>
      <c r="G712" s="37" t="str">
        <f>_xlfn.XLOOKUP(F712,notes!$B$12:$B$18,notes!$C$12:$C$18,"Unknown")</f>
        <v>Unknown</v>
      </c>
      <c r="H712" s="38">
        <v>24</v>
      </c>
      <c r="I712" s="39" t="str">
        <f>_xlfn.XLOOKUP(H712,notes!$B$4:$B$8,notes!$C$4:$C$8,"Invalid",-1)</f>
        <v>Adult</v>
      </c>
      <c r="J712" s="37">
        <v>0</v>
      </c>
      <c r="K712" s="37">
        <v>0</v>
      </c>
      <c r="L712" s="37">
        <f t="shared" si="46"/>
        <v>1</v>
      </c>
      <c r="M712" s="40" t="str">
        <f t="shared" si="44"/>
        <v>Survived</v>
      </c>
      <c r="N712" s="37" t="str">
        <f>_xlfn.XLOOKUP(L712,notes!$B$28:$B$30,notes!$C$28:$C$30,"Unknown",-1)</f>
        <v>Alone</v>
      </c>
      <c r="O712" s="37" t="s">
        <v>998</v>
      </c>
      <c r="P712" s="37">
        <v>49.5042</v>
      </c>
      <c r="Q712" s="37" t="str">
        <f t="shared" si="47"/>
        <v>Mid</v>
      </c>
      <c r="R712" s="37" t="s">
        <v>999</v>
      </c>
      <c r="S712" s="37" t="s">
        <v>20</v>
      </c>
      <c r="T712" s="41" t="str">
        <f t="shared" si="45"/>
        <v>Cherbourg</v>
      </c>
    </row>
    <row r="713" spans="1:20">
      <c r="A713" s="37">
        <v>712</v>
      </c>
      <c r="B713" s="37">
        <v>0</v>
      </c>
      <c r="C713" s="37">
        <v>1</v>
      </c>
      <c r="D713" s="37" t="s">
        <v>2445</v>
      </c>
      <c r="E713" s="37" t="s">
        <v>2446</v>
      </c>
      <c r="F713" s="37" t="s">
        <v>1235</v>
      </c>
      <c r="G713" s="37" t="str">
        <f>_xlfn.XLOOKUP(F713,notes!$B$12:$B$18,notes!$C$12:$C$18,"Unknown")</f>
        <v>Male</v>
      </c>
      <c r="H713" s="38" t="s">
        <v>1236</v>
      </c>
      <c r="I713" s="39" t="str">
        <f>_xlfn.XLOOKUP(H713,notes!$B$4:$B$8,notes!$C$4:$C$8,"Invalid",-1)</f>
        <v>Unknown</v>
      </c>
      <c r="J713" s="37">
        <v>0</v>
      </c>
      <c r="K713" s="37">
        <v>0</v>
      </c>
      <c r="L713" s="37">
        <f t="shared" si="46"/>
        <v>1</v>
      </c>
      <c r="M713" s="40" t="str">
        <f t="shared" si="44"/>
        <v>Not Survived</v>
      </c>
      <c r="N713" s="37" t="str">
        <f>_xlfn.XLOOKUP(L713,notes!$B$28:$B$30,notes!$C$28:$C$30,"Unknown",-1)</f>
        <v>Alone</v>
      </c>
      <c r="O713" s="37">
        <v>113028</v>
      </c>
      <c r="P713" s="37">
        <v>26.55</v>
      </c>
      <c r="Q713" s="37" t="str">
        <f t="shared" si="47"/>
        <v>Mid</v>
      </c>
      <c r="R713" s="37" t="s">
        <v>501</v>
      </c>
      <c r="S713" s="37" t="s">
        <v>15</v>
      </c>
      <c r="T713" s="41" t="str">
        <f t="shared" si="45"/>
        <v>Southampton</v>
      </c>
    </row>
    <row r="714" spans="1:20">
      <c r="A714" s="37">
        <v>713</v>
      </c>
      <c r="B714" s="37">
        <v>1</v>
      </c>
      <c r="C714" s="37">
        <v>1</v>
      </c>
      <c r="D714" s="37" t="s">
        <v>2382</v>
      </c>
      <c r="E714" s="37" t="s">
        <v>2447</v>
      </c>
      <c r="F714" s="37" t="s">
        <v>1235</v>
      </c>
      <c r="G714" s="37" t="str">
        <f>_xlfn.XLOOKUP(F714,notes!$B$12:$B$18,notes!$C$12:$C$18,"Unknown")</f>
        <v>Male</v>
      </c>
      <c r="H714" s="38">
        <v>48</v>
      </c>
      <c r="I714" s="39" t="str">
        <f>_xlfn.XLOOKUP(H714,notes!$B$4:$B$8,notes!$C$4:$C$8,"Invalid",-1)</f>
        <v>Adult</v>
      </c>
      <c r="J714" s="37">
        <v>1</v>
      </c>
      <c r="K714" s="37">
        <v>0</v>
      </c>
      <c r="L714" s="37">
        <f t="shared" si="46"/>
        <v>2</v>
      </c>
      <c r="M714" s="40" t="str">
        <f t="shared" si="44"/>
        <v>Survived</v>
      </c>
      <c r="N714" s="37" t="str">
        <f>_xlfn.XLOOKUP(L714,notes!$B$28:$B$30,notes!$C$28:$C$30,"Unknown",-1)</f>
        <v>Small Family</v>
      </c>
      <c r="O714" s="37">
        <v>19996</v>
      </c>
      <c r="P714" s="37">
        <v>52</v>
      </c>
      <c r="Q714" s="37" t="str">
        <f t="shared" si="47"/>
        <v>High</v>
      </c>
      <c r="R714" s="37" t="s">
        <v>944</v>
      </c>
      <c r="S714" s="37" t="s">
        <v>15</v>
      </c>
      <c r="T714" s="41" t="str">
        <f t="shared" si="45"/>
        <v>Southampton</v>
      </c>
    </row>
    <row r="715" spans="1:20">
      <c r="A715" s="37">
        <v>714</v>
      </c>
      <c r="B715" s="37">
        <v>0</v>
      </c>
      <c r="C715" s="37">
        <v>3</v>
      </c>
      <c r="D715" s="37" t="s">
        <v>1669</v>
      </c>
      <c r="E715" s="37" t="s">
        <v>2448</v>
      </c>
      <c r="F715" s="37" t="s">
        <v>1235</v>
      </c>
      <c r="G715" s="37" t="str">
        <f>_xlfn.XLOOKUP(F715,notes!$B$12:$B$18,notes!$C$12:$C$18,"Unknown")</f>
        <v>Male</v>
      </c>
      <c r="H715" s="38">
        <v>29</v>
      </c>
      <c r="I715" s="39" t="str">
        <f>_xlfn.XLOOKUP(H715,notes!$B$4:$B$8,notes!$C$4:$C$8,"Invalid",-1)</f>
        <v>Adult</v>
      </c>
      <c r="J715" s="37">
        <v>0</v>
      </c>
      <c r="K715" s="37">
        <v>0</v>
      </c>
      <c r="L715" s="37">
        <f t="shared" si="46"/>
        <v>1</v>
      </c>
      <c r="M715" s="40" t="str">
        <f t="shared" si="44"/>
        <v>Not Survived</v>
      </c>
      <c r="N715" s="37" t="str">
        <f>_xlfn.XLOOKUP(L715,notes!$B$28:$B$30,notes!$C$28:$C$30,"Unknown",-1)</f>
        <v>Alone</v>
      </c>
      <c r="O715" s="37">
        <v>7545</v>
      </c>
      <c r="P715" s="37">
        <v>9.4833</v>
      </c>
      <c r="Q715" s="37" t="str">
        <f t="shared" si="47"/>
        <v>Low</v>
      </c>
      <c r="R715" s="37" t="s">
        <v>1236</v>
      </c>
      <c r="S715" s="37" t="s">
        <v>15</v>
      </c>
      <c r="T715" s="41" t="str">
        <f t="shared" si="45"/>
        <v>Southampton</v>
      </c>
    </row>
    <row r="716" spans="1:20">
      <c r="A716" s="37">
        <v>715</v>
      </c>
      <c r="B716" s="37">
        <v>0</v>
      </c>
      <c r="C716" s="37">
        <v>2</v>
      </c>
      <c r="D716" s="37" t="s">
        <v>2449</v>
      </c>
      <c r="E716" s="37" t="s">
        <v>1804</v>
      </c>
      <c r="F716" s="37" t="s">
        <v>1235</v>
      </c>
      <c r="G716" s="37" t="str">
        <f>_xlfn.XLOOKUP(F716,notes!$B$12:$B$18,notes!$C$12:$C$18,"Unknown")</f>
        <v>Male</v>
      </c>
      <c r="H716" s="38">
        <v>52</v>
      </c>
      <c r="I716" s="39" t="str">
        <f>_xlfn.XLOOKUP(H716,notes!$B$4:$B$8,notes!$C$4:$C$8,"Invalid",-1)</f>
        <v>Adult</v>
      </c>
      <c r="J716" s="37">
        <v>0</v>
      </c>
      <c r="K716" s="37">
        <v>0</v>
      </c>
      <c r="L716" s="37">
        <f t="shared" si="46"/>
        <v>1</v>
      </c>
      <c r="M716" s="40" t="str">
        <f t="shared" si="44"/>
        <v>Not Survived</v>
      </c>
      <c r="N716" s="37" t="str">
        <f>_xlfn.XLOOKUP(L716,notes!$B$28:$B$30,notes!$C$28:$C$30,"Unknown",-1)</f>
        <v>Alone</v>
      </c>
      <c r="O716" s="37">
        <v>250647</v>
      </c>
      <c r="P716" s="37">
        <v>13</v>
      </c>
      <c r="Q716" s="37" t="str">
        <f t="shared" si="47"/>
        <v>Mid</v>
      </c>
      <c r="R716" s="37" t="s">
        <v>1236</v>
      </c>
      <c r="S716" s="37" t="s">
        <v>15</v>
      </c>
      <c r="T716" s="41" t="str">
        <f t="shared" si="45"/>
        <v>Southampton</v>
      </c>
    </row>
    <row r="717" spans="1:20">
      <c r="A717" s="37">
        <v>716</v>
      </c>
      <c r="B717" s="37">
        <v>0</v>
      </c>
      <c r="C717" s="37">
        <v>3</v>
      </c>
      <c r="D717" s="37" t="s">
        <v>2450</v>
      </c>
      <c r="E717" s="37" t="s">
        <v>2451</v>
      </c>
      <c r="F717" s="37" t="s">
        <v>1235</v>
      </c>
      <c r="G717" s="37" t="str">
        <f>_xlfn.XLOOKUP(F717,notes!$B$12:$B$18,notes!$C$12:$C$18,"Unknown")</f>
        <v>Male</v>
      </c>
      <c r="H717" s="38">
        <v>19</v>
      </c>
      <c r="I717" s="39" t="str">
        <f>_xlfn.XLOOKUP(H717,notes!$B$4:$B$8,notes!$C$4:$C$8,"Invalid",-1)</f>
        <v>Teenager</v>
      </c>
      <c r="J717" s="37">
        <v>0</v>
      </c>
      <c r="K717" s="37">
        <v>0</v>
      </c>
      <c r="L717" s="37">
        <f t="shared" si="46"/>
        <v>1</v>
      </c>
      <c r="M717" s="40" t="str">
        <f t="shared" si="44"/>
        <v>Not Survived</v>
      </c>
      <c r="N717" s="37" t="str">
        <f>_xlfn.XLOOKUP(L717,notes!$B$28:$B$30,notes!$C$28:$C$30,"Unknown",-1)</f>
        <v>Alone</v>
      </c>
      <c r="O717" s="37">
        <v>348124</v>
      </c>
      <c r="P717" s="37">
        <v>7.65</v>
      </c>
      <c r="Q717" s="37" t="str">
        <f t="shared" si="47"/>
        <v>Low</v>
      </c>
      <c r="R717" s="37" t="s">
        <v>131</v>
      </c>
      <c r="S717" s="37" t="s">
        <v>15</v>
      </c>
      <c r="T717" s="41" t="str">
        <f t="shared" si="45"/>
        <v>Southampton</v>
      </c>
    </row>
    <row r="718" spans="1:20">
      <c r="A718" s="37">
        <v>717</v>
      </c>
      <c r="B718" s="37">
        <v>1</v>
      </c>
      <c r="C718" s="37">
        <v>1</v>
      </c>
      <c r="D718" s="37" t="s">
        <v>2452</v>
      </c>
      <c r="E718" s="37" t="s">
        <v>2453</v>
      </c>
      <c r="F718" s="37" t="s">
        <v>1242</v>
      </c>
      <c r="G718" s="37" t="str">
        <f>_xlfn.XLOOKUP(F718,notes!$B$12:$B$18,notes!$C$12:$C$18,"Unknown")</f>
        <v>Female</v>
      </c>
      <c r="H718" s="38">
        <v>38</v>
      </c>
      <c r="I718" s="39" t="str">
        <f>_xlfn.XLOOKUP(H718,notes!$B$4:$B$8,notes!$C$4:$C$8,"Invalid",-1)</f>
        <v>Adult</v>
      </c>
      <c r="J718" s="37">
        <v>0</v>
      </c>
      <c r="K718" s="37">
        <v>0</v>
      </c>
      <c r="L718" s="37">
        <f t="shared" si="46"/>
        <v>1</v>
      </c>
      <c r="M718" s="40" t="str">
        <f t="shared" si="44"/>
        <v>Survived</v>
      </c>
      <c r="N718" s="37" t="str">
        <f>_xlfn.XLOOKUP(L718,notes!$B$28:$B$30,notes!$C$28:$C$30,"Unknown",-1)</f>
        <v>Alone</v>
      </c>
      <c r="O718" s="37" t="s">
        <v>566</v>
      </c>
      <c r="P718" s="37">
        <v>227.525</v>
      </c>
      <c r="Q718" s="37" t="str">
        <f t="shared" si="47"/>
        <v>High</v>
      </c>
      <c r="R718" s="37" t="s">
        <v>1006</v>
      </c>
      <c r="S718" s="37" t="s">
        <v>20</v>
      </c>
      <c r="T718" s="41" t="str">
        <f t="shared" si="45"/>
        <v>Cherbourg</v>
      </c>
    </row>
    <row r="719" spans="1:20">
      <c r="A719" s="37">
        <v>718</v>
      </c>
      <c r="B719" s="37">
        <v>1</v>
      </c>
      <c r="C719" s="37">
        <v>2</v>
      </c>
      <c r="D719" s="37" t="s">
        <v>2454</v>
      </c>
      <c r="E719" s="37" t="s">
        <v>2455</v>
      </c>
      <c r="F719" s="37" t="s">
        <v>1242</v>
      </c>
      <c r="G719" s="37" t="str">
        <f>_xlfn.XLOOKUP(F719,notes!$B$12:$B$18,notes!$C$12:$C$18,"Unknown")</f>
        <v>Female</v>
      </c>
      <c r="H719" s="38">
        <v>27</v>
      </c>
      <c r="I719" s="39" t="str">
        <f>_xlfn.XLOOKUP(H719,notes!$B$4:$B$8,notes!$C$4:$C$8,"Invalid",-1)</f>
        <v>Adult</v>
      </c>
      <c r="J719" s="37">
        <v>0</v>
      </c>
      <c r="K719" s="37">
        <v>0</v>
      </c>
      <c r="L719" s="37">
        <f t="shared" si="46"/>
        <v>1</v>
      </c>
      <c r="M719" s="40" t="str">
        <f t="shared" si="44"/>
        <v>Survived</v>
      </c>
      <c r="N719" s="37" t="str">
        <f>_xlfn.XLOOKUP(L719,notes!$B$28:$B$30,notes!$C$28:$C$30,"Unknown",-1)</f>
        <v>Alone</v>
      </c>
      <c r="O719" s="37">
        <v>34218</v>
      </c>
      <c r="P719" s="37">
        <v>10.5</v>
      </c>
      <c r="Q719" s="37" t="str">
        <f t="shared" si="47"/>
        <v>Mid</v>
      </c>
      <c r="R719" s="37" t="s">
        <v>196</v>
      </c>
      <c r="S719" s="37" t="s">
        <v>15</v>
      </c>
      <c r="T719" s="41" t="str">
        <f t="shared" si="45"/>
        <v>Southampton</v>
      </c>
    </row>
    <row r="720" spans="1:20">
      <c r="A720" s="37">
        <v>719</v>
      </c>
      <c r="B720" s="37">
        <v>0</v>
      </c>
      <c r="C720" s="37">
        <v>3</v>
      </c>
      <c r="D720" s="37" t="s">
        <v>2456</v>
      </c>
      <c r="E720" s="37" t="s">
        <v>2457</v>
      </c>
      <c r="F720" s="37" t="s">
        <v>1235</v>
      </c>
      <c r="G720" s="37" t="str">
        <f>_xlfn.XLOOKUP(F720,notes!$B$12:$B$18,notes!$C$12:$C$18,"Unknown")</f>
        <v>Male</v>
      </c>
      <c r="H720" s="38" t="s">
        <v>1236</v>
      </c>
      <c r="I720" s="39" t="str">
        <f>_xlfn.XLOOKUP(H720,notes!$B$4:$B$8,notes!$C$4:$C$8,"Invalid",-1)</f>
        <v>Unknown</v>
      </c>
      <c r="J720" s="37">
        <v>0</v>
      </c>
      <c r="K720" s="37">
        <v>0</v>
      </c>
      <c r="L720" s="37">
        <f t="shared" si="46"/>
        <v>1</v>
      </c>
      <c r="M720" s="40" t="str">
        <f t="shared" si="44"/>
        <v>Not Survived</v>
      </c>
      <c r="N720" s="37" t="str">
        <f>_xlfn.XLOOKUP(L720,notes!$B$28:$B$30,notes!$C$28:$C$30,"Unknown",-1)</f>
        <v>Alone</v>
      </c>
      <c r="O720" s="37">
        <v>36568</v>
      </c>
      <c r="P720" s="37">
        <v>15.5</v>
      </c>
      <c r="Q720" s="37" t="str">
        <f t="shared" si="47"/>
        <v>Mid</v>
      </c>
      <c r="R720" s="37" t="s">
        <v>1236</v>
      </c>
      <c r="S720" s="37" t="s">
        <v>28</v>
      </c>
      <c r="T720" s="41" t="str">
        <f t="shared" si="45"/>
        <v>Queenstown</v>
      </c>
    </row>
    <row r="721" spans="1:20">
      <c r="A721" s="37">
        <v>720</v>
      </c>
      <c r="B721" s="37">
        <v>0</v>
      </c>
      <c r="C721" s="37">
        <v>3</v>
      </c>
      <c r="D721" s="37" t="s">
        <v>1254</v>
      </c>
      <c r="E721" s="37" t="s">
        <v>2458</v>
      </c>
      <c r="F721" s="37" t="s">
        <v>1235</v>
      </c>
      <c r="G721" s="37" t="str">
        <f>_xlfn.XLOOKUP(F721,notes!$B$12:$B$18,notes!$C$12:$C$18,"Unknown")</f>
        <v>Male</v>
      </c>
      <c r="H721" s="38">
        <v>33</v>
      </c>
      <c r="I721" s="39" t="str">
        <f>_xlfn.XLOOKUP(H721,notes!$B$4:$B$8,notes!$C$4:$C$8,"Invalid",-1)</f>
        <v>Adult</v>
      </c>
      <c r="J721" s="37">
        <v>0</v>
      </c>
      <c r="K721" s="37">
        <v>0</v>
      </c>
      <c r="L721" s="37">
        <f t="shared" si="46"/>
        <v>1</v>
      </c>
      <c r="M721" s="40" t="str">
        <f t="shared" si="44"/>
        <v>Not Survived</v>
      </c>
      <c r="N721" s="37" t="str">
        <f>_xlfn.XLOOKUP(L721,notes!$B$28:$B$30,notes!$C$28:$C$30,"Unknown",-1)</f>
        <v>Alone</v>
      </c>
      <c r="O721" s="37">
        <v>347062</v>
      </c>
      <c r="P721" s="37">
        <v>7.775</v>
      </c>
      <c r="Q721" s="37" t="str">
        <f t="shared" si="47"/>
        <v>Low</v>
      </c>
      <c r="R721" s="37" t="s">
        <v>1236</v>
      </c>
      <c r="S721" s="37" t="s">
        <v>15</v>
      </c>
      <c r="T721" s="41" t="str">
        <f t="shared" si="45"/>
        <v>Southampton</v>
      </c>
    </row>
    <row r="722" spans="1:20">
      <c r="A722" s="37">
        <v>721</v>
      </c>
      <c r="B722" s="37">
        <v>1</v>
      </c>
      <c r="C722" s="37">
        <v>2</v>
      </c>
      <c r="D722" s="37" t="s">
        <v>1340</v>
      </c>
      <c r="E722" s="37" t="s">
        <v>2459</v>
      </c>
      <c r="F722" s="37" t="s">
        <v>1242</v>
      </c>
      <c r="G722" s="37" t="str">
        <f>_xlfn.XLOOKUP(F722,notes!$B$12:$B$18,notes!$C$12:$C$18,"Unknown")</f>
        <v>Female</v>
      </c>
      <c r="H722" s="38">
        <v>6</v>
      </c>
      <c r="I722" s="39" t="str">
        <f>_xlfn.XLOOKUP(H722,notes!$B$4:$B$8,notes!$C$4:$C$8,"Invalid",-1)</f>
        <v>Kid</v>
      </c>
      <c r="J722" s="37">
        <v>0</v>
      </c>
      <c r="K722" s="37">
        <v>1</v>
      </c>
      <c r="L722" s="37">
        <f t="shared" si="46"/>
        <v>2</v>
      </c>
      <c r="M722" s="40" t="str">
        <f t="shared" si="44"/>
        <v>Survived</v>
      </c>
      <c r="N722" s="37" t="str">
        <f>_xlfn.XLOOKUP(L722,notes!$B$28:$B$30,notes!$C$28:$C$30,"Unknown",-1)</f>
        <v>Small Family</v>
      </c>
      <c r="O722" s="37">
        <v>248727</v>
      </c>
      <c r="P722" s="37">
        <v>33</v>
      </c>
      <c r="Q722" s="37" t="str">
        <f t="shared" si="47"/>
        <v>Mid</v>
      </c>
      <c r="R722" s="37" t="s">
        <v>1236</v>
      </c>
      <c r="S722" s="37" t="s">
        <v>15</v>
      </c>
      <c r="T722" s="41" t="str">
        <f t="shared" si="45"/>
        <v>Southampton</v>
      </c>
    </row>
    <row r="723" spans="1:20">
      <c r="A723" s="37">
        <v>722</v>
      </c>
      <c r="B723" s="37">
        <v>0</v>
      </c>
      <c r="C723" s="37">
        <v>3</v>
      </c>
      <c r="D723" s="37" t="s">
        <v>2336</v>
      </c>
      <c r="E723" s="37" t="s">
        <v>2460</v>
      </c>
      <c r="F723" s="37" t="s">
        <v>1235</v>
      </c>
      <c r="G723" s="37" t="str">
        <f>_xlfn.XLOOKUP(F723,notes!$B$12:$B$18,notes!$C$12:$C$18,"Unknown")</f>
        <v>Male</v>
      </c>
      <c r="H723" s="38">
        <v>17</v>
      </c>
      <c r="I723" s="39" t="str">
        <f>_xlfn.XLOOKUP(H723,notes!$B$4:$B$8,notes!$C$4:$C$8,"Invalid",-1)</f>
        <v>Teenager</v>
      </c>
      <c r="J723" s="37">
        <v>1</v>
      </c>
      <c r="K723" s="37">
        <v>0</v>
      </c>
      <c r="L723" s="37">
        <f t="shared" si="46"/>
        <v>2</v>
      </c>
      <c r="M723" s="40" t="str">
        <f t="shared" si="44"/>
        <v>Not Survived</v>
      </c>
      <c r="N723" s="37" t="str">
        <f>_xlfn.XLOOKUP(L723,notes!$B$28:$B$30,notes!$C$28:$C$30,"Unknown",-1)</f>
        <v>Small Family</v>
      </c>
      <c r="O723" s="37">
        <v>350048</v>
      </c>
      <c r="P723" s="37">
        <v>7.0542</v>
      </c>
      <c r="Q723" s="37" t="str">
        <f t="shared" si="47"/>
        <v>Low</v>
      </c>
      <c r="R723" s="37" t="s">
        <v>1236</v>
      </c>
      <c r="S723" s="37" t="s">
        <v>15</v>
      </c>
      <c r="T723" s="41" t="str">
        <f t="shared" si="45"/>
        <v>Southampton</v>
      </c>
    </row>
    <row r="724" spans="1:20">
      <c r="A724" s="37">
        <v>723</v>
      </c>
      <c r="B724" s="37">
        <v>0</v>
      </c>
      <c r="C724" s="37">
        <v>2</v>
      </c>
      <c r="D724" s="37" t="s">
        <v>2461</v>
      </c>
      <c r="E724" s="37" t="s">
        <v>1246</v>
      </c>
      <c r="F724" s="37" t="s">
        <v>1235</v>
      </c>
      <c r="G724" s="37" t="str">
        <f>_xlfn.XLOOKUP(F724,notes!$B$12:$B$18,notes!$C$12:$C$18,"Unknown")</f>
        <v>Male</v>
      </c>
      <c r="H724" s="38">
        <v>34</v>
      </c>
      <c r="I724" s="39" t="str">
        <f>_xlfn.XLOOKUP(H724,notes!$B$4:$B$8,notes!$C$4:$C$8,"Invalid",-1)</f>
        <v>Adult</v>
      </c>
      <c r="J724" s="37">
        <v>0</v>
      </c>
      <c r="K724" s="37">
        <v>0</v>
      </c>
      <c r="L724" s="37">
        <f t="shared" si="46"/>
        <v>1</v>
      </c>
      <c r="M724" s="40" t="str">
        <f t="shared" si="44"/>
        <v>Not Survived</v>
      </c>
      <c r="N724" s="37" t="str">
        <f>_xlfn.XLOOKUP(L724,notes!$B$28:$B$30,notes!$C$28:$C$30,"Unknown",-1)</f>
        <v>Alone</v>
      </c>
      <c r="O724" s="37">
        <v>12233</v>
      </c>
      <c r="P724" s="37">
        <v>13</v>
      </c>
      <c r="Q724" s="37" t="str">
        <f t="shared" si="47"/>
        <v>Mid</v>
      </c>
      <c r="R724" s="37" t="s">
        <v>1236</v>
      </c>
      <c r="S724" s="37" t="s">
        <v>15</v>
      </c>
      <c r="T724" s="41" t="str">
        <f t="shared" si="45"/>
        <v>Southampton</v>
      </c>
    </row>
    <row r="725" spans="1:20">
      <c r="A725" s="37">
        <v>724</v>
      </c>
      <c r="B725" s="37">
        <v>0</v>
      </c>
      <c r="C725" s="37">
        <v>2</v>
      </c>
      <c r="D725" s="37" t="s">
        <v>2462</v>
      </c>
      <c r="E725" s="37" t="s">
        <v>2463</v>
      </c>
      <c r="F725" s="37" t="s">
        <v>1235</v>
      </c>
      <c r="G725" s="37" t="str">
        <f>_xlfn.XLOOKUP(F725,notes!$B$12:$B$18,notes!$C$12:$C$18,"Unknown")</f>
        <v>Male</v>
      </c>
      <c r="H725" s="38">
        <v>50</v>
      </c>
      <c r="I725" s="39" t="str">
        <f>_xlfn.XLOOKUP(H725,notes!$B$4:$B$8,notes!$C$4:$C$8,"Invalid",-1)</f>
        <v>Adult</v>
      </c>
      <c r="J725" s="37">
        <v>0</v>
      </c>
      <c r="K725" s="37">
        <v>0</v>
      </c>
      <c r="L725" s="37">
        <f t="shared" si="46"/>
        <v>1</v>
      </c>
      <c r="M725" s="40" t="str">
        <f t="shared" si="44"/>
        <v>Not Survived</v>
      </c>
      <c r="N725" s="37" t="str">
        <f>_xlfn.XLOOKUP(L725,notes!$B$28:$B$30,notes!$C$28:$C$30,"Unknown",-1)</f>
        <v>Alone</v>
      </c>
      <c r="O725" s="37">
        <v>250643</v>
      </c>
      <c r="P725" s="37">
        <v>13</v>
      </c>
      <c r="Q725" s="37" t="str">
        <f t="shared" si="47"/>
        <v>Mid</v>
      </c>
      <c r="R725" s="37" t="s">
        <v>1236</v>
      </c>
      <c r="S725" s="37" t="s">
        <v>15</v>
      </c>
      <c r="T725" s="41" t="str">
        <f t="shared" si="45"/>
        <v>Southampton</v>
      </c>
    </row>
    <row r="726" spans="1:20">
      <c r="A726" s="37">
        <v>725</v>
      </c>
      <c r="B726" s="37">
        <v>1</v>
      </c>
      <c r="C726" s="37">
        <v>1</v>
      </c>
      <c r="D726" s="37" t="s">
        <v>2464</v>
      </c>
      <c r="E726" s="37" t="s">
        <v>2465</v>
      </c>
      <c r="F726" s="37" t="s">
        <v>1235</v>
      </c>
      <c r="G726" s="37" t="str">
        <f>_xlfn.XLOOKUP(F726,notes!$B$12:$B$18,notes!$C$12:$C$18,"Unknown")</f>
        <v>Male</v>
      </c>
      <c r="H726" s="38">
        <v>27</v>
      </c>
      <c r="I726" s="39" t="str">
        <f>_xlfn.XLOOKUP(H726,notes!$B$4:$B$8,notes!$C$4:$C$8,"Invalid",-1)</f>
        <v>Adult</v>
      </c>
      <c r="J726" s="37">
        <v>1</v>
      </c>
      <c r="K726" s="37">
        <v>0</v>
      </c>
      <c r="L726" s="37">
        <f t="shared" si="46"/>
        <v>2</v>
      </c>
      <c r="M726" s="40" t="str">
        <f t="shared" si="44"/>
        <v>Survived</v>
      </c>
      <c r="N726" s="37" t="str">
        <f>_xlfn.XLOOKUP(L726,notes!$B$28:$B$30,notes!$C$28:$C$30,"Unknown",-1)</f>
        <v>Small Family</v>
      </c>
      <c r="O726" s="37">
        <v>113806</v>
      </c>
      <c r="P726" s="37">
        <v>53.1</v>
      </c>
      <c r="Q726" s="37" t="str">
        <f t="shared" si="47"/>
        <v>High</v>
      </c>
      <c r="R726" s="37" t="s">
        <v>1015</v>
      </c>
      <c r="S726" s="37" t="s">
        <v>15</v>
      </c>
      <c r="T726" s="41" t="str">
        <f t="shared" si="45"/>
        <v>Southampton</v>
      </c>
    </row>
    <row r="727" spans="1:20">
      <c r="A727" s="37">
        <v>726</v>
      </c>
      <c r="B727" s="37">
        <v>0</v>
      </c>
      <c r="C727" s="37">
        <v>3</v>
      </c>
      <c r="D727" s="37" t="s">
        <v>1960</v>
      </c>
      <c r="E727" s="37" t="s">
        <v>2075</v>
      </c>
      <c r="F727" s="37" t="s">
        <v>1235</v>
      </c>
      <c r="G727" s="37" t="str">
        <f>_xlfn.XLOOKUP(F727,notes!$B$12:$B$18,notes!$C$12:$C$18,"Unknown")</f>
        <v>Male</v>
      </c>
      <c r="H727" s="38">
        <v>20</v>
      </c>
      <c r="I727" s="39" t="str">
        <f>_xlfn.XLOOKUP(H727,notes!$B$4:$B$8,notes!$C$4:$C$8,"Invalid",-1)</f>
        <v>Adult</v>
      </c>
      <c r="J727" s="37">
        <v>0</v>
      </c>
      <c r="K727" s="37">
        <v>0</v>
      </c>
      <c r="L727" s="37">
        <f t="shared" si="46"/>
        <v>1</v>
      </c>
      <c r="M727" s="40" t="str">
        <f t="shared" si="44"/>
        <v>Not Survived</v>
      </c>
      <c r="N727" s="37" t="str">
        <f>_xlfn.XLOOKUP(L727,notes!$B$28:$B$30,notes!$C$28:$C$30,"Unknown",-1)</f>
        <v>Alone</v>
      </c>
      <c r="O727" s="37">
        <v>315094</v>
      </c>
      <c r="P727" s="37">
        <v>8.6625</v>
      </c>
      <c r="Q727" s="37" t="str">
        <f t="shared" si="47"/>
        <v>Low</v>
      </c>
      <c r="R727" s="37" t="s">
        <v>1236</v>
      </c>
      <c r="S727" s="37" t="s">
        <v>15</v>
      </c>
      <c r="T727" s="41" t="str">
        <f t="shared" si="45"/>
        <v>Southampton</v>
      </c>
    </row>
    <row r="728" spans="1:20">
      <c r="A728" s="37">
        <v>727</v>
      </c>
      <c r="B728" s="37">
        <v>1</v>
      </c>
      <c r="C728" s="37">
        <v>2</v>
      </c>
      <c r="D728" s="37" t="s">
        <v>2083</v>
      </c>
      <c r="E728" s="37" t="s">
        <v>2466</v>
      </c>
      <c r="F728" s="37" t="s">
        <v>1239</v>
      </c>
      <c r="G728" s="37" t="str">
        <f>_xlfn.XLOOKUP(F728,notes!$B$12:$B$18,notes!$C$12:$C$18,"Unknown")</f>
        <v>Female</v>
      </c>
      <c r="H728" s="38">
        <v>30</v>
      </c>
      <c r="I728" s="39" t="str">
        <f>_xlfn.XLOOKUP(H728,notes!$B$4:$B$8,notes!$C$4:$C$8,"Invalid",-1)</f>
        <v>Adult</v>
      </c>
      <c r="J728" s="37">
        <v>3</v>
      </c>
      <c r="K728" s="37">
        <v>0</v>
      </c>
      <c r="L728" s="37">
        <f t="shared" si="46"/>
        <v>4</v>
      </c>
      <c r="M728" s="40" t="str">
        <f t="shared" si="44"/>
        <v>Survived</v>
      </c>
      <c r="N728" s="37" t="str">
        <f>_xlfn.XLOOKUP(L728,notes!$B$28:$B$30,notes!$C$28:$C$30,"Unknown",-1)</f>
        <v>Large Family</v>
      </c>
      <c r="O728" s="37">
        <v>31027</v>
      </c>
      <c r="P728" s="37">
        <v>21</v>
      </c>
      <c r="Q728" s="37" t="str">
        <f t="shared" si="47"/>
        <v>Mid</v>
      </c>
      <c r="R728" s="37" t="s">
        <v>1236</v>
      </c>
      <c r="S728" s="37" t="s">
        <v>15</v>
      </c>
      <c r="T728" s="41" t="str">
        <f t="shared" si="45"/>
        <v>Southampton</v>
      </c>
    </row>
    <row r="729" spans="1:20">
      <c r="A729" s="37">
        <v>728</v>
      </c>
      <c r="B729" s="37">
        <v>1</v>
      </c>
      <c r="C729" s="37">
        <v>3</v>
      </c>
      <c r="D729" s="37" t="s">
        <v>2467</v>
      </c>
      <c r="E729" s="37" t="s">
        <v>2468</v>
      </c>
      <c r="F729" s="37" t="s">
        <v>1242</v>
      </c>
      <c r="G729" s="37" t="str">
        <f>_xlfn.XLOOKUP(F729,notes!$B$12:$B$18,notes!$C$12:$C$18,"Unknown")</f>
        <v>Female</v>
      </c>
      <c r="H729" s="38" t="s">
        <v>1236</v>
      </c>
      <c r="I729" s="39" t="str">
        <f>_xlfn.XLOOKUP(H729,notes!$B$4:$B$8,notes!$C$4:$C$8,"Invalid",-1)</f>
        <v>Unknown</v>
      </c>
      <c r="J729" s="37">
        <v>0</v>
      </c>
      <c r="K729" s="37">
        <v>0</v>
      </c>
      <c r="L729" s="37">
        <f t="shared" si="46"/>
        <v>1</v>
      </c>
      <c r="M729" s="40" t="str">
        <f t="shared" si="44"/>
        <v>Survived</v>
      </c>
      <c r="N729" s="37" t="str">
        <f>_xlfn.XLOOKUP(L729,notes!$B$28:$B$30,notes!$C$28:$C$30,"Unknown",-1)</f>
        <v>Alone</v>
      </c>
      <c r="O729" s="37">
        <v>36866</v>
      </c>
      <c r="P729" s="37">
        <v>7.7375</v>
      </c>
      <c r="Q729" s="37" t="str">
        <f t="shared" si="47"/>
        <v>Low</v>
      </c>
      <c r="R729" s="37" t="s">
        <v>1236</v>
      </c>
      <c r="S729" s="37" t="s">
        <v>28</v>
      </c>
      <c r="T729" s="41" t="str">
        <f t="shared" si="45"/>
        <v>Queenstown</v>
      </c>
    </row>
    <row r="730" spans="1:20">
      <c r="A730" s="37">
        <v>729</v>
      </c>
      <c r="B730" s="37">
        <v>0</v>
      </c>
      <c r="C730" s="37">
        <v>2</v>
      </c>
      <c r="D730" s="37" t="s">
        <v>2469</v>
      </c>
      <c r="E730" s="37" t="s">
        <v>2470</v>
      </c>
      <c r="F730" s="37" t="s">
        <v>1235</v>
      </c>
      <c r="G730" s="37" t="str">
        <f>_xlfn.XLOOKUP(F730,notes!$B$12:$B$18,notes!$C$12:$C$18,"Unknown")</f>
        <v>Male</v>
      </c>
      <c r="H730" s="38">
        <v>25</v>
      </c>
      <c r="I730" s="39" t="str">
        <f>_xlfn.XLOOKUP(H730,notes!$B$4:$B$8,notes!$C$4:$C$8,"Invalid",-1)</f>
        <v>Adult</v>
      </c>
      <c r="J730" s="37">
        <v>1</v>
      </c>
      <c r="K730" s="37">
        <v>0</v>
      </c>
      <c r="L730" s="37">
        <f t="shared" si="46"/>
        <v>2</v>
      </c>
      <c r="M730" s="40" t="str">
        <f t="shared" si="44"/>
        <v>Not Survived</v>
      </c>
      <c r="N730" s="37" t="str">
        <f>_xlfn.XLOOKUP(L730,notes!$B$28:$B$30,notes!$C$28:$C$30,"Unknown",-1)</f>
        <v>Small Family</v>
      </c>
      <c r="O730" s="37">
        <v>236853</v>
      </c>
      <c r="P730" s="37">
        <v>26</v>
      </c>
      <c r="Q730" s="37" t="str">
        <f t="shared" si="47"/>
        <v>Mid</v>
      </c>
      <c r="R730" s="37" t="s">
        <v>1236</v>
      </c>
      <c r="S730" s="37" t="s">
        <v>15</v>
      </c>
      <c r="T730" s="41" t="str">
        <f t="shared" si="45"/>
        <v>Southampton</v>
      </c>
    </row>
    <row r="731" spans="1:20">
      <c r="A731" s="37">
        <v>730</v>
      </c>
      <c r="B731" s="37">
        <v>0</v>
      </c>
      <c r="C731" s="37">
        <v>3</v>
      </c>
      <c r="D731" s="37" t="s">
        <v>2471</v>
      </c>
      <c r="E731" s="37" t="s">
        <v>2472</v>
      </c>
      <c r="F731" s="37" t="s">
        <v>1242</v>
      </c>
      <c r="G731" s="37" t="str">
        <f>_xlfn.XLOOKUP(F731,notes!$B$12:$B$18,notes!$C$12:$C$18,"Unknown")</f>
        <v>Female</v>
      </c>
      <c r="H731" s="38">
        <v>25</v>
      </c>
      <c r="I731" s="39" t="str">
        <f>_xlfn.XLOOKUP(H731,notes!$B$4:$B$8,notes!$C$4:$C$8,"Invalid",-1)</f>
        <v>Adult</v>
      </c>
      <c r="J731" s="37">
        <v>1</v>
      </c>
      <c r="K731" s="37">
        <v>0</v>
      </c>
      <c r="L731" s="37">
        <f t="shared" si="46"/>
        <v>2</v>
      </c>
      <c r="M731" s="40" t="str">
        <f t="shared" si="44"/>
        <v>Not Survived</v>
      </c>
      <c r="N731" s="37" t="str">
        <f>_xlfn.XLOOKUP(L731,notes!$B$28:$B$30,notes!$C$28:$C$30,"Unknown",-1)</f>
        <v>Small Family</v>
      </c>
      <c r="O731" s="37" t="s">
        <v>1021</v>
      </c>
      <c r="P731" s="37">
        <v>7.925</v>
      </c>
      <c r="Q731" s="37" t="str">
        <f t="shared" si="47"/>
        <v>Low</v>
      </c>
      <c r="R731" s="37" t="s">
        <v>1236</v>
      </c>
      <c r="S731" s="37" t="s">
        <v>15</v>
      </c>
      <c r="T731" s="41" t="str">
        <f t="shared" si="45"/>
        <v>Southampton</v>
      </c>
    </row>
    <row r="732" spans="1:20">
      <c r="A732" s="37">
        <v>731</v>
      </c>
      <c r="B732" s="37">
        <v>1</v>
      </c>
      <c r="C732" s="37">
        <v>1</v>
      </c>
      <c r="D732" s="37" t="s">
        <v>1245</v>
      </c>
      <c r="E732" s="37" t="s">
        <v>2473</v>
      </c>
      <c r="F732" s="37" t="s">
        <v>1242</v>
      </c>
      <c r="G732" s="37" t="str">
        <f>_xlfn.XLOOKUP(F732,notes!$B$12:$B$18,notes!$C$12:$C$18,"Unknown")</f>
        <v>Female</v>
      </c>
      <c r="H732" s="38">
        <v>29</v>
      </c>
      <c r="I732" s="39" t="str">
        <f>_xlfn.XLOOKUP(H732,notes!$B$4:$B$8,notes!$C$4:$C$8,"Invalid",-1)</f>
        <v>Adult</v>
      </c>
      <c r="J732" s="37">
        <v>0</v>
      </c>
      <c r="K732" s="37">
        <v>0</v>
      </c>
      <c r="L732" s="37">
        <f t="shared" si="46"/>
        <v>1</v>
      </c>
      <c r="M732" s="40" t="str">
        <f t="shared" si="44"/>
        <v>Survived</v>
      </c>
      <c r="N732" s="37" t="str">
        <f>_xlfn.XLOOKUP(L732,notes!$B$28:$B$30,notes!$C$28:$C$30,"Unknown",-1)</f>
        <v>Alone</v>
      </c>
      <c r="O732" s="37">
        <v>24160</v>
      </c>
      <c r="P732" s="37">
        <v>211.3375</v>
      </c>
      <c r="Q732" s="37" t="str">
        <f t="shared" si="47"/>
        <v>High</v>
      </c>
      <c r="R732" s="37" t="s">
        <v>970</v>
      </c>
      <c r="S732" s="37" t="s">
        <v>15</v>
      </c>
      <c r="T732" s="41" t="str">
        <f t="shared" si="45"/>
        <v>Southampton</v>
      </c>
    </row>
    <row r="733" spans="1:20">
      <c r="A733" s="37">
        <v>732</v>
      </c>
      <c r="B733" s="37">
        <v>0</v>
      </c>
      <c r="C733" s="37">
        <v>3</v>
      </c>
      <c r="D733" s="37" t="s">
        <v>2474</v>
      </c>
      <c r="E733" s="37" t="s">
        <v>2475</v>
      </c>
      <c r="F733" s="37" t="s">
        <v>1235</v>
      </c>
      <c r="G733" s="37" t="str">
        <f>_xlfn.XLOOKUP(F733,notes!$B$12:$B$18,notes!$C$12:$C$18,"Unknown")</f>
        <v>Male</v>
      </c>
      <c r="H733" s="38">
        <v>11</v>
      </c>
      <c r="I733" s="39" t="str">
        <f>_xlfn.XLOOKUP(H733,notes!$B$4:$B$8,notes!$C$4:$C$8,"Invalid",-1)</f>
        <v>Kid</v>
      </c>
      <c r="J733" s="37">
        <v>0</v>
      </c>
      <c r="K733" s="37">
        <v>0</v>
      </c>
      <c r="L733" s="37">
        <f t="shared" si="46"/>
        <v>1</v>
      </c>
      <c r="M733" s="40" t="str">
        <f t="shared" si="44"/>
        <v>Not Survived</v>
      </c>
      <c r="N733" s="37" t="str">
        <f>_xlfn.XLOOKUP(L733,notes!$B$28:$B$30,notes!$C$28:$C$30,"Unknown",-1)</f>
        <v>Alone</v>
      </c>
      <c r="O733" s="37">
        <v>2699</v>
      </c>
      <c r="P733" s="37">
        <v>18.7875</v>
      </c>
      <c r="Q733" s="37" t="str">
        <f t="shared" si="47"/>
        <v>Mid</v>
      </c>
      <c r="R733" s="37" t="s">
        <v>1236</v>
      </c>
      <c r="S733" s="37" t="s">
        <v>20</v>
      </c>
      <c r="T733" s="41" t="str">
        <f t="shared" si="45"/>
        <v>Cherbourg</v>
      </c>
    </row>
    <row r="734" spans="1:20">
      <c r="A734" s="37">
        <v>733</v>
      </c>
      <c r="B734" s="37">
        <v>0</v>
      </c>
      <c r="C734" s="37">
        <v>2</v>
      </c>
      <c r="D734" s="37" t="s">
        <v>2476</v>
      </c>
      <c r="E734" s="37" t="s">
        <v>2477</v>
      </c>
      <c r="F734" s="37" t="s">
        <v>1235</v>
      </c>
      <c r="G734" s="37" t="str">
        <f>_xlfn.XLOOKUP(F734,notes!$B$12:$B$18,notes!$C$12:$C$18,"Unknown")</f>
        <v>Male</v>
      </c>
      <c r="H734" s="38" t="s">
        <v>1236</v>
      </c>
      <c r="I734" s="39" t="str">
        <f>_xlfn.XLOOKUP(H734,notes!$B$4:$B$8,notes!$C$4:$C$8,"Invalid",-1)</f>
        <v>Unknown</v>
      </c>
      <c r="J734" s="37">
        <v>0</v>
      </c>
      <c r="K734" s="37">
        <v>0</v>
      </c>
      <c r="L734" s="37">
        <f t="shared" si="46"/>
        <v>1</v>
      </c>
      <c r="M734" s="40" t="str">
        <f t="shared" si="44"/>
        <v>Not Survived</v>
      </c>
      <c r="N734" s="37" t="str">
        <f>_xlfn.XLOOKUP(L734,notes!$B$28:$B$30,notes!$C$28:$C$30,"Unknown",-1)</f>
        <v>Alone</v>
      </c>
      <c r="O734" s="37">
        <v>239855</v>
      </c>
      <c r="P734" s="37">
        <v>0</v>
      </c>
      <c r="Q734" s="37" t="str">
        <f t="shared" si="47"/>
        <v>Low</v>
      </c>
      <c r="R734" s="37" t="s">
        <v>1236</v>
      </c>
      <c r="S734" s="37" t="s">
        <v>15</v>
      </c>
      <c r="T734" s="41" t="str">
        <f t="shared" si="45"/>
        <v>Southampton</v>
      </c>
    </row>
    <row r="735" spans="1:20">
      <c r="A735" s="37">
        <v>734</v>
      </c>
      <c r="B735" s="37">
        <v>0</v>
      </c>
      <c r="C735" s="37">
        <v>2</v>
      </c>
      <c r="D735" s="37" t="s">
        <v>2478</v>
      </c>
      <c r="E735" s="37" t="s">
        <v>1327</v>
      </c>
      <c r="F735" s="37" t="s">
        <v>1235</v>
      </c>
      <c r="G735" s="37" t="str">
        <f>_xlfn.XLOOKUP(F735,notes!$B$12:$B$18,notes!$C$12:$C$18,"Unknown")</f>
        <v>Male</v>
      </c>
      <c r="H735" s="38">
        <v>23</v>
      </c>
      <c r="I735" s="39" t="str">
        <f>_xlfn.XLOOKUP(H735,notes!$B$4:$B$8,notes!$C$4:$C$8,"Invalid",-1)</f>
        <v>Adult</v>
      </c>
      <c r="J735" s="37">
        <v>0</v>
      </c>
      <c r="K735" s="37">
        <v>0</v>
      </c>
      <c r="L735" s="37">
        <f t="shared" si="46"/>
        <v>1</v>
      </c>
      <c r="M735" s="40" t="str">
        <f t="shared" si="44"/>
        <v>Not Survived</v>
      </c>
      <c r="N735" s="37" t="str">
        <f>_xlfn.XLOOKUP(L735,notes!$B$28:$B$30,notes!$C$28:$C$30,"Unknown",-1)</f>
        <v>Alone</v>
      </c>
      <c r="O735" s="37">
        <v>28425</v>
      </c>
      <c r="P735" s="37">
        <v>13</v>
      </c>
      <c r="Q735" s="37" t="str">
        <f t="shared" si="47"/>
        <v>Mid</v>
      </c>
      <c r="R735" s="37" t="s">
        <v>1236</v>
      </c>
      <c r="S735" s="37" t="s">
        <v>15</v>
      </c>
      <c r="T735" s="41" t="str">
        <f t="shared" si="45"/>
        <v>Southampton</v>
      </c>
    </row>
    <row r="736" spans="1:20">
      <c r="A736" s="37">
        <v>735</v>
      </c>
      <c r="B736" s="37">
        <v>0</v>
      </c>
      <c r="C736" s="37">
        <v>2</v>
      </c>
      <c r="D736" s="37" t="s">
        <v>2479</v>
      </c>
      <c r="E736" s="37" t="s">
        <v>2480</v>
      </c>
      <c r="F736" s="37" t="s">
        <v>1235</v>
      </c>
      <c r="G736" s="37" t="str">
        <f>_xlfn.XLOOKUP(F736,notes!$B$12:$B$18,notes!$C$12:$C$18,"Unknown")</f>
        <v>Male</v>
      </c>
      <c r="H736" s="38">
        <v>23</v>
      </c>
      <c r="I736" s="39" t="str">
        <f>_xlfn.XLOOKUP(H736,notes!$B$4:$B$8,notes!$C$4:$C$8,"Invalid",-1)</f>
        <v>Adult</v>
      </c>
      <c r="J736" s="37">
        <v>0</v>
      </c>
      <c r="K736" s="37">
        <v>0</v>
      </c>
      <c r="L736" s="37">
        <f t="shared" si="46"/>
        <v>1</v>
      </c>
      <c r="M736" s="40" t="str">
        <f t="shared" si="44"/>
        <v>Not Survived</v>
      </c>
      <c r="N736" s="37" t="str">
        <f>_xlfn.XLOOKUP(L736,notes!$B$28:$B$30,notes!$C$28:$C$30,"Unknown",-1)</f>
        <v>Alone</v>
      </c>
      <c r="O736" s="37">
        <v>233639</v>
      </c>
      <c r="P736" s="37">
        <v>13</v>
      </c>
      <c r="Q736" s="37" t="str">
        <f t="shared" si="47"/>
        <v>Mid</v>
      </c>
      <c r="R736" s="37" t="s">
        <v>1236</v>
      </c>
      <c r="S736" s="37" t="s">
        <v>15</v>
      </c>
      <c r="T736" s="41" t="str">
        <f t="shared" si="45"/>
        <v>Southampton</v>
      </c>
    </row>
    <row r="737" spans="1:20">
      <c r="A737" s="37">
        <v>736</v>
      </c>
      <c r="B737" s="37">
        <v>0</v>
      </c>
      <c r="C737" s="37">
        <v>3</v>
      </c>
      <c r="D737" s="37" t="s">
        <v>1271</v>
      </c>
      <c r="E737" s="37" t="s">
        <v>2481</v>
      </c>
      <c r="F737" s="37" t="s">
        <v>1235</v>
      </c>
      <c r="G737" s="37" t="str">
        <f>_xlfn.XLOOKUP(F737,notes!$B$12:$B$18,notes!$C$12:$C$18,"Unknown")</f>
        <v>Male</v>
      </c>
      <c r="H737" s="38">
        <v>28.5</v>
      </c>
      <c r="I737" s="39" t="str">
        <f>_xlfn.XLOOKUP(H737,notes!$B$4:$B$8,notes!$C$4:$C$8,"Invalid",-1)</f>
        <v>Adult</v>
      </c>
      <c r="J737" s="37">
        <v>0</v>
      </c>
      <c r="K737" s="37">
        <v>0</v>
      </c>
      <c r="L737" s="37">
        <f t="shared" si="46"/>
        <v>1</v>
      </c>
      <c r="M737" s="40" t="str">
        <f t="shared" si="44"/>
        <v>Not Survived</v>
      </c>
      <c r="N737" s="37" t="str">
        <f>_xlfn.XLOOKUP(L737,notes!$B$28:$B$30,notes!$C$28:$C$30,"Unknown",-1)</f>
        <v>Alone</v>
      </c>
      <c r="O737" s="37">
        <v>54636</v>
      </c>
      <c r="P737" s="37">
        <v>16.1</v>
      </c>
      <c r="Q737" s="37" t="str">
        <f t="shared" si="47"/>
        <v>Mid</v>
      </c>
      <c r="R737" s="37" t="s">
        <v>1236</v>
      </c>
      <c r="S737" s="37" t="s">
        <v>15</v>
      </c>
      <c r="T737" s="41" t="str">
        <f t="shared" si="45"/>
        <v>Southampton</v>
      </c>
    </row>
    <row r="738" spans="1:20">
      <c r="A738" s="37">
        <v>737</v>
      </c>
      <c r="B738" s="37">
        <v>0</v>
      </c>
      <c r="C738" s="37">
        <v>3</v>
      </c>
      <c r="D738" s="37" t="s">
        <v>1405</v>
      </c>
      <c r="E738" s="37" t="s">
        <v>2482</v>
      </c>
      <c r="F738" s="37" t="s">
        <v>1239</v>
      </c>
      <c r="G738" s="37" t="str">
        <f>_xlfn.XLOOKUP(F738,notes!$B$12:$B$18,notes!$C$12:$C$18,"Unknown")</f>
        <v>Female</v>
      </c>
      <c r="H738" s="38">
        <v>48</v>
      </c>
      <c r="I738" s="39" t="str">
        <f>_xlfn.XLOOKUP(H738,notes!$B$4:$B$8,notes!$C$4:$C$8,"Invalid",-1)</f>
        <v>Adult</v>
      </c>
      <c r="J738" s="37">
        <v>1</v>
      </c>
      <c r="K738" s="37">
        <v>3</v>
      </c>
      <c r="L738" s="37">
        <f t="shared" si="46"/>
        <v>5</v>
      </c>
      <c r="M738" s="40" t="str">
        <f t="shared" si="44"/>
        <v>Not Survived</v>
      </c>
      <c r="N738" s="37" t="str">
        <f>_xlfn.XLOOKUP(L738,notes!$B$28:$B$30,notes!$C$28:$C$30,"Unknown",-1)</f>
        <v>Large Family</v>
      </c>
      <c r="O738" s="37" t="s">
        <v>144</v>
      </c>
      <c r="P738" s="37">
        <v>34.375</v>
      </c>
      <c r="Q738" s="37" t="str">
        <f t="shared" si="47"/>
        <v>Mid</v>
      </c>
      <c r="R738" s="37" t="s">
        <v>1236</v>
      </c>
      <c r="S738" s="37" t="s">
        <v>15</v>
      </c>
      <c r="T738" s="41" t="str">
        <f t="shared" si="45"/>
        <v>Southampton</v>
      </c>
    </row>
    <row r="739" spans="1:20">
      <c r="A739" s="37">
        <v>738</v>
      </c>
      <c r="B739" s="37">
        <v>1</v>
      </c>
      <c r="C739" s="37">
        <v>1</v>
      </c>
      <c r="D739" s="37" t="s">
        <v>2483</v>
      </c>
      <c r="E739" s="37" t="s">
        <v>2484</v>
      </c>
      <c r="F739" s="37" t="s">
        <v>1235</v>
      </c>
      <c r="G739" s="37" t="str">
        <f>_xlfn.XLOOKUP(F739,notes!$B$12:$B$18,notes!$C$12:$C$18,"Unknown")</f>
        <v>Male</v>
      </c>
      <c r="H739" s="38">
        <v>35</v>
      </c>
      <c r="I739" s="39" t="str">
        <f>_xlfn.XLOOKUP(H739,notes!$B$4:$B$8,notes!$C$4:$C$8,"Invalid",-1)</f>
        <v>Adult</v>
      </c>
      <c r="J739" s="37">
        <v>0</v>
      </c>
      <c r="K739" s="37">
        <v>0</v>
      </c>
      <c r="L739" s="37">
        <f t="shared" si="46"/>
        <v>1</v>
      </c>
      <c r="M739" s="40" t="str">
        <f t="shared" si="44"/>
        <v>Survived</v>
      </c>
      <c r="N739" s="37" t="str">
        <f>_xlfn.XLOOKUP(L739,notes!$B$28:$B$30,notes!$C$28:$C$30,"Unknown",-1)</f>
        <v>Alone</v>
      </c>
      <c r="O739" s="37" t="s">
        <v>393</v>
      </c>
      <c r="P739" s="37">
        <v>512.3292</v>
      </c>
      <c r="Q739" s="37" t="str">
        <f t="shared" si="47"/>
        <v>High</v>
      </c>
      <c r="R739" s="37" t="s">
        <v>1030</v>
      </c>
      <c r="S739" s="37" t="s">
        <v>20</v>
      </c>
      <c r="T739" s="41" t="str">
        <f t="shared" si="45"/>
        <v>Cherbourg</v>
      </c>
    </row>
    <row r="740" spans="1:20">
      <c r="A740" s="37">
        <v>739</v>
      </c>
      <c r="B740" s="37">
        <v>0</v>
      </c>
      <c r="C740" s="37">
        <v>3</v>
      </c>
      <c r="D740" s="37" t="s">
        <v>2485</v>
      </c>
      <c r="E740" s="37" t="s">
        <v>2486</v>
      </c>
      <c r="F740" s="37" t="s">
        <v>1235</v>
      </c>
      <c r="G740" s="37" t="str">
        <f>_xlfn.XLOOKUP(F740,notes!$B$12:$B$18,notes!$C$12:$C$18,"Unknown")</f>
        <v>Male</v>
      </c>
      <c r="H740" s="38" t="s">
        <v>1236</v>
      </c>
      <c r="I740" s="39" t="str">
        <f>_xlfn.XLOOKUP(H740,notes!$B$4:$B$8,notes!$C$4:$C$8,"Invalid",-1)</f>
        <v>Unknown</v>
      </c>
      <c r="J740" s="37">
        <v>0</v>
      </c>
      <c r="K740" s="37">
        <v>0</v>
      </c>
      <c r="L740" s="37">
        <f t="shared" si="46"/>
        <v>1</v>
      </c>
      <c r="M740" s="40" t="str">
        <f t="shared" si="44"/>
        <v>Not Survived</v>
      </c>
      <c r="N740" s="37" t="str">
        <f>_xlfn.XLOOKUP(L740,notes!$B$28:$B$30,notes!$C$28:$C$30,"Unknown",-1)</f>
        <v>Alone</v>
      </c>
      <c r="O740" s="37">
        <v>349201</v>
      </c>
      <c r="P740" s="37">
        <v>7.8958</v>
      </c>
      <c r="Q740" s="37" t="str">
        <f t="shared" si="47"/>
        <v>Low</v>
      </c>
      <c r="R740" s="37" t="s">
        <v>1236</v>
      </c>
      <c r="S740" s="37" t="s">
        <v>15</v>
      </c>
      <c r="T740" s="41" t="str">
        <f t="shared" si="45"/>
        <v>Southampton</v>
      </c>
    </row>
    <row r="741" spans="1:20">
      <c r="A741" s="37">
        <v>740</v>
      </c>
      <c r="B741" s="37">
        <v>0</v>
      </c>
      <c r="C741" s="37">
        <v>3</v>
      </c>
      <c r="D741" s="37" t="s">
        <v>2487</v>
      </c>
      <c r="E741" s="37" t="s">
        <v>2488</v>
      </c>
      <c r="F741" s="37" t="s">
        <v>1235</v>
      </c>
      <c r="G741" s="37" t="str">
        <f>_xlfn.XLOOKUP(F741,notes!$B$12:$B$18,notes!$C$12:$C$18,"Unknown")</f>
        <v>Male</v>
      </c>
      <c r="H741" s="38" t="s">
        <v>1236</v>
      </c>
      <c r="I741" s="39" t="str">
        <f>_xlfn.XLOOKUP(H741,notes!$B$4:$B$8,notes!$C$4:$C$8,"Invalid",-1)</f>
        <v>Unknown</v>
      </c>
      <c r="J741" s="37">
        <v>0</v>
      </c>
      <c r="K741" s="37">
        <v>0</v>
      </c>
      <c r="L741" s="37">
        <f t="shared" si="46"/>
        <v>1</v>
      </c>
      <c r="M741" s="40" t="str">
        <f t="shared" si="44"/>
        <v>Not Survived</v>
      </c>
      <c r="N741" s="37" t="str">
        <f>_xlfn.XLOOKUP(L741,notes!$B$28:$B$30,notes!$C$28:$C$30,"Unknown",-1)</f>
        <v>Alone</v>
      </c>
      <c r="O741" s="37">
        <v>349218</v>
      </c>
      <c r="P741" s="37">
        <v>7.8958</v>
      </c>
      <c r="Q741" s="37" t="str">
        <f t="shared" si="47"/>
        <v>Low</v>
      </c>
      <c r="R741" s="37" t="s">
        <v>1236</v>
      </c>
      <c r="S741" s="37" t="s">
        <v>15</v>
      </c>
      <c r="T741" s="41" t="str">
        <f t="shared" si="45"/>
        <v>Southampton</v>
      </c>
    </row>
    <row r="742" spans="1:20">
      <c r="A742" s="37">
        <v>741</v>
      </c>
      <c r="B742" s="37">
        <v>1</v>
      </c>
      <c r="C742" s="37">
        <v>1</v>
      </c>
      <c r="D742" s="37" t="s">
        <v>2489</v>
      </c>
      <c r="E742" s="37" t="s">
        <v>2490</v>
      </c>
      <c r="F742" s="37" t="s">
        <v>1235</v>
      </c>
      <c r="G742" s="37" t="str">
        <f>_xlfn.XLOOKUP(F742,notes!$B$12:$B$18,notes!$C$12:$C$18,"Unknown")</f>
        <v>Male</v>
      </c>
      <c r="H742" s="38" t="s">
        <v>1236</v>
      </c>
      <c r="I742" s="39" t="str">
        <f>_xlfn.XLOOKUP(H742,notes!$B$4:$B$8,notes!$C$4:$C$8,"Invalid",-1)</f>
        <v>Unknown</v>
      </c>
      <c r="J742" s="37">
        <v>0</v>
      </c>
      <c r="K742" s="37">
        <v>0</v>
      </c>
      <c r="L742" s="37">
        <f t="shared" si="46"/>
        <v>1</v>
      </c>
      <c r="M742" s="40" t="str">
        <f t="shared" si="44"/>
        <v>Survived</v>
      </c>
      <c r="N742" s="37" t="str">
        <f>_xlfn.XLOOKUP(L742,notes!$B$28:$B$30,notes!$C$28:$C$30,"Unknown",-1)</f>
        <v>Alone</v>
      </c>
      <c r="O742" s="37">
        <v>16988</v>
      </c>
      <c r="P742" s="37">
        <v>30</v>
      </c>
      <c r="Q742" s="37" t="str">
        <f t="shared" si="47"/>
        <v>Mid</v>
      </c>
      <c r="R742" s="37" t="s">
        <v>1034</v>
      </c>
      <c r="S742" s="37" t="s">
        <v>15</v>
      </c>
      <c r="T742" s="41" t="str">
        <f t="shared" si="45"/>
        <v>Southampton</v>
      </c>
    </row>
    <row r="743" spans="1:20">
      <c r="A743" s="37">
        <v>742</v>
      </c>
      <c r="B743" s="37">
        <v>0</v>
      </c>
      <c r="C743" s="37">
        <v>1</v>
      </c>
      <c r="D743" s="37" t="s">
        <v>2491</v>
      </c>
      <c r="E743" s="37" t="s">
        <v>2492</v>
      </c>
      <c r="F743" s="37" t="s">
        <v>1235</v>
      </c>
      <c r="G743" s="37" t="str">
        <f>_xlfn.XLOOKUP(F743,notes!$B$12:$B$18,notes!$C$12:$C$18,"Unknown")</f>
        <v>Male</v>
      </c>
      <c r="H743" s="38">
        <v>36</v>
      </c>
      <c r="I743" s="39" t="str">
        <f>_xlfn.XLOOKUP(H743,notes!$B$4:$B$8,notes!$C$4:$C$8,"Invalid",-1)</f>
        <v>Adult</v>
      </c>
      <c r="J743" s="37">
        <v>1</v>
      </c>
      <c r="K743" s="37">
        <v>0</v>
      </c>
      <c r="L743" s="37">
        <f t="shared" si="46"/>
        <v>2</v>
      </c>
      <c r="M743" s="40" t="str">
        <f t="shared" si="44"/>
        <v>Not Survived</v>
      </c>
      <c r="N743" s="37" t="str">
        <f>_xlfn.XLOOKUP(L743,notes!$B$28:$B$30,notes!$C$28:$C$30,"Unknown",-1)</f>
        <v>Small Family</v>
      </c>
      <c r="O743" s="37">
        <v>19877</v>
      </c>
      <c r="P743" s="37">
        <v>78.85</v>
      </c>
      <c r="Q743" s="37" t="str">
        <f t="shared" si="47"/>
        <v>High</v>
      </c>
      <c r="R743" s="37" t="s">
        <v>1036</v>
      </c>
      <c r="S743" s="37" t="s">
        <v>15</v>
      </c>
      <c r="T743" s="41" t="str">
        <f t="shared" si="45"/>
        <v>Southampton</v>
      </c>
    </row>
    <row r="744" spans="1:20">
      <c r="A744" s="37">
        <v>743</v>
      </c>
      <c r="B744" s="37">
        <v>1</v>
      </c>
      <c r="C744" s="37">
        <v>1</v>
      </c>
      <c r="D744" s="37" t="s">
        <v>1809</v>
      </c>
      <c r="E744" s="37" t="s">
        <v>2493</v>
      </c>
      <c r="F744" s="37" t="s">
        <v>1242</v>
      </c>
      <c r="G744" s="37" t="str">
        <f>_xlfn.XLOOKUP(F744,notes!$B$12:$B$18,notes!$C$12:$C$18,"Unknown")</f>
        <v>Female</v>
      </c>
      <c r="H744" s="38">
        <v>21</v>
      </c>
      <c r="I744" s="39" t="str">
        <f>_xlfn.XLOOKUP(H744,notes!$B$4:$B$8,notes!$C$4:$C$8,"Invalid",-1)</f>
        <v>Adult</v>
      </c>
      <c r="J744" s="37">
        <v>2</v>
      </c>
      <c r="K744" s="37">
        <v>2</v>
      </c>
      <c r="L744" s="37">
        <f t="shared" si="46"/>
        <v>5</v>
      </c>
      <c r="M744" s="40" t="str">
        <f t="shared" si="44"/>
        <v>Survived</v>
      </c>
      <c r="N744" s="37" t="str">
        <f>_xlfn.XLOOKUP(L744,notes!$B$28:$B$30,notes!$C$28:$C$30,"Unknown",-1)</f>
        <v>Large Family</v>
      </c>
      <c r="O744" s="37" t="s">
        <v>473</v>
      </c>
      <c r="P744" s="37">
        <v>262.375</v>
      </c>
      <c r="Q744" s="37" t="str">
        <f t="shared" si="47"/>
        <v>High</v>
      </c>
      <c r="R744" s="37" t="s">
        <v>474</v>
      </c>
      <c r="S744" s="37" t="s">
        <v>20</v>
      </c>
      <c r="T744" s="41" t="str">
        <f t="shared" si="45"/>
        <v>Cherbourg</v>
      </c>
    </row>
    <row r="745" spans="1:20">
      <c r="A745" s="37">
        <v>744</v>
      </c>
      <c r="B745" s="37">
        <v>0</v>
      </c>
      <c r="C745" s="37">
        <v>3</v>
      </c>
      <c r="D745" s="37" t="s">
        <v>2494</v>
      </c>
      <c r="E745" s="37" t="s">
        <v>2495</v>
      </c>
      <c r="F745" s="37" t="s">
        <v>1235</v>
      </c>
      <c r="G745" s="37" t="str">
        <f>_xlfn.XLOOKUP(F745,notes!$B$12:$B$18,notes!$C$12:$C$18,"Unknown")</f>
        <v>Male</v>
      </c>
      <c r="H745" s="38">
        <v>24</v>
      </c>
      <c r="I745" s="39" t="str">
        <f>_xlfn.XLOOKUP(H745,notes!$B$4:$B$8,notes!$C$4:$C$8,"Invalid",-1)</f>
        <v>Adult</v>
      </c>
      <c r="J745" s="37">
        <v>1</v>
      </c>
      <c r="K745" s="37">
        <v>0</v>
      </c>
      <c r="L745" s="37">
        <f t="shared" si="46"/>
        <v>2</v>
      </c>
      <c r="M745" s="40" t="str">
        <f t="shared" si="44"/>
        <v>Not Survived</v>
      </c>
      <c r="N745" s="37" t="str">
        <f>_xlfn.XLOOKUP(L745,notes!$B$28:$B$30,notes!$C$28:$C$30,"Unknown",-1)</f>
        <v>Small Family</v>
      </c>
      <c r="O745" s="37">
        <v>376566</v>
      </c>
      <c r="P745" s="37">
        <v>16.1</v>
      </c>
      <c r="Q745" s="37" t="str">
        <f t="shared" si="47"/>
        <v>Mid</v>
      </c>
      <c r="R745" s="37" t="s">
        <v>1236</v>
      </c>
      <c r="S745" s="37" t="s">
        <v>15</v>
      </c>
      <c r="T745" s="41" t="str">
        <f t="shared" si="45"/>
        <v>Southampton</v>
      </c>
    </row>
    <row r="746" spans="1:20">
      <c r="A746" s="37">
        <v>745</v>
      </c>
      <c r="B746" s="37">
        <v>1</v>
      </c>
      <c r="C746" s="37">
        <v>3</v>
      </c>
      <c r="D746" s="37" t="s">
        <v>2496</v>
      </c>
      <c r="E746" s="37" t="s">
        <v>1930</v>
      </c>
      <c r="F746" s="37" t="s">
        <v>1235</v>
      </c>
      <c r="G746" s="37" t="str">
        <f>_xlfn.XLOOKUP(F746,notes!$B$12:$B$18,notes!$C$12:$C$18,"Unknown")</f>
        <v>Male</v>
      </c>
      <c r="H746" s="38">
        <v>31</v>
      </c>
      <c r="I746" s="39" t="str">
        <f>_xlfn.XLOOKUP(H746,notes!$B$4:$B$8,notes!$C$4:$C$8,"Invalid",-1)</f>
        <v>Adult</v>
      </c>
      <c r="J746" s="37">
        <v>0</v>
      </c>
      <c r="K746" s="37">
        <v>0</v>
      </c>
      <c r="L746" s="37">
        <f t="shared" si="46"/>
        <v>1</v>
      </c>
      <c r="M746" s="40" t="str">
        <f t="shared" si="44"/>
        <v>Survived</v>
      </c>
      <c r="N746" s="37" t="str">
        <f>_xlfn.XLOOKUP(L746,notes!$B$28:$B$30,notes!$C$28:$C$30,"Unknown",-1)</f>
        <v>Alone</v>
      </c>
      <c r="O746" s="37" t="s">
        <v>1040</v>
      </c>
      <c r="P746" s="37">
        <v>7.925</v>
      </c>
      <c r="Q746" s="37" t="str">
        <f t="shared" si="47"/>
        <v>Low</v>
      </c>
      <c r="R746" s="37" t="s">
        <v>1236</v>
      </c>
      <c r="S746" s="37" t="s">
        <v>15</v>
      </c>
      <c r="T746" s="41" t="str">
        <f t="shared" si="45"/>
        <v>Southampton</v>
      </c>
    </row>
    <row r="747" spans="1:20">
      <c r="A747" s="37">
        <v>746</v>
      </c>
      <c r="B747" s="37">
        <v>0</v>
      </c>
      <c r="C747" s="37">
        <v>1</v>
      </c>
      <c r="D747" s="37" t="s">
        <v>2184</v>
      </c>
      <c r="E747" s="37" t="s">
        <v>2497</v>
      </c>
      <c r="F747" s="37" t="s">
        <v>2498</v>
      </c>
      <c r="G747" s="37" t="str">
        <f>_xlfn.XLOOKUP(F747,notes!$B$12:$B$18,notes!$C$12:$C$18,"Unknown")</f>
        <v>Unknown</v>
      </c>
      <c r="H747" s="38">
        <v>70</v>
      </c>
      <c r="I747" s="39" t="str">
        <f>_xlfn.XLOOKUP(H747,notes!$B$4:$B$8,notes!$C$4:$C$8,"Invalid",-1)</f>
        <v>Elderly</v>
      </c>
      <c r="J747" s="37">
        <v>1</v>
      </c>
      <c r="K747" s="37">
        <v>1</v>
      </c>
      <c r="L747" s="37">
        <f t="shared" si="46"/>
        <v>3</v>
      </c>
      <c r="M747" s="40" t="str">
        <f t="shared" si="44"/>
        <v>Not Survived</v>
      </c>
      <c r="N747" s="37" t="str">
        <f>_xlfn.XLOOKUP(L747,notes!$B$28:$B$30,notes!$C$28:$C$30,"Unknown",-1)</f>
        <v>Small Family</v>
      </c>
      <c r="O747" s="37" t="s">
        <v>778</v>
      </c>
      <c r="P747" s="37">
        <v>71</v>
      </c>
      <c r="Q747" s="37" t="str">
        <f t="shared" si="47"/>
        <v>High</v>
      </c>
      <c r="R747" s="37" t="s">
        <v>779</v>
      </c>
      <c r="S747" s="37" t="s">
        <v>15</v>
      </c>
      <c r="T747" s="41" t="str">
        <f t="shared" si="45"/>
        <v>Southampton</v>
      </c>
    </row>
    <row r="748" spans="1:20">
      <c r="A748" s="37">
        <v>747</v>
      </c>
      <c r="B748" s="37">
        <v>0</v>
      </c>
      <c r="C748" s="37">
        <v>3</v>
      </c>
      <c r="D748" s="37" t="s">
        <v>1753</v>
      </c>
      <c r="E748" s="37" t="s">
        <v>2499</v>
      </c>
      <c r="F748" s="37" t="s">
        <v>1235</v>
      </c>
      <c r="G748" s="37" t="str">
        <f>_xlfn.XLOOKUP(F748,notes!$B$12:$B$18,notes!$C$12:$C$18,"Unknown")</f>
        <v>Male</v>
      </c>
      <c r="H748" s="38">
        <v>16</v>
      </c>
      <c r="I748" s="39" t="str">
        <f>_xlfn.XLOOKUP(H748,notes!$B$4:$B$8,notes!$C$4:$C$8,"Invalid",-1)</f>
        <v>Teenager</v>
      </c>
      <c r="J748" s="37">
        <v>1</v>
      </c>
      <c r="K748" s="37">
        <v>1</v>
      </c>
      <c r="L748" s="37">
        <f t="shared" si="46"/>
        <v>3</v>
      </c>
      <c r="M748" s="40" t="str">
        <f t="shared" si="44"/>
        <v>Not Survived</v>
      </c>
      <c r="N748" s="37" t="str">
        <f>_xlfn.XLOOKUP(L748,notes!$B$28:$B$30,notes!$C$28:$C$30,"Unknown",-1)</f>
        <v>Small Family</v>
      </c>
      <c r="O748" s="37" t="s">
        <v>425</v>
      </c>
      <c r="P748" s="37">
        <v>20.25</v>
      </c>
      <c r="Q748" s="37" t="str">
        <f t="shared" si="47"/>
        <v>Mid</v>
      </c>
      <c r="R748" s="37" t="s">
        <v>1236</v>
      </c>
      <c r="S748" s="37" t="s">
        <v>15</v>
      </c>
      <c r="T748" s="41" t="str">
        <f t="shared" si="45"/>
        <v>Southampton</v>
      </c>
    </row>
    <row r="749" spans="1:20">
      <c r="A749" s="37">
        <v>748</v>
      </c>
      <c r="B749" s="37">
        <v>1</v>
      </c>
      <c r="C749" s="37">
        <v>2</v>
      </c>
      <c r="D749" s="37" t="s">
        <v>2500</v>
      </c>
      <c r="E749" s="37" t="s">
        <v>1482</v>
      </c>
      <c r="F749" s="37" t="s">
        <v>1242</v>
      </c>
      <c r="G749" s="37" t="str">
        <f>_xlfn.XLOOKUP(F749,notes!$B$12:$B$18,notes!$C$12:$C$18,"Unknown")</f>
        <v>Female</v>
      </c>
      <c r="H749" s="38">
        <v>30</v>
      </c>
      <c r="I749" s="39" t="str">
        <f>_xlfn.XLOOKUP(H749,notes!$B$4:$B$8,notes!$C$4:$C$8,"Invalid",-1)</f>
        <v>Adult</v>
      </c>
      <c r="J749" s="37">
        <v>0</v>
      </c>
      <c r="K749" s="37">
        <v>0</v>
      </c>
      <c r="L749" s="37">
        <f t="shared" si="46"/>
        <v>1</v>
      </c>
      <c r="M749" s="40" t="str">
        <f t="shared" si="44"/>
        <v>Survived</v>
      </c>
      <c r="N749" s="37" t="str">
        <f>_xlfn.XLOOKUP(L749,notes!$B$28:$B$30,notes!$C$28:$C$30,"Unknown",-1)</f>
        <v>Alone</v>
      </c>
      <c r="O749" s="37">
        <v>250648</v>
      </c>
      <c r="P749" s="37">
        <v>13</v>
      </c>
      <c r="Q749" s="37" t="str">
        <f t="shared" si="47"/>
        <v>Mid</v>
      </c>
      <c r="R749" s="37" t="s">
        <v>1236</v>
      </c>
      <c r="S749" s="37" t="s">
        <v>15</v>
      </c>
      <c r="T749" s="41" t="str">
        <f t="shared" si="45"/>
        <v>Southampton</v>
      </c>
    </row>
    <row r="750" spans="1:20">
      <c r="A750" s="37">
        <v>749</v>
      </c>
      <c r="B750" s="37">
        <v>0</v>
      </c>
      <c r="C750" s="37">
        <v>1</v>
      </c>
      <c r="D750" s="37" t="s">
        <v>2501</v>
      </c>
      <c r="E750" s="37" t="s">
        <v>2502</v>
      </c>
      <c r="F750" s="37" t="s">
        <v>1235</v>
      </c>
      <c r="G750" s="37" t="str">
        <f>_xlfn.XLOOKUP(F750,notes!$B$12:$B$18,notes!$C$12:$C$18,"Unknown")</f>
        <v>Male</v>
      </c>
      <c r="H750" s="38">
        <v>19</v>
      </c>
      <c r="I750" s="39" t="str">
        <f>_xlfn.XLOOKUP(H750,notes!$B$4:$B$8,notes!$C$4:$C$8,"Invalid",-1)</f>
        <v>Teenager</v>
      </c>
      <c r="J750" s="37">
        <v>1</v>
      </c>
      <c r="K750" s="37">
        <v>0</v>
      </c>
      <c r="L750" s="37">
        <f t="shared" si="46"/>
        <v>2</v>
      </c>
      <c r="M750" s="40" t="str">
        <f t="shared" si="44"/>
        <v>Not Survived</v>
      </c>
      <c r="N750" s="37" t="str">
        <f>_xlfn.XLOOKUP(L750,notes!$B$28:$B$30,notes!$C$28:$C$30,"Unknown",-1)</f>
        <v>Small Family</v>
      </c>
      <c r="O750" s="37">
        <v>113773</v>
      </c>
      <c r="P750" s="37">
        <v>53.1</v>
      </c>
      <c r="Q750" s="37" t="str">
        <f t="shared" si="47"/>
        <v>High</v>
      </c>
      <c r="R750" s="37" t="s">
        <v>1045</v>
      </c>
      <c r="S750" s="37" t="s">
        <v>15</v>
      </c>
      <c r="T750" s="41" t="str">
        <f t="shared" si="45"/>
        <v>Southampton</v>
      </c>
    </row>
    <row r="751" spans="1:20">
      <c r="A751" s="37">
        <v>750</v>
      </c>
      <c r="B751" s="37">
        <v>0</v>
      </c>
      <c r="C751" s="37">
        <v>3</v>
      </c>
      <c r="D751" s="37" t="s">
        <v>2503</v>
      </c>
      <c r="E751" s="37" t="s">
        <v>2457</v>
      </c>
      <c r="F751" s="37" t="s">
        <v>1235</v>
      </c>
      <c r="G751" s="37" t="str">
        <f>_xlfn.XLOOKUP(F751,notes!$B$12:$B$18,notes!$C$12:$C$18,"Unknown")</f>
        <v>Male</v>
      </c>
      <c r="H751" s="38">
        <v>31</v>
      </c>
      <c r="I751" s="39" t="str">
        <f>_xlfn.XLOOKUP(H751,notes!$B$4:$B$8,notes!$C$4:$C$8,"Invalid",-1)</f>
        <v>Adult</v>
      </c>
      <c r="J751" s="37">
        <v>0</v>
      </c>
      <c r="K751" s="37">
        <v>0</v>
      </c>
      <c r="L751" s="37">
        <f t="shared" si="46"/>
        <v>1</v>
      </c>
      <c r="M751" s="40" t="str">
        <f t="shared" si="44"/>
        <v>Not Survived</v>
      </c>
      <c r="N751" s="37" t="str">
        <f>_xlfn.XLOOKUP(L751,notes!$B$28:$B$30,notes!$C$28:$C$30,"Unknown",-1)</f>
        <v>Alone</v>
      </c>
      <c r="O751" s="37">
        <v>335097</v>
      </c>
      <c r="P751" s="37">
        <v>7.75</v>
      </c>
      <c r="Q751" s="37" t="str">
        <f t="shared" si="47"/>
        <v>Low</v>
      </c>
      <c r="R751" s="37" t="s">
        <v>1236</v>
      </c>
      <c r="S751" s="37" t="s">
        <v>28</v>
      </c>
      <c r="T751" s="41" t="str">
        <f t="shared" si="45"/>
        <v>Queenstown</v>
      </c>
    </row>
    <row r="752" spans="1:20">
      <c r="A752" s="37">
        <v>751</v>
      </c>
      <c r="B752" s="37">
        <v>1</v>
      </c>
      <c r="C752" s="37">
        <v>2</v>
      </c>
      <c r="D752" s="37" t="s">
        <v>2504</v>
      </c>
      <c r="E752" s="37" t="s">
        <v>2505</v>
      </c>
      <c r="F752" s="37" t="s">
        <v>1242</v>
      </c>
      <c r="G752" s="37" t="str">
        <f>_xlfn.XLOOKUP(F752,notes!$B$12:$B$18,notes!$C$12:$C$18,"Unknown")</f>
        <v>Female</v>
      </c>
      <c r="H752" s="38">
        <v>4</v>
      </c>
      <c r="I752" s="39" t="str">
        <f>_xlfn.XLOOKUP(H752,notes!$B$4:$B$8,notes!$C$4:$C$8,"Invalid",-1)</f>
        <v>Kid</v>
      </c>
      <c r="J752" s="37">
        <v>1</v>
      </c>
      <c r="K752" s="37">
        <v>1</v>
      </c>
      <c r="L752" s="37">
        <f t="shared" si="46"/>
        <v>3</v>
      </c>
      <c r="M752" s="40" t="str">
        <f t="shared" si="44"/>
        <v>Survived</v>
      </c>
      <c r="N752" s="37" t="str">
        <f>_xlfn.XLOOKUP(L752,notes!$B$28:$B$30,notes!$C$28:$C$30,"Unknown",-1)</f>
        <v>Small Family</v>
      </c>
      <c r="O752" s="37">
        <v>29103</v>
      </c>
      <c r="P752" s="37">
        <v>23</v>
      </c>
      <c r="Q752" s="37" t="str">
        <f t="shared" si="47"/>
        <v>Mid</v>
      </c>
      <c r="R752" s="37" t="s">
        <v>1236</v>
      </c>
      <c r="S752" s="37" t="s">
        <v>15</v>
      </c>
      <c r="T752" s="41" t="str">
        <f t="shared" si="45"/>
        <v>Southampton</v>
      </c>
    </row>
    <row r="753" spans="1:20">
      <c r="A753" s="37">
        <v>752</v>
      </c>
      <c r="B753" s="37">
        <v>1</v>
      </c>
      <c r="C753" s="37">
        <v>3</v>
      </c>
      <c r="D753" s="37" t="s">
        <v>2506</v>
      </c>
      <c r="E753" s="37" t="s">
        <v>2507</v>
      </c>
      <c r="F753" s="37" t="s">
        <v>1253</v>
      </c>
      <c r="G753" s="37" t="str">
        <f>_xlfn.XLOOKUP(F753,notes!$B$12:$B$18,notes!$C$12:$C$18,"Unknown")</f>
        <v>Male</v>
      </c>
      <c r="H753" s="38">
        <v>6</v>
      </c>
      <c r="I753" s="39" t="str">
        <f>_xlfn.XLOOKUP(H753,notes!$B$4:$B$8,notes!$C$4:$C$8,"Invalid",-1)</f>
        <v>Kid</v>
      </c>
      <c r="J753" s="37">
        <v>0</v>
      </c>
      <c r="K753" s="37">
        <v>1</v>
      </c>
      <c r="L753" s="37">
        <f t="shared" si="46"/>
        <v>2</v>
      </c>
      <c r="M753" s="40" t="str">
        <f t="shared" si="44"/>
        <v>Survived</v>
      </c>
      <c r="N753" s="37" t="str">
        <f>_xlfn.XLOOKUP(L753,notes!$B$28:$B$30,notes!$C$28:$C$30,"Unknown",-1)</f>
        <v>Small Family</v>
      </c>
      <c r="O753" s="37">
        <v>392096</v>
      </c>
      <c r="P753" s="37">
        <v>12.475</v>
      </c>
      <c r="Q753" s="37" t="str">
        <f t="shared" si="47"/>
        <v>Mid</v>
      </c>
      <c r="R753" s="37" t="s">
        <v>1049</v>
      </c>
      <c r="S753" s="37" t="s">
        <v>15</v>
      </c>
      <c r="T753" s="41" t="str">
        <f t="shared" si="45"/>
        <v>Southampton</v>
      </c>
    </row>
    <row r="754" spans="1:20">
      <c r="A754" s="37">
        <v>753</v>
      </c>
      <c r="B754" s="37">
        <v>0</v>
      </c>
      <c r="C754" s="37">
        <v>3</v>
      </c>
      <c r="D754" s="37" t="s">
        <v>2508</v>
      </c>
      <c r="E754" s="37" t="s">
        <v>2509</v>
      </c>
      <c r="F754" s="37" t="s">
        <v>1235</v>
      </c>
      <c r="G754" s="37" t="str">
        <f>_xlfn.XLOOKUP(F754,notes!$B$12:$B$18,notes!$C$12:$C$18,"Unknown")</f>
        <v>Male</v>
      </c>
      <c r="H754" s="38">
        <v>33</v>
      </c>
      <c r="I754" s="39" t="str">
        <f>_xlfn.XLOOKUP(H754,notes!$B$4:$B$8,notes!$C$4:$C$8,"Invalid",-1)</f>
        <v>Adult</v>
      </c>
      <c r="J754" s="37">
        <v>0</v>
      </c>
      <c r="K754" s="37">
        <v>0</v>
      </c>
      <c r="L754" s="37">
        <f t="shared" si="46"/>
        <v>1</v>
      </c>
      <c r="M754" s="40" t="str">
        <f t="shared" si="44"/>
        <v>Not Survived</v>
      </c>
      <c r="N754" s="37" t="str">
        <f>_xlfn.XLOOKUP(L754,notes!$B$28:$B$30,notes!$C$28:$C$30,"Unknown",-1)</f>
        <v>Alone</v>
      </c>
      <c r="O754" s="37">
        <v>345780</v>
      </c>
      <c r="P754" s="37">
        <v>9.5</v>
      </c>
      <c r="Q754" s="37" t="str">
        <f t="shared" si="47"/>
        <v>Low</v>
      </c>
      <c r="R754" s="37" t="s">
        <v>1236</v>
      </c>
      <c r="S754" s="37" t="s">
        <v>15</v>
      </c>
      <c r="T754" s="41" t="str">
        <f t="shared" si="45"/>
        <v>Southampton</v>
      </c>
    </row>
    <row r="755" spans="1:20">
      <c r="A755" s="37">
        <v>754</v>
      </c>
      <c r="B755" s="37">
        <v>0</v>
      </c>
      <c r="C755" s="37">
        <v>3</v>
      </c>
      <c r="D755" s="37" t="s">
        <v>2510</v>
      </c>
      <c r="E755" s="37" t="s">
        <v>1295</v>
      </c>
      <c r="F755" s="37" t="s">
        <v>1235</v>
      </c>
      <c r="G755" s="37" t="str">
        <f>_xlfn.XLOOKUP(F755,notes!$B$12:$B$18,notes!$C$12:$C$18,"Unknown")</f>
        <v>Male</v>
      </c>
      <c r="H755" s="38">
        <v>23</v>
      </c>
      <c r="I755" s="39" t="str">
        <f>_xlfn.XLOOKUP(H755,notes!$B$4:$B$8,notes!$C$4:$C$8,"Invalid",-1)</f>
        <v>Adult</v>
      </c>
      <c r="J755" s="37">
        <v>0</v>
      </c>
      <c r="K755" s="37">
        <v>0</v>
      </c>
      <c r="L755" s="37">
        <f t="shared" si="46"/>
        <v>1</v>
      </c>
      <c r="M755" s="40" t="str">
        <f t="shared" si="44"/>
        <v>Not Survived</v>
      </c>
      <c r="N755" s="37" t="str">
        <f>_xlfn.XLOOKUP(L755,notes!$B$28:$B$30,notes!$C$28:$C$30,"Unknown",-1)</f>
        <v>Alone</v>
      </c>
      <c r="O755" s="37">
        <v>349204</v>
      </c>
      <c r="P755" s="37">
        <v>7.8958</v>
      </c>
      <c r="Q755" s="37" t="str">
        <f t="shared" si="47"/>
        <v>Low</v>
      </c>
      <c r="R755" s="37" t="s">
        <v>1236</v>
      </c>
      <c r="S755" s="37" t="s">
        <v>15</v>
      </c>
      <c r="T755" s="41" t="str">
        <f t="shared" si="45"/>
        <v>Southampton</v>
      </c>
    </row>
    <row r="756" spans="1:20">
      <c r="A756" s="37">
        <v>755</v>
      </c>
      <c r="B756" s="37">
        <v>1</v>
      </c>
      <c r="C756" s="37">
        <v>2</v>
      </c>
      <c r="D756" s="37" t="s">
        <v>2297</v>
      </c>
      <c r="E756" s="37" t="s">
        <v>2511</v>
      </c>
      <c r="F756" s="37" t="s">
        <v>1239</v>
      </c>
      <c r="G756" s="37" t="str">
        <f>_xlfn.XLOOKUP(F756,notes!$B$12:$B$18,notes!$C$12:$C$18,"Unknown")</f>
        <v>Female</v>
      </c>
      <c r="H756" s="38">
        <v>48</v>
      </c>
      <c r="I756" s="39" t="str">
        <f>_xlfn.XLOOKUP(H756,notes!$B$4:$B$8,notes!$C$4:$C$8,"Invalid",-1)</f>
        <v>Adult</v>
      </c>
      <c r="J756" s="37">
        <v>1</v>
      </c>
      <c r="K756" s="37">
        <v>2</v>
      </c>
      <c r="L756" s="37">
        <f t="shared" si="46"/>
        <v>4</v>
      </c>
      <c r="M756" s="40" t="str">
        <f t="shared" si="44"/>
        <v>Survived</v>
      </c>
      <c r="N756" s="37" t="str">
        <f>_xlfn.XLOOKUP(L756,notes!$B$28:$B$30,notes!$C$28:$C$30,"Unknown",-1)</f>
        <v>Large Family</v>
      </c>
      <c r="O756" s="37">
        <v>220845</v>
      </c>
      <c r="P756" s="37">
        <v>65</v>
      </c>
      <c r="Q756" s="37" t="str">
        <f t="shared" si="47"/>
        <v>High</v>
      </c>
      <c r="R756" s="37" t="s">
        <v>1236</v>
      </c>
      <c r="S756" s="37" t="s">
        <v>15</v>
      </c>
      <c r="T756" s="41" t="str">
        <f t="shared" si="45"/>
        <v>Southampton</v>
      </c>
    </row>
    <row r="757" spans="1:20">
      <c r="A757" s="37">
        <v>756</v>
      </c>
      <c r="B757" s="37">
        <v>1</v>
      </c>
      <c r="C757" s="37">
        <v>2</v>
      </c>
      <c r="D757" s="37" t="s">
        <v>1698</v>
      </c>
      <c r="E757" s="37" t="s">
        <v>2512</v>
      </c>
      <c r="F757" s="37" t="s">
        <v>1253</v>
      </c>
      <c r="G757" s="37" t="str">
        <f>_xlfn.XLOOKUP(F757,notes!$B$12:$B$18,notes!$C$12:$C$18,"Unknown")</f>
        <v>Male</v>
      </c>
      <c r="H757" s="38">
        <v>0.67</v>
      </c>
      <c r="I757" s="39" t="str">
        <f>_xlfn.XLOOKUP(H757,notes!$B$4:$B$8,notes!$C$4:$C$8,"Invalid",-1)</f>
        <v>Kid</v>
      </c>
      <c r="J757" s="37">
        <v>1</v>
      </c>
      <c r="K757" s="37">
        <v>1</v>
      </c>
      <c r="L757" s="37">
        <f t="shared" si="46"/>
        <v>3</v>
      </c>
      <c r="M757" s="40" t="str">
        <f t="shared" si="44"/>
        <v>Survived</v>
      </c>
      <c r="N757" s="37" t="str">
        <f>_xlfn.XLOOKUP(L757,notes!$B$28:$B$30,notes!$C$28:$C$30,"Unknown",-1)</f>
        <v>Small Family</v>
      </c>
      <c r="O757" s="37">
        <v>250649</v>
      </c>
      <c r="P757" s="37">
        <v>14.5</v>
      </c>
      <c r="Q757" s="37" t="str">
        <f t="shared" si="47"/>
        <v>Mid</v>
      </c>
      <c r="R757" s="37" t="s">
        <v>1236</v>
      </c>
      <c r="S757" s="37" t="s">
        <v>15</v>
      </c>
      <c r="T757" s="41" t="str">
        <f t="shared" si="45"/>
        <v>Southampton</v>
      </c>
    </row>
    <row r="758" spans="1:20">
      <c r="A758" s="37">
        <v>757</v>
      </c>
      <c r="B758" s="37">
        <v>0</v>
      </c>
      <c r="C758" s="37">
        <v>3</v>
      </c>
      <c r="D758" s="37" t="s">
        <v>2513</v>
      </c>
      <c r="E758" s="37" t="s">
        <v>2514</v>
      </c>
      <c r="F758" s="37" t="s">
        <v>1235</v>
      </c>
      <c r="G758" s="37" t="str">
        <f>_xlfn.XLOOKUP(F758,notes!$B$12:$B$18,notes!$C$12:$C$18,"Unknown")</f>
        <v>Male</v>
      </c>
      <c r="H758" s="38">
        <v>28</v>
      </c>
      <c r="I758" s="39" t="str">
        <f>_xlfn.XLOOKUP(H758,notes!$B$4:$B$8,notes!$C$4:$C$8,"Invalid",-1)</f>
        <v>Adult</v>
      </c>
      <c r="J758" s="37">
        <v>0</v>
      </c>
      <c r="K758" s="37">
        <v>0</v>
      </c>
      <c r="L758" s="37">
        <f t="shared" si="46"/>
        <v>1</v>
      </c>
      <c r="M758" s="40" t="str">
        <f t="shared" si="44"/>
        <v>Not Survived</v>
      </c>
      <c r="N758" s="37" t="str">
        <f>_xlfn.XLOOKUP(L758,notes!$B$28:$B$30,notes!$C$28:$C$30,"Unknown",-1)</f>
        <v>Alone</v>
      </c>
      <c r="O758" s="37">
        <v>350042</v>
      </c>
      <c r="P758" s="37">
        <v>7.7958</v>
      </c>
      <c r="Q758" s="37" t="str">
        <f t="shared" si="47"/>
        <v>Low</v>
      </c>
      <c r="R758" s="37" t="s">
        <v>1236</v>
      </c>
      <c r="S758" s="37" t="s">
        <v>15</v>
      </c>
      <c r="T758" s="41" t="str">
        <f t="shared" si="45"/>
        <v>Southampton</v>
      </c>
    </row>
    <row r="759" spans="1:20">
      <c r="A759" s="37">
        <v>758</v>
      </c>
      <c r="B759" s="37">
        <v>0</v>
      </c>
      <c r="C759" s="37">
        <v>2</v>
      </c>
      <c r="D759" s="37" t="s">
        <v>2515</v>
      </c>
      <c r="E759" s="37" t="s">
        <v>2516</v>
      </c>
      <c r="F759" s="37" t="s">
        <v>1235</v>
      </c>
      <c r="G759" s="37" t="str">
        <f>_xlfn.XLOOKUP(F759,notes!$B$12:$B$18,notes!$C$12:$C$18,"Unknown")</f>
        <v>Male</v>
      </c>
      <c r="H759" s="38">
        <v>18</v>
      </c>
      <c r="I759" s="39" t="str">
        <f>_xlfn.XLOOKUP(H759,notes!$B$4:$B$8,notes!$C$4:$C$8,"Invalid",-1)</f>
        <v>Teenager</v>
      </c>
      <c r="J759" s="37">
        <v>0</v>
      </c>
      <c r="K759" s="37">
        <v>0</v>
      </c>
      <c r="L759" s="37">
        <f t="shared" si="46"/>
        <v>1</v>
      </c>
      <c r="M759" s="40" t="str">
        <f t="shared" si="44"/>
        <v>Not Survived</v>
      </c>
      <c r="N759" s="37" t="str">
        <f>_xlfn.XLOOKUP(L759,notes!$B$28:$B$30,notes!$C$28:$C$30,"Unknown",-1)</f>
        <v>Alone</v>
      </c>
      <c r="O759" s="37">
        <v>29108</v>
      </c>
      <c r="P759" s="37">
        <v>11.5</v>
      </c>
      <c r="Q759" s="37" t="str">
        <f t="shared" si="47"/>
        <v>Mid</v>
      </c>
      <c r="R759" s="37" t="s">
        <v>1236</v>
      </c>
      <c r="S759" s="37" t="s">
        <v>15</v>
      </c>
      <c r="T759" s="41" t="str">
        <f t="shared" si="45"/>
        <v>Southampton</v>
      </c>
    </row>
    <row r="760" spans="1:20">
      <c r="A760" s="37">
        <v>759</v>
      </c>
      <c r="B760" s="37">
        <v>0</v>
      </c>
      <c r="C760" s="37">
        <v>3</v>
      </c>
      <c r="D760" s="37" t="s">
        <v>2517</v>
      </c>
      <c r="E760" s="37" t="s">
        <v>2518</v>
      </c>
      <c r="F760" s="37" t="s">
        <v>1235</v>
      </c>
      <c r="G760" s="37" t="str">
        <f>_xlfn.XLOOKUP(F760,notes!$B$12:$B$18,notes!$C$12:$C$18,"Unknown")</f>
        <v>Male</v>
      </c>
      <c r="H760" s="38">
        <v>34</v>
      </c>
      <c r="I760" s="39" t="str">
        <f>_xlfn.XLOOKUP(H760,notes!$B$4:$B$8,notes!$C$4:$C$8,"Invalid",-1)</f>
        <v>Adult</v>
      </c>
      <c r="J760" s="37">
        <v>0</v>
      </c>
      <c r="K760" s="37">
        <v>0</v>
      </c>
      <c r="L760" s="37">
        <f t="shared" si="46"/>
        <v>1</v>
      </c>
      <c r="M760" s="40" t="str">
        <f t="shared" si="44"/>
        <v>Not Survived</v>
      </c>
      <c r="N760" s="37" t="str">
        <f>_xlfn.XLOOKUP(L760,notes!$B$28:$B$30,notes!$C$28:$C$30,"Unknown",-1)</f>
        <v>Alone</v>
      </c>
      <c r="O760" s="37">
        <v>363294</v>
      </c>
      <c r="P760" s="37">
        <v>8.05</v>
      </c>
      <c r="Q760" s="37" t="str">
        <f t="shared" si="47"/>
        <v>Low</v>
      </c>
      <c r="R760" s="37" t="s">
        <v>1236</v>
      </c>
      <c r="S760" s="37" t="s">
        <v>15</v>
      </c>
      <c r="T760" s="41" t="str">
        <f t="shared" si="45"/>
        <v>Southampton</v>
      </c>
    </row>
    <row r="761" spans="1:20">
      <c r="A761" s="37">
        <v>760</v>
      </c>
      <c r="B761" s="37">
        <v>1</v>
      </c>
      <c r="C761" s="37">
        <v>1</v>
      </c>
      <c r="D761" s="37" t="s">
        <v>2519</v>
      </c>
      <c r="E761" s="37" t="s">
        <v>2520</v>
      </c>
      <c r="F761" s="37" t="s">
        <v>2521</v>
      </c>
      <c r="G761" s="37" t="str">
        <f>_xlfn.XLOOKUP(F761,notes!$B$12:$B$18,notes!$C$12:$C$18,"Unknown")</f>
        <v>Unknown</v>
      </c>
      <c r="H761" s="38">
        <v>33</v>
      </c>
      <c r="I761" s="39" t="str">
        <f>_xlfn.XLOOKUP(H761,notes!$B$4:$B$8,notes!$C$4:$C$8,"Invalid",-1)</f>
        <v>Adult</v>
      </c>
      <c r="J761" s="37">
        <v>0</v>
      </c>
      <c r="K761" s="37">
        <v>0</v>
      </c>
      <c r="L761" s="37">
        <f t="shared" si="46"/>
        <v>1</v>
      </c>
      <c r="M761" s="40" t="str">
        <f t="shared" si="44"/>
        <v>Survived</v>
      </c>
      <c r="N761" s="37" t="str">
        <f>_xlfn.XLOOKUP(L761,notes!$B$28:$B$30,notes!$C$28:$C$30,"Unknown",-1)</f>
        <v>Alone</v>
      </c>
      <c r="O761" s="37">
        <v>110152</v>
      </c>
      <c r="P761" s="37">
        <v>86.5</v>
      </c>
      <c r="Q761" s="37" t="str">
        <f t="shared" si="47"/>
        <v>High</v>
      </c>
      <c r="R761" s="37" t="s">
        <v>391</v>
      </c>
      <c r="S761" s="37" t="s">
        <v>15</v>
      </c>
      <c r="T761" s="41" t="str">
        <f t="shared" si="45"/>
        <v>Southampton</v>
      </c>
    </row>
    <row r="762" spans="1:20">
      <c r="A762" s="37">
        <v>761</v>
      </c>
      <c r="B762" s="37">
        <v>0</v>
      </c>
      <c r="C762" s="37">
        <v>3</v>
      </c>
      <c r="D762" s="37" t="s">
        <v>2522</v>
      </c>
      <c r="E762" s="37" t="s">
        <v>1592</v>
      </c>
      <c r="F762" s="37" t="s">
        <v>1235</v>
      </c>
      <c r="G762" s="37" t="str">
        <f>_xlfn.XLOOKUP(F762,notes!$B$12:$B$18,notes!$C$12:$C$18,"Unknown")</f>
        <v>Male</v>
      </c>
      <c r="H762" s="38" t="s">
        <v>1236</v>
      </c>
      <c r="I762" s="39" t="str">
        <f>_xlfn.XLOOKUP(H762,notes!$B$4:$B$8,notes!$C$4:$C$8,"Invalid",-1)</f>
        <v>Unknown</v>
      </c>
      <c r="J762" s="37">
        <v>0</v>
      </c>
      <c r="K762" s="37">
        <v>0</v>
      </c>
      <c r="L762" s="37">
        <f t="shared" si="46"/>
        <v>1</v>
      </c>
      <c r="M762" s="40" t="str">
        <f t="shared" si="44"/>
        <v>Not Survived</v>
      </c>
      <c r="N762" s="37" t="str">
        <f>_xlfn.XLOOKUP(L762,notes!$B$28:$B$30,notes!$C$28:$C$30,"Unknown",-1)</f>
        <v>Alone</v>
      </c>
      <c r="O762" s="37">
        <v>358585</v>
      </c>
      <c r="P762" s="37">
        <v>14.5</v>
      </c>
      <c r="Q762" s="37" t="str">
        <f t="shared" si="47"/>
        <v>Mid</v>
      </c>
      <c r="R762" s="37" t="s">
        <v>1236</v>
      </c>
      <c r="S762" s="37" t="s">
        <v>15</v>
      </c>
      <c r="T762" s="41" t="str">
        <f t="shared" si="45"/>
        <v>Southampton</v>
      </c>
    </row>
    <row r="763" spans="1:20">
      <c r="A763" s="37">
        <v>762</v>
      </c>
      <c r="B763" s="37">
        <v>0</v>
      </c>
      <c r="C763" s="37">
        <v>3</v>
      </c>
      <c r="D763" s="37" t="s">
        <v>2523</v>
      </c>
      <c r="E763" s="37" t="s">
        <v>2524</v>
      </c>
      <c r="F763" s="37" t="s">
        <v>1235</v>
      </c>
      <c r="G763" s="37" t="str">
        <f>_xlfn.XLOOKUP(F763,notes!$B$12:$B$18,notes!$C$12:$C$18,"Unknown")</f>
        <v>Male</v>
      </c>
      <c r="H763" s="38">
        <v>41</v>
      </c>
      <c r="I763" s="39" t="str">
        <f>_xlfn.XLOOKUP(H763,notes!$B$4:$B$8,notes!$C$4:$C$8,"Invalid",-1)</f>
        <v>Adult</v>
      </c>
      <c r="J763" s="37">
        <v>0</v>
      </c>
      <c r="K763" s="37">
        <v>0</v>
      </c>
      <c r="L763" s="37">
        <f t="shared" si="46"/>
        <v>1</v>
      </c>
      <c r="M763" s="40" t="str">
        <f t="shared" si="44"/>
        <v>Not Survived</v>
      </c>
      <c r="N763" s="37" t="str">
        <f>_xlfn.XLOOKUP(L763,notes!$B$28:$B$30,notes!$C$28:$C$30,"Unknown",-1)</f>
        <v>Alone</v>
      </c>
      <c r="O763" s="37" t="s">
        <v>1060</v>
      </c>
      <c r="P763" s="37">
        <v>7.125</v>
      </c>
      <c r="Q763" s="37" t="str">
        <f t="shared" si="47"/>
        <v>Low</v>
      </c>
      <c r="R763" s="37" t="s">
        <v>1236</v>
      </c>
      <c r="S763" s="37" t="s">
        <v>15</v>
      </c>
      <c r="T763" s="41" t="str">
        <f t="shared" si="45"/>
        <v>Southampton</v>
      </c>
    </row>
    <row r="764" spans="1:20">
      <c r="A764" s="37">
        <v>763</v>
      </c>
      <c r="B764" s="37">
        <v>1</v>
      </c>
      <c r="C764" s="37">
        <v>3</v>
      </c>
      <c r="D764" s="37" t="s">
        <v>2525</v>
      </c>
      <c r="E764" s="37" t="s">
        <v>2526</v>
      </c>
      <c r="F764" s="37" t="s">
        <v>1235</v>
      </c>
      <c r="G764" s="37" t="str">
        <f>_xlfn.XLOOKUP(F764,notes!$B$12:$B$18,notes!$C$12:$C$18,"Unknown")</f>
        <v>Male</v>
      </c>
      <c r="H764" s="38">
        <v>20</v>
      </c>
      <c r="I764" s="39" t="str">
        <f>_xlfn.XLOOKUP(H764,notes!$B$4:$B$8,notes!$C$4:$C$8,"Invalid",-1)</f>
        <v>Adult</v>
      </c>
      <c r="J764" s="37">
        <v>0</v>
      </c>
      <c r="K764" s="37">
        <v>0</v>
      </c>
      <c r="L764" s="37">
        <f t="shared" si="46"/>
        <v>1</v>
      </c>
      <c r="M764" s="40" t="str">
        <f t="shared" si="44"/>
        <v>Survived</v>
      </c>
      <c r="N764" s="37" t="str">
        <f>_xlfn.XLOOKUP(L764,notes!$B$28:$B$30,notes!$C$28:$C$30,"Unknown",-1)</f>
        <v>Alone</v>
      </c>
      <c r="O764" s="37">
        <v>2663</v>
      </c>
      <c r="P764" s="37">
        <v>7.2292</v>
      </c>
      <c r="Q764" s="37" t="str">
        <f t="shared" si="47"/>
        <v>Low</v>
      </c>
      <c r="R764" s="37" t="s">
        <v>1236</v>
      </c>
      <c r="S764" s="37" t="s">
        <v>20</v>
      </c>
      <c r="T764" s="41" t="str">
        <f t="shared" si="45"/>
        <v>Cherbourg</v>
      </c>
    </row>
    <row r="765" spans="1:20">
      <c r="A765" s="37">
        <v>764</v>
      </c>
      <c r="B765" s="37">
        <v>1</v>
      </c>
      <c r="C765" s="37">
        <v>1</v>
      </c>
      <c r="D765" s="37" t="s">
        <v>1702</v>
      </c>
      <c r="E765" s="37" t="s">
        <v>2527</v>
      </c>
      <c r="F765" s="37" t="s">
        <v>1239</v>
      </c>
      <c r="G765" s="37" t="str">
        <f>_xlfn.XLOOKUP(F765,notes!$B$12:$B$18,notes!$C$12:$C$18,"Unknown")</f>
        <v>Female</v>
      </c>
      <c r="H765" s="38">
        <v>36</v>
      </c>
      <c r="I765" s="39" t="str">
        <f>_xlfn.XLOOKUP(H765,notes!$B$4:$B$8,notes!$C$4:$C$8,"Invalid",-1)</f>
        <v>Adult</v>
      </c>
      <c r="J765" s="37">
        <v>1</v>
      </c>
      <c r="K765" s="37">
        <v>2</v>
      </c>
      <c r="L765" s="37">
        <f t="shared" si="46"/>
        <v>4</v>
      </c>
      <c r="M765" s="40" t="str">
        <f t="shared" si="44"/>
        <v>Survived</v>
      </c>
      <c r="N765" s="37" t="str">
        <f>_xlfn.XLOOKUP(L765,notes!$B$28:$B$30,notes!$C$28:$C$30,"Unknown",-1)</f>
        <v>Large Family</v>
      </c>
      <c r="O765" s="37">
        <v>113760</v>
      </c>
      <c r="P765" s="37">
        <v>120</v>
      </c>
      <c r="Q765" s="37" t="str">
        <f t="shared" si="47"/>
        <v>High</v>
      </c>
      <c r="R765" s="37" t="s">
        <v>579</v>
      </c>
      <c r="S765" s="37" t="s">
        <v>15</v>
      </c>
      <c r="T765" s="41" t="str">
        <f t="shared" si="45"/>
        <v>Southampton</v>
      </c>
    </row>
    <row r="766" spans="1:20">
      <c r="A766" s="37">
        <v>765</v>
      </c>
      <c r="B766" s="37">
        <v>0</v>
      </c>
      <c r="C766" s="37">
        <v>3</v>
      </c>
      <c r="D766" s="37" t="s">
        <v>2528</v>
      </c>
      <c r="E766" s="37" t="s">
        <v>2529</v>
      </c>
      <c r="F766" s="37" t="s">
        <v>1235</v>
      </c>
      <c r="G766" s="37" t="str">
        <f>_xlfn.XLOOKUP(F766,notes!$B$12:$B$18,notes!$C$12:$C$18,"Unknown")</f>
        <v>Male</v>
      </c>
      <c r="H766" s="38">
        <v>16</v>
      </c>
      <c r="I766" s="39" t="str">
        <f>_xlfn.XLOOKUP(H766,notes!$B$4:$B$8,notes!$C$4:$C$8,"Invalid",-1)</f>
        <v>Teenager</v>
      </c>
      <c r="J766" s="37">
        <v>0</v>
      </c>
      <c r="K766" s="37">
        <v>0</v>
      </c>
      <c r="L766" s="37">
        <f t="shared" si="46"/>
        <v>1</v>
      </c>
      <c r="M766" s="40" t="str">
        <f t="shared" si="44"/>
        <v>Not Survived</v>
      </c>
      <c r="N766" s="37" t="str">
        <f>_xlfn.XLOOKUP(L766,notes!$B$28:$B$30,notes!$C$28:$C$30,"Unknown",-1)</f>
        <v>Alone</v>
      </c>
      <c r="O766" s="37">
        <v>347074</v>
      </c>
      <c r="P766" s="37">
        <v>7.775</v>
      </c>
      <c r="Q766" s="37" t="str">
        <f t="shared" si="47"/>
        <v>Low</v>
      </c>
      <c r="R766" s="37" t="s">
        <v>1236</v>
      </c>
      <c r="S766" s="37" t="s">
        <v>15</v>
      </c>
      <c r="T766" s="41" t="str">
        <f t="shared" si="45"/>
        <v>Southampton</v>
      </c>
    </row>
    <row r="767" spans="1:20">
      <c r="A767" s="37">
        <v>766</v>
      </c>
      <c r="B767" s="37">
        <v>1</v>
      </c>
      <c r="C767" s="37">
        <v>1</v>
      </c>
      <c r="D767" s="37" t="s">
        <v>2530</v>
      </c>
      <c r="E767" s="37" t="s">
        <v>2531</v>
      </c>
      <c r="F767" s="37" t="s">
        <v>1239</v>
      </c>
      <c r="G767" s="37" t="str">
        <f>_xlfn.XLOOKUP(F767,notes!$B$12:$B$18,notes!$C$12:$C$18,"Unknown")</f>
        <v>Female</v>
      </c>
      <c r="H767" s="38">
        <v>51</v>
      </c>
      <c r="I767" s="39" t="str">
        <f>_xlfn.XLOOKUP(H767,notes!$B$4:$B$8,notes!$C$4:$C$8,"Invalid",-1)</f>
        <v>Adult</v>
      </c>
      <c r="J767" s="37">
        <v>1</v>
      </c>
      <c r="K767" s="37">
        <v>0</v>
      </c>
      <c r="L767" s="37">
        <f t="shared" si="46"/>
        <v>2</v>
      </c>
      <c r="M767" s="40" t="str">
        <f t="shared" si="44"/>
        <v>Survived</v>
      </c>
      <c r="N767" s="37" t="str">
        <f>_xlfn.XLOOKUP(L767,notes!$B$28:$B$30,notes!$C$28:$C$30,"Unknown",-1)</f>
        <v>Small Family</v>
      </c>
      <c r="O767" s="37">
        <v>13502</v>
      </c>
      <c r="P767" s="37">
        <v>77.9583</v>
      </c>
      <c r="Q767" s="37" t="str">
        <f t="shared" si="47"/>
        <v>High</v>
      </c>
      <c r="R767" s="37" t="s">
        <v>1065</v>
      </c>
      <c r="S767" s="37" t="s">
        <v>15</v>
      </c>
      <c r="T767" s="41" t="str">
        <f t="shared" si="45"/>
        <v>Southampton</v>
      </c>
    </row>
    <row r="768" spans="1:20">
      <c r="A768" s="37">
        <v>767</v>
      </c>
      <c r="B768" s="37">
        <v>0</v>
      </c>
      <c r="C768" s="37">
        <v>1</v>
      </c>
      <c r="D768" s="37" t="s">
        <v>2532</v>
      </c>
      <c r="E768" s="37" t="s">
        <v>2533</v>
      </c>
      <c r="F768" s="37" t="s">
        <v>1695</v>
      </c>
      <c r="G768" s="37" t="str">
        <f>_xlfn.XLOOKUP(F768,notes!$B$12:$B$18,notes!$C$12:$C$18,"Unknown")</f>
        <v>Male</v>
      </c>
      <c r="H768" s="38" t="s">
        <v>1236</v>
      </c>
      <c r="I768" s="39" t="str">
        <f>_xlfn.XLOOKUP(H768,notes!$B$4:$B$8,notes!$C$4:$C$8,"Invalid",-1)</f>
        <v>Unknown</v>
      </c>
      <c r="J768" s="37">
        <v>0</v>
      </c>
      <c r="K768" s="37">
        <v>0</v>
      </c>
      <c r="L768" s="37">
        <f t="shared" si="46"/>
        <v>1</v>
      </c>
      <c r="M768" s="40" t="str">
        <f t="shared" si="44"/>
        <v>Not Survived</v>
      </c>
      <c r="N768" s="37" t="str">
        <f>_xlfn.XLOOKUP(L768,notes!$B$28:$B$30,notes!$C$28:$C$30,"Unknown",-1)</f>
        <v>Alone</v>
      </c>
      <c r="O768" s="37">
        <v>112379</v>
      </c>
      <c r="P768" s="37">
        <v>39.6</v>
      </c>
      <c r="Q768" s="37" t="str">
        <f t="shared" si="47"/>
        <v>Mid</v>
      </c>
      <c r="R768" s="37" t="s">
        <v>1236</v>
      </c>
      <c r="S768" s="37" t="s">
        <v>20</v>
      </c>
      <c r="T768" s="41" t="str">
        <f t="shared" si="45"/>
        <v>Cherbourg</v>
      </c>
    </row>
    <row r="769" spans="1:20">
      <c r="A769" s="37">
        <v>768</v>
      </c>
      <c r="B769" s="37">
        <v>0</v>
      </c>
      <c r="C769" s="37">
        <v>3</v>
      </c>
      <c r="D769" s="37" t="s">
        <v>2534</v>
      </c>
      <c r="E769" s="37" t="s">
        <v>1890</v>
      </c>
      <c r="F769" s="37" t="s">
        <v>1242</v>
      </c>
      <c r="G769" s="37" t="str">
        <f>_xlfn.XLOOKUP(F769,notes!$B$12:$B$18,notes!$C$12:$C$18,"Unknown")</f>
        <v>Female</v>
      </c>
      <c r="H769" s="38">
        <v>30.5</v>
      </c>
      <c r="I769" s="39" t="str">
        <f>_xlfn.XLOOKUP(H769,notes!$B$4:$B$8,notes!$C$4:$C$8,"Invalid",-1)</f>
        <v>Adult</v>
      </c>
      <c r="J769" s="37">
        <v>0</v>
      </c>
      <c r="K769" s="37">
        <v>0</v>
      </c>
      <c r="L769" s="37">
        <f t="shared" si="46"/>
        <v>1</v>
      </c>
      <c r="M769" s="40" t="str">
        <f t="shared" si="44"/>
        <v>Not Survived</v>
      </c>
      <c r="N769" s="37" t="str">
        <f>_xlfn.XLOOKUP(L769,notes!$B$28:$B$30,notes!$C$28:$C$30,"Unknown",-1)</f>
        <v>Alone</v>
      </c>
      <c r="O769" s="37">
        <v>364850</v>
      </c>
      <c r="P769" s="37">
        <v>7.75</v>
      </c>
      <c r="Q769" s="37" t="str">
        <f t="shared" si="47"/>
        <v>Low</v>
      </c>
      <c r="R769" s="37" t="s">
        <v>1236</v>
      </c>
      <c r="S769" s="37" t="s">
        <v>28</v>
      </c>
      <c r="T769" s="41" t="str">
        <f t="shared" si="45"/>
        <v>Queenstown</v>
      </c>
    </row>
    <row r="770" spans="1:20">
      <c r="A770" s="37">
        <v>769</v>
      </c>
      <c r="B770" s="37">
        <v>0</v>
      </c>
      <c r="C770" s="37">
        <v>3</v>
      </c>
      <c r="D770" s="37" t="s">
        <v>1247</v>
      </c>
      <c r="E770" s="37" t="s">
        <v>2535</v>
      </c>
      <c r="F770" s="37" t="s">
        <v>1235</v>
      </c>
      <c r="G770" s="37" t="str">
        <f>_xlfn.XLOOKUP(F770,notes!$B$12:$B$18,notes!$C$12:$C$18,"Unknown")</f>
        <v>Male</v>
      </c>
      <c r="H770" s="38" t="s">
        <v>1236</v>
      </c>
      <c r="I770" s="39" t="str">
        <f>_xlfn.XLOOKUP(H770,notes!$B$4:$B$8,notes!$C$4:$C$8,"Invalid",-1)</f>
        <v>Unknown</v>
      </c>
      <c r="J770" s="37">
        <v>1</v>
      </c>
      <c r="K770" s="37">
        <v>0</v>
      </c>
      <c r="L770" s="37">
        <f t="shared" si="46"/>
        <v>2</v>
      </c>
      <c r="M770" s="40" t="str">
        <f t="shared" ref="M770:M833" si="48">IF(B770=1,"Survived","Not Survived")</f>
        <v>Not Survived</v>
      </c>
      <c r="N770" s="37" t="str">
        <f>_xlfn.XLOOKUP(L770,notes!$B$28:$B$30,notes!$C$28:$C$30,"Unknown",-1)</f>
        <v>Small Family</v>
      </c>
      <c r="O770" s="37">
        <v>371110</v>
      </c>
      <c r="P770" s="37">
        <v>24.15</v>
      </c>
      <c r="Q770" s="37" t="str">
        <f t="shared" si="47"/>
        <v>Mid</v>
      </c>
      <c r="R770" s="37" t="s">
        <v>1236</v>
      </c>
      <c r="S770" s="37" t="s">
        <v>28</v>
      </c>
      <c r="T770" s="41" t="str">
        <f t="shared" ref="T770:T833" si="49">IF(S770="Q","Queenstown",IF(S770="C","Cherbourg",IF(S770="S","Southampton","Unknown")))</f>
        <v>Queenstown</v>
      </c>
    </row>
    <row r="771" spans="1:20">
      <c r="A771" s="37">
        <v>770</v>
      </c>
      <c r="B771" s="37">
        <v>0</v>
      </c>
      <c r="C771" s="37">
        <v>3</v>
      </c>
      <c r="D771" s="37" t="s">
        <v>2536</v>
      </c>
      <c r="E771" s="37" t="s">
        <v>2537</v>
      </c>
      <c r="F771" s="37" t="s">
        <v>1235</v>
      </c>
      <c r="G771" s="37" t="str">
        <f>_xlfn.XLOOKUP(F771,notes!$B$12:$B$18,notes!$C$12:$C$18,"Unknown")</f>
        <v>Male</v>
      </c>
      <c r="H771" s="38">
        <v>32</v>
      </c>
      <c r="I771" s="39" t="str">
        <f>_xlfn.XLOOKUP(H771,notes!$B$4:$B$8,notes!$C$4:$C$8,"Invalid",-1)</f>
        <v>Adult</v>
      </c>
      <c r="J771" s="37">
        <v>0</v>
      </c>
      <c r="K771" s="37">
        <v>0</v>
      </c>
      <c r="L771" s="37">
        <f t="shared" ref="L771:L834" si="50">(J771+K771)+1</f>
        <v>1</v>
      </c>
      <c r="M771" s="40" t="str">
        <f t="shared" si="48"/>
        <v>Not Survived</v>
      </c>
      <c r="N771" s="37" t="str">
        <f>_xlfn.XLOOKUP(L771,notes!$B$28:$B$30,notes!$C$28:$C$30,"Unknown",-1)</f>
        <v>Alone</v>
      </c>
      <c r="O771" s="37">
        <v>8471</v>
      </c>
      <c r="P771" s="37">
        <v>8.3625</v>
      </c>
      <c r="Q771" s="37" t="str">
        <f t="shared" ref="Q771:Q834" si="51">IF(P771&gt;=50,"High",IF(P771&gt;=10,"Mid",IF(P771&lt;10,"Low","invalid")))</f>
        <v>Low</v>
      </c>
      <c r="R771" s="37" t="s">
        <v>1236</v>
      </c>
      <c r="S771" s="37" t="s">
        <v>15</v>
      </c>
      <c r="T771" s="41" t="str">
        <f t="shared" si="49"/>
        <v>Southampton</v>
      </c>
    </row>
    <row r="772" spans="1:20">
      <c r="A772" s="37">
        <v>771</v>
      </c>
      <c r="B772" s="37">
        <v>0</v>
      </c>
      <c r="C772" s="37">
        <v>3</v>
      </c>
      <c r="D772" s="37" t="s">
        <v>2538</v>
      </c>
      <c r="E772" s="37" t="s">
        <v>2539</v>
      </c>
      <c r="F772" s="37" t="s">
        <v>1235</v>
      </c>
      <c r="G772" s="37" t="str">
        <f>_xlfn.XLOOKUP(F772,notes!$B$12:$B$18,notes!$C$12:$C$18,"Unknown")</f>
        <v>Male</v>
      </c>
      <c r="H772" s="38">
        <v>24</v>
      </c>
      <c r="I772" s="39" t="str">
        <f>_xlfn.XLOOKUP(H772,notes!$B$4:$B$8,notes!$C$4:$C$8,"Invalid",-1)</f>
        <v>Adult</v>
      </c>
      <c r="J772" s="37">
        <v>0</v>
      </c>
      <c r="K772" s="37">
        <v>0</v>
      </c>
      <c r="L772" s="37">
        <f t="shared" si="50"/>
        <v>1</v>
      </c>
      <c r="M772" s="40" t="str">
        <f t="shared" si="48"/>
        <v>Not Survived</v>
      </c>
      <c r="N772" s="37" t="str">
        <f>_xlfn.XLOOKUP(L772,notes!$B$28:$B$30,notes!$C$28:$C$30,"Unknown",-1)</f>
        <v>Alone</v>
      </c>
      <c r="O772" s="37">
        <v>345781</v>
      </c>
      <c r="P772" s="37">
        <v>9.5</v>
      </c>
      <c r="Q772" s="37" t="str">
        <f t="shared" si="51"/>
        <v>Low</v>
      </c>
      <c r="R772" s="37" t="s">
        <v>1236</v>
      </c>
      <c r="S772" s="37" t="s">
        <v>15</v>
      </c>
      <c r="T772" s="41" t="str">
        <f t="shared" si="49"/>
        <v>Southampton</v>
      </c>
    </row>
    <row r="773" spans="1:20">
      <c r="A773" s="37">
        <v>772</v>
      </c>
      <c r="B773" s="37">
        <v>0</v>
      </c>
      <c r="C773" s="37">
        <v>3</v>
      </c>
      <c r="D773" s="37" t="s">
        <v>2336</v>
      </c>
      <c r="E773" s="37" t="s">
        <v>2540</v>
      </c>
      <c r="F773" s="37" t="s">
        <v>1235</v>
      </c>
      <c r="G773" s="37" t="str">
        <f>_xlfn.XLOOKUP(F773,notes!$B$12:$B$18,notes!$C$12:$C$18,"Unknown")</f>
        <v>Male</v>
      </c>
      <c r="H773" s="38">
        <v>48</v>
      </c>
      <c r="I773" s="39" t="str">
        <f>_xlfn.XLOOKUP(H773,notes!$B$4:$B$8,notes!$C$4:$C$8,"Invalid",-1)</f>
        <v>Adult</v>
      </c>
      <c r="J773" s="37">
        <v>0</v>
      </c>
      <c r="K773" s="37">
        <v>0</v>
      </c>
      <c r="L773" s="37">
        <f t="shared" si="50"/>
        <v>1</v>
      </c>
      <c r="M773" s="40" t="str">
        <f t="shared" si="48"/>
        <v>Not Survived</v>
      </c>
      <c r="N773" s="37" t="str">
        <f>_xlfn.XLOOKUP(L773,notes!$B$28:$B$30,notes!$C$28:$C$30,"Unknown",-1)</f>
        <v>Alone</v>
      </c>
      <c r="O773" s="37">
        <v>350047</v>
      </c>
      <c r="P773" s="37">
        <v>7.8542</v>
      </c>
      <c r="Q773" s="37" t="str">
        <f t="shared" si="51"/>
        <v>Low</v>
      </c>
      <c r="R773" s="37" t="s">
        <v>1236</v>
      </c>
      <c r="S773" s="37" t="s">
        <v>15</v>
      </c>
      <c r="T773" s="41" t="str">
        <f t="shared" si="49"/>
        <v>Southampton</v>
      </c>
    </row>
    <row r="774" spans="1:20">
      <c r="A774" s="37">
        <v>773</v>
      </c>
      <c r="B774" s="37">
        <v>0</v>
      </c>
      <c r="C774" s="37">
        <v>2</v>
      </c>
      <c r="D774" s="37" t="s">
        <v>2541</v>
      </c>
      <c r="E774" s="37" t="s">
        <v>2542</v>
      </c>
      <c r="F774" s="37" t="s">
        <v>1239</v>
      </c>
      <c r="G774" s="37" t="str">
        <f>_xlfn.XLOOKUP(F774,notes!$B$12:$B$18,notes!$C$12:$C$18,"Unknown")</f>
        <v>Female</v>
      </c>
      <c r="H774" s="38">
        <v>57</v>
      </c>
      <c r="I774" s="39" t="str">
        <f>_xlfn.XLOOKUP(H774,notes!$B$4:$B$8,notes!$C$4:$C$8,"Invalid",-1)</f>
        <v>Adult</v>
      </c>
      <c r="J774" s="37">
        <v>0</v>
      </c>
      <c r="K774" s="37">
        <v>0</v>
      </c>
      <c r="L774" s="37">
        <f t="shared" si="50"/>
        <v>1</v>
      </c>
      <c r="M774" s="40" t="str">
        <f t="shared" si="48"/>
        <v>Not Survived</v>
      </c>
      <c r="N774" s="37" t="str">
        <f>_xlfn.XLOOKUP(L774,notes!$B$28:$B$30,notes!$C$28:$C$30,"Unknown",-1)</f>
        <v>Alone</v>
      </c>
      <c r="O774" s="37" t="s">
        <v>1073</v>
      </c>
      <c r="P774" s="37">
        <v>10.5</v>
      </c>
      <c r="Q774" s="37" t="str">
        <f t="shared" si="51"/>
        <v>Mid</v>
      </c>
      <c r="R774" s="37" t="s">
        <v>1074</v>
      </c>
      <c r="S774" s="37" t="s">
        <v>15</v>
      </c>
      <c r="T774" s="41" t="str">
        <f t="shared" si="49"/>
        <v>Southampton</v>
      </c>
    </row>
    <row r="775" spans="1:20">
      <c r="A775" s="37">
        <v>774</v>
      </c>
      <c r="B775" s="37">
        <v>0</v>
      </c>
      <c r="C775" s="37">
        <v>3</v>
      </c>
      <c r="D775" s="37" t="s">
        <v>1878</v>
      </c>
      <c r="E775" s="37" t="s">
        <v>2543</v>
      </c>
      <c r="F775" s="37" t="s">
        <v>1235</v>
      </c>
      <c r="G775" s="37" t="str">
        <f>_xlfn.XLOOKUP(F775,notes!$B$12:$B$18,notes!$C$12:$C$18,"Unknown")</f>
        <v>Male</v>
      </c>
      <c r="H775" s="38" t="s">
        <v>1236</v>
      </c>
      <c r="I775" s="39" t="str">
        <f>_xlfn.XLOOKUP(H775,notes!$B$4:$B$8,notes!$C$4:$C$8,"Invalid",-1)</f>
        <v>Unknown</v>
      </c>
      <c r="J775" s="37">
        <v>0</v>
      </c>
      <c r="K775" s="37">
        <v>0</v>
      </c>
      <c r="L775" s="37">
        <f t="shared" si="50"/>
        <v>1</v>
      </c>
      <c r="M775" s="40" t="str">
        <f t="shared" si="48"/>
        <v>Not Survived</v>
      </c>
      <c r="N775" s="37" t="str">
        <f>_xlfn.XLOOKUP(L775,notes!$B$28:$B$30,notes!$C$28:$C$30,"Unknown",-1)</f>
        <v>Alone</v>
      </c>
      <c r="O775" s="37">
        <v>2674</v>
      </c>
      <c r="P775" s="37">
        <v>7.225</v>
      </c>
      <c r="Q775" s="37" t="str">
        <f t="shared" si="51"/>
        <v>Low</v>
      </c>
      <c r="R775" s="37" t="s">
        <v>1236</v>
      </c>
      <c r="S775" s="37" t="s">
        <v>20</v>
      </c>
      <c r="T775" s="41" t="str">
        <f t="shared" si="49"/>
        <v>Cherbourg</v>
      </c>
    </row>
    <row r="776" spans="1:20">
      <c r="A776" s="37">
        <v>775</v>
      </c>
      <c r="B776" s="37">
        <v>1</v>
      </c>
      <c r="C776" s="37">
        <v>2</v>
      </c>
      <c r="D776" s="37" t="s">
        <v>2169</v>
      </c>
      <c r="E776" s="37" t="s">
        <v>2544</v>
      </c>
      <c r="F776" s="37" t="s">
        <v>1239</v>
      </c>
      <c r="G776" s="37" t="str">
        <f>_xlfn.XLOOKUP(F776,notes!$B$12:$B$18,notes!$C$12:$C$18,"Unknown")</f>
        <v>Female</v>
      </c>
      <c r="H776" s="38">
        <v>54</v>
      </c>
      <c r="I776" s="39" t="str">
        <f>_xlfn.XLOOKUP(H776,notes!$B$4:$B$8,notes!$C$4:$C$8,"Invalid",-1)</f>
        <v>Adult</v>
      </c>
      <c r="J776" s="37">
        <v>1</v>
      </c>
      <c r="K776" s="37">
        <v>3</v>
      </c>
      <c r="L776" s="37">
        <f t="shared" si="50"/>
        <v>5</v>
      </c>
      <c r="M776" s="40" t="str">
        <f t="shared" si="48"/>
        <v>Survived</v>
      </c>
      <c r="N776" s="37" t="str">
        <f>_xlfn.XLOOKUP(L776,notes!$B$28:$B$30,notes!$C$28:$C$30,"Unknown",-1)</f>
        <v>Large Family</v>
      </c>
      <c r="O776" s="37">
        <v>29105</v>
      </c>
      <c r="P776" s="37">
        <v>23</v>
      </c>
      <c r="Q776" s="37" t="str">
        <f t="shared" si="51"/>
        <v>Mid</v>
      </c>
      <c r="R776" s="37" t="s">
        <v>1236</v>
      </c>
      <c r="S776" s="37" t="s">
        <v>15</v>
      </c>
      <c r="T776" s="41" t="str">
        <f t="shared" si="49"/>
        <v>Southampton</v>
      </c>
    </row>
    <row r="777" spans="1:20">
      <c r="A777" s="37">
        <v>776</v>
      </c>
      <c r="B777" s="37">
        <v>0</v>
      </c>
      <c r="C777" s="37">
        <v>3</v>
      </c>
      <c r="D777" s="37" t="s">
        <v>2545</v>
      </c>
      <c r="E777" s="37" t="s">
        <v>2546</v>
      </c>
      <c r="F777" s="37" t="s">
        <v>1235</v>
      </c>
      <c r="G777" s="37" t="str">
        <f>_xlfn.XLOOKUP(F777,notes!$B$12:$B$18,notes!$C$12:$C$18,"Unknown")</f>
        <v>Male</v>
      </c>
      <c r="H777" s="38">
        <v>18</v>
      </c>
      <c r="I777" s="39" t="str">
        <f>_xlfn.XLOOKUP(H777,notes!$B$4:$B$8,notes!$C$4:$C$8,"Invalid",-1)</f>
        <v>Teenager</v>
      </c>
      <c r="J777" s="37">
        <v>0</v>
      </c>
      <c r="K777" s="37">
        <v>0</v>
      </c>
      <c r="L777" s="37">
        <f t="shared" si="50"/>
        <v>1</v>
      </c>
      <c r="M777" s="40" t="str">
        <f t="shared" si="48"/>
        <v>Not Survived</v>
      </c>
      <c r="N777" s="37" t="str">
        <f>_xlfn.XLOOKUP(L777,notes!$B$28:$B$30,notes!$C$28:$C$30,"Unknown",-1)</f>
        <v>Alone</v>
      </c>
      <c r="O777" s="37">
        <v>347078</v>
      </c>
      <c r="P777" s="37">
        <v>7.75</v>
      </c>
      <c r="Q777" s="37" t="str">
        <f t="shared" si="51"/>
        <v>Low</v>
      </c>
      <c r="R777" s="37" t="s">
        <v>1236</v>
      </c>
      <c r="S777" s="37" t="s">
        <v>15</v>
      </c>
      <c r="T777" s="41" t="str">
        <f t="shared" si="49"/>
        <v>Southampton</v>
      </c>
    </row>
    <row r="778" spans="1:20">
      <c r="A778" s="37">
        <v>777</v>
      </c>
      <c r="B778" s="37">
        <v>0</v>
      </c>
      <c r="C778" s="37">
        <v>3</v>
      </c>
      <c r="D778" s="37" t="s">
        <v>2547</v>
      </c>
      <c r="E778" s="37" t="s">
        <v>2548</v>
      </c>
      <c r="F778" s="37" t="s">
        <v>1235</v>
      </c>
      <c r="G778" s="37" t="str">
        <f>_xlfn.XLOOKUP(F778,notes!$B$12:$B$18,notes!$C$12:$C$18,"Unknown")</f>
        <v>Male</v>
      </c>
      <c r="H778" s="38" t="s">
        <v>1236</v>
      </c>
      <c r="I778" s="39" t="str">
        <f>_xlfn.XLOOKUP(H778,notes!$B$4:$B$8,notes!$C$4:$C$8,"Invalid",-1)</f>
        <v>Unknown</v>
      </c>
      <c r="J778" s="37">
        <v>0</v>
      </c>
      <c r="K778" s="37">
        <v>0</v>
      </c>
      <c r="L778" s="37">
        <f t="shared" si="50"/>
        <v>1</v>
      </c>
      <c r="M778" s="40" t="str">
        <f t="shared" si="48"/>
        <v>Not Survived</v>
      </c>
      <c r="N778" s="37" t="str">
        <f>_xlfn.XLOOKUP(L778,notes!$B$28:$B$30,notes!$C$28:$C$30,"Unknown",-1)</f>
        <v>Alone</v>
      </c>
      <c r="O778" s="37">
        <v>383121</v>
      </c>
      <c r="P778" s="37">
        <v>7.75</v>
      </c>
      <c r="Q778" s="37" t="str">
        <f t="shared" si="51"/>
        <v>Low</v>
      </c>
      <c r="R778" s="37" t="s">
        <v>1079</v>
      </c>
      <c r="S778" s="37" t="s">
        <v>28</v>
      </c>
      <c r="T778" s="41" t="str">
        <f t="shared" si="49"/>
        <v>Queenstown</v>
      </c>
    </row>
    <row r="779" spans="1:20">
      <c r="A779" s="37">
        <v>778</v>
      </c>
      <c r="B779" s="37">
        <v>1</v>
      </c>
      <c r="C779" s="37">
        <v>3</v>
      </c>
      <c r="D779" s="37" t="s">
        <v>2549</v>
      </c>
      <c r="E779" s="37" t="s">
        <v>2550</v>
      </c>
      <c r="F779" s="37" t="s">
        <v>1242</v>
      </c>
      <c r="G779" s="37" t="str">
        <f>_xlfn.XLOOKUP(F779,notes!$B$12:$B$18,notes!$C$12:$C$18,"Unknown")</f>
        <v>Female</v>
      </c>
      <c r="H779" s="38">
        <v>5</v>
      </c>
      <c r="I779" s="39" t="str">
        <f>_xlfn.XLOOKUP(H779,notes!$B$4:$B$8,notes!$C$4:$C$8,"Invalid",-1)</f>
        <v>Kid</v>
      </c>
      <c r="J779" s="37">
        <v>0</v>
      </c>
      <c r="K779" s="37">
        <v>0</v>
      </c>
      <c r="L779" s="37">
        <f t="shared" si="50"/>
        <v>1</v>
      </c>
      <c r="M779" s="40" t="str">
        <f t="shared" si="48"/>
        <v>Survived</v>
      </c>
      <c r="N779" s="37" t="str">
        <f>_xlfn.XLOOKUP(L779,notes!$B$28:$B$30,notes!$C$28:$C$30,"Unknown",-1)</f>
        <v>Alone</v>
      </c>
      <c r="O779" s="37">
        <v>364516</v>
      </c>
      <c r="P779" s="37">
        <v>12.475</v>
      </c>
      <c r="Q779" s="37" t="str">
        <f t="shared" si="51"/>
        <v>Mid</v>
      </c>
      <c r="R779" s="37" t="s">
        <v>1236</v>
      </c>
      <c r="S779" s="37" t="s">
        <v>15</v>
      </c>
      <c r="T779" s="41" t="str">
        <f t="shared" si="49"/>
        <v>Southampton</v>
      </c>
    </row>
    <row r="780" spans="1:20">
      <c r="A780" s="37">
        <v>779</v>
      </c>
      <c r="B780" s="37">
        <v>0</v>
      </c>
      <c r="C780" s="37">
        <v>3</v>
      </c>
      <c r="D780" s="37" t="s">
        <v>2551</v>
      </c>
      <c r="E780" s="37" t="s">
        <v>2552</v>
      </c>
      <c r="F780" s="37" t="s">
        <v>1235</v>
      </c>
      <c r="G780" s="37" t="str">
        <f>_xlfn.XLOOKUP(F780,notes!$B$12:$B$18,notes!$C$12:$C$18,"Unknown")</f>
        <v>Male</v>
      </c>
      <c r="H780" s="38" t="s">
        <v>1236</v>
      </c>
      <c r="I780" s="39" t="str">
        <f>_xlfn.XLOOKUP(H780,notes!$B$4:$B$8,notes!$C$4:$C$8,"Invalid",-1)</f>
        <v>Unknown</v>
      </c>
      <c r="J780" s="37">
        <v>0</v>
      </c>
      <c r="K780" s="37">
        <v>0</v>
      </c>
      <c r="L780" s="37">
        <f t="shared" si="50"/>
        <v>1</v>
      </c>
      <c r="M780" s="40" t="str">
        <f t="shared" si="48"/>
        <v>Not Survived</v>
      </c>
      <c r="N780" s="37" t="str">
        <f>_xlfn.XLOOKUP(L780,notes!$B$28:$B$30,notes!$C$28:$C$30,"Unknown",-1)</f>
        <v>Alone</v>
      </c>
      <c r="O780" s="37">
        <v>36865</v>
      </c>
      <c r="P780" s="37">
        <v>7.7375</v>
      </c>
      <c r="Q780" s="37" t="str">
        <f t="shared" si="51"/>
        <v>Low</v>
      </c>
      <c r="R780" s="37" t="s">
        <v>1236</v>
      </c>
      <c r="S780" s="37" t="s">
        <v>28</v>
      </c>
      <c r="T780" s="41" t="str">
        <f t="shared" si="49"/>
        <v>Queenstown</v>
      </c>
    </row>
    <row r="781" spans="1:20">
      <c r="A781" s="37">
        <v>780</v>
      </c>
      <c r="B781" s="37">
        <v>1</v>
      </c>
      <c r="C781" s="37">
        <v>1</v>
      </c>
      <c r="D781" s="37" t="s">
        <v>2553</v>
      </c>
      <c r="E781" s="37" t="s">
        <v>2554</v>
      </c>
      <c r="F781" s="37" t="s">
        <v>1239</v>
      </c>
      <c r="G781" s="37" t="str">
        <f>_xlfn.XLOOKUP(F781,notes!$B$12:$B$18,notes!$C$12:$C$18,"Unknown")</f>
        <v>Female</v>
      </c>
      <c r="H781" s="38">
        <v>43</v>
      </c>
      <c r="I781" s="39" t="str">
        <f>_xlfn.XLOOKUP(H781,notes!$B$4:$B$8,notes!$C$4:$C$8,"Invalid",-1)</f>
        <v>Adult</v>
      </c>
      <c r="J781" s="37">
        <v>0</v>
      </c>
      <c r="K781" s="37">
        <v>1</v>
      </c>
      <c r="L781" s="37">
        <f t="shared" si="50"/>
        <v>2</v>
      </c>
      <c r="M781" s="40" t="str">
        <f t="shared" si="48"/>
        <v>Survived</v>
      </c>
      <c r="N781" s="37" t="str">
        <f>_xlfn.XLOOKUP(L781,notes!$B$28:$B$30,notes!$C$28:$C$30,"Unknown",-1)</f>
        <v>Small Family</v>
      </c>
      <c r="O781" s="37">
        <v>24160</v>
      </c>
      <c r="P781" s="37">
        <v>211.3375</v>
      </c>
      <c r="Q781" s="37" t="str">
        <f t="shared" si="51"/>
        <v>High</v>
      </c>
      <c r="R781" s="37" t="s">
        <v>1083</v>
      </c>
      <c r="S781" s="37" t="s">
        <v>15</v>
      </c>
      <c r="T781" s="41" t="str">
        <f t="shared" si="49"/>
        <v>Southampton</v>
      </c>
    </row>
    <row r="782" spans="1:20">
      <c r="A782" s="37">
        <v>781</v>
      </c>
      <c r="B782" s="37">
        <v>1</v>
      </c>
      <c r="C782" s="37">
        <v>3</v>
      </c>
      <c r="D782" s="37" t="s">
        <v>2555</v>
      </c>
      <c r="E782" s="37" t="s">
        <v>2556</v>
      </c>
      <c r="F782" s="37" t="s">
        <v>1242</v>
      </c>
      <c r="G782" s="37" t="str">
        <f>_xlfn.XLOOKUP(F782,notes!$B$12:$B$18,notes!$C$12:$C$18,"Unknown")</f>
        <v>Female</v>
      </c>
      <c r="H782" s="38">
        <v>13</v>
      </c>
      <c r="I782" s="39" t="str">
        <f>_xlfn.XLOOKUP(H782,notes!$B$4:$B$8,notes!$C$4:$C$8,"Invalid",-1)</f>
        <v>Teenager</v>
      </c>
      <c r="J782" s="37">
        <v>0</v>
      </c>
      <c r="K782" s="37">
        <v>0</v>
      </c>
      <c r="L782" s="37">
        <f t="shared" si="50"/>
        <v>1</v>
      </c>
      <c r="M782" s="40" t="str">
        <f t="shared" si="48"/>
        <v>Survived</v>
      </c>
      <c r="N782" s="37" t="str">
        <f>_xlfn.XLOOKUP(L782,notes!$B$28:$B$30,notes!$C$28:$C$30,"Unknown",-1)</f>
        <v>Alone</v>
      </c>
      <c r="O782" s="37">
        <v>2687</v>
      </c>
      <c r="P782" s="37">
        <v>7.2292</v>
      </c>
      <c r="Q782" s="37" t="str">
        <f t="shared" si="51"/>
        <v>Low</v>
      </c>
      <c r="R782" s="37" t="s">
        <v>1236</v>
      </c>
      <c r="S782" s="37" t="s">
        <v>20</v>
      </c>
      <c r="T782" s="41" t="str">
        <f t="shared" si="49"/>
        <v>Cherbourg</v>
      </c>
    </row>
    <row r="783" spans="1:20">
      <c r="A783" s="37">
        <v>782</v>
      </c>
      <c r="B783" s="37">
        <v>1</v>
      </c>
      <c r="C783" s="37">
        <v>1</v>
      </c>
      <c r="D783" s="37" t="s">
        <v>2417</v>
      </c>
      <c r="E783" s="37" t="s">
        <v>2557</v>
      </c>
      <c r="F783" s="37" t="s">
        <v>1239</v>
      </c>
      <c r="G783" s="37" t="str">
        <f>_xlfn.XLOOKUP(F783,notes!$B$12:$B$18,notes!$C$12:$C$18,"Unknown")</f>
        <v>Female</v>
      </c>
      <c r="H783" s="38">
        <v>17</v>
      </c>
      <c r="I783" s="39" t="str">
        <f>_xlfn.XLOOKUP(H783,notes!$B$4:$B$8,notes!$C$4:$C$8,"Invalid",-1)</f>
        <v>Teenager</v>
      </c>
      <c r="J783" s="37">
        <v>1</v>
      </c>
      <c r="K783" s="37">
        <v>0</v>
      </c>
      <c r="L783" s="37">
        <f t="shared" si="50"/>
        <v>2</v>
      </c>
      <c r="M783" s="40" t="str">
        <f t="shared" si="48"/>
        <v>Survived</v>
      </c>
      <c r="N783" s="37" t="str">
        <f>_xlfn.XLOOKUP(L783,notes!$B$28:$B$30,notes!$C$28:$C$30,"Unknown",-1)</f>
        <v>Small Family</v>
      </c>
      <c r="O783" s="37">
        <v>17474</v>
      </c>
      <c r="P783" s="37">
        <v>57</v>
      </c>
      <c r="Q783" s="37" t="str">
        <f t="shared" si="51"/>
        <v>High</v>
      </c>
      <c r="R783" s="37" t="s">
        <v>972</v>
      </c>
      <c r="S783" s="37" t="s">
        <v>15</v>
      </c>
      <c r="T783" s="41" t="str">
        <f t="shared" si="49"/>
        <v>Southampton</v>
      </c>
    </row>
    <row r="784" spans="1:20">
      <c r="A784" s="37">
        <v>783</v>
      </c>
      <c r="B784" s="37">
        <v>0</v>
      </c>
      <c r="C784" s="37">
        <v>1</v>
      </c>
      <c r="D784" s="37" t="s">
        <v>2558</v>
      </c>
      <c r="E784" s="37" t="s">
        <v>2559</v>
      </c>
      <c r="F784" s="37" t="s">
        <v>1235</v>
      </c>
      <c r="G784" s="37" t="str">
        <f>_xlfn.XLOOKUP(F784,notes!$B$12:$B$18,notes!$C$12:$C$18,"Unknown")</f>
        <v>Male</v>
      </c>
      <c r="H784" s="38">
        <v>29</v>
      </c>
      <c r="I784" s="39" t="str">
        <f>_xlfn.XLOOKUP(H784,notes!$B$4:$B$8,notes!$C$4:$C$8,"Invalid",-1)</f>
        <v>Adult</v>
      </c>
      <c r="J784" s="37">
        <v>0</v>
      </c>
      <c r="K784" s="37">
        <v>0</v>
      </c>
      <c r="L784" s="37">
        <f t="shared" si="50"/>
        <v>1</v>
      </c>
      <c r="M784" s="40" t="str">
        <f t="shared" si="48"/>
        <v>Not Survived</v>
      </c>
      <c r="N784" s="37" t="str">
        <f>_xlfn.XLOOKUP(L784,notes!$B$28:$B$30,notes!$C$28:$C$30,"Unknown",-1)</f>
        <v>Alone</v>
      </c>
      <c r="O784" s="37">
        <v>113501</v>
      </c>
      <c r="P784" s="37">
        <v>30</v>
      </c>
      <c r="Q784" s="37" t="str">
        <f t="shared" si="51"/>
        <v>Mid</v>
      </c>
      <c r="R784" s="37" t="s">
        <v>1087</v>
      </c>
      <c r="S784" s="37" t="s">
        <v>15</v>
      </c>
      <c r="T784" s="41" t="str">
        <f t="shared" si="49"/>
        <v>Southampton</v>
      </c>
    </row>
    <row r="785" spans="1:20">
      <c r="A785" s="37">
        <v>784</v>
      </c>
      <c r="B785" s="37">
        <v>0</v>
      </c>
      <c r="C785" s="37">
        <v>3</v>
      </c>
      <c r="D785" s="37" t="s">
        <v>2560</v>
      </c>
      <c r="E785" s="37" t="s">
        <v>2561</v>
      </c>
      <c r="F785" s="37" t="s">
        <v>1235</v>
      </c>
      <c r="G785" s="37" t="str">
        <f>_xlfn.XLOOKUP(F785,notes!$B$12:$B$18,notes!$C$12:$C$18,"Unknown")</f>
        <v>Male</v>
      </c>
      <c r="H785" s="38" t="s">
        <v>1236</v>
      </c>
      <c r="I785" s="39" t="str">
        <f>_xlfn.XLOOKUP(H785,notes!$B$4:$B$8,notes!$C$4:$C$8,"Invalid",-1)</f>
        <v>Unknown</v>
      </c>
      <c r="J785" s="37">
        <v>1</v>
      </c>
      <c r="K785" s="37">
        <v>2</v>
      </c>
      <c r="L785" s="37">
        <f t="shared" si="50"/>
        <v>4</v>
      </c>
      <c r="M785" s="40" t="str">
        <f t="shared" si="48"/>
        <v>Not Survived</v>
      </c>
      <c r="N785" s="37" t="str">
        <f>_xlfn.XLOOKUP(L785,notes!$B$28:$B$30,notes!$C$28:$C$30,"Unknown",-1)</f>
        <v>Large Family</v>
      </c>
      <c r="O785" s="37" t="s">
        <v>1089</v>
      </c>
      <c r="P785" s="37">
        <v>23.45</v>
      </c>
      <c r="Q785" s="37" t="str">
        <f t="shared" si="51"/>
        <v>Mid</v>
      </c>
      <c r="R785" s="37" t="s">
        <v>1236</v>
      </c>
      <c r="S785" s="37" t="s">
        <v>15</v>
      </c>
      <c r="T785" s="41" t="str">
        <f t="shared" si="49"/>
        <v>Southampton</v>
      </c>
    </row>
    <row r="786" spans="1:20">
      <c r="A786" s="37">
        <v>785</v>
      </c>
      <c r="B786" s="37">
        <v>0</v>
      </c>
      <c r="C786" s="37">
        <v>3</v>
      </c>
      <c r="D786" s="37" t="s">
        <v>1631</v>
      </c>
      <c r="E786" s="37" t="s">
        <v>1598</v>
      </c>
      <c r="F786" s="37" t="s">
        <v>1235</v>
      </c>
      <c r="G786" s="37" t="str">
        <f>_xlfn.XLOOKUP(F786,notes!$B$12:$B$18,notes!$C$12:$C$18,"Unknown")</f>
        <v>Male</v>
      </c>
      <c r="H786" s="38">
        <v>25</v>
      </c>
      <c r="I786" s="39" t="str">
        <f>_xlfn.XLOOKUP(H786,notes!$B$4:$B$8,notes!$C$4:$C$8,"Invalid",-1)</f>
        <v>Adult</v>
      </c>
      <c r="J786" s="37">
        <v>0</v>
      </c>
      <c r="K786" s="37">
        <v>0</v>
      </c>
      <c r="L786" s="37">
        <f t="shared" si="50"/>
        <v>1</v>
      </c>
      <c r="M786" s="40" t="str">
        <f t="shared" si="48"/>
        <v>Not Survived</v>
      </c>
      <c r="N786" s="37" t="str">
        <f>_xlfn.XLOOKUP(L786,notes!$B$28:$B$30,notes!$C$28:$C$30,"Unknown",-1)</f>
        <v>Alone</v>
      </c>
      <c r="O786" s="37" t="s">
        <v>1091</v>
      </c>
      <c r="P786" s="37">
        <v>7.05</v>
      </c>
      <c r="Q786" s="37" t="str">
        <f t="shared" si="51"/>
        <v>Low</v>
      </c>
      <c r="R786" s="37" t="s">
        <v>1236</v>
      </c>
      <c r="S786" s="37" t="s">
        <v>15</v>
      </c>
      <c r="T786" s="41" t="str">
        <f t="shared" si="49"/>
        <v>Southampton</v>
      </c>
    </row>
    <row r="787" spans="1:20">
      <c r="A787" s="37">
        <v>786</v>
      </c>
      <c r="B787" s="37">
        <v>0</v>
      </c>
      <c r="C787" s="37">
        <v>3</v>
      </c>
      <c r="D787" s="37" t="s">
        <v>2562</v>
      </c>
      <c r="E787" s="37" t="s">
        <v>2563</v>
      </c>
      <c r="F787" s="37" t="s">
        <v>1235</v>
      </c>
      <c r="G787" s="37" t="str">
        <f>_xlfn.XLOOKUP(F787,notes!$B$12:$B$18,notes!$C$12:$C$18,"Unknown")</f>
        <v>Male</v>
      </c>
      <c r="H787" s="38">
        <v>25</v>
      </c>
      <c r="I787" s="39" t="str">
        <f>_xlfn.XLOOKUP(H787,notes!$B$4:$B$8,notes!$C$4:$C$8,"Invalid",-1)</f>
        <v>Adult</v>
      </c>
      <c r="J787" s="37">
        <v>0</v>
      </c>
      <c r="K787" s="37">
        <v>0</v>
      </c>
      <c r="L787" s="37">
        <f t="shared" si="50"/>
        <v>1</v>
      </c>
      <c r="M787" s="40" t="str">
        <f t="shared" si="48"/>
        <v>Not Survived</v>
      </c>
      <c r="N787" s="37" t="str">
        <f>_xlfn.XLOOKUP(L787,notes!$B$28:$B$30,notes!$C$28:$C$30,"Unknown",-1)</f>
        <v>Alone</v>
      </c>
      <c r="O787" s="37">
        <v>374887</v>
      </c>
      <c r="P787" s="37">
        <v>7.25</v>
      </c>
      <c r="Q787" s="37" t="str">
        <f t="shared" si="51"/>
        <v>Low</v>
      </c>
      <c r="R787" s="37" t="s">
        <v>1236</v>
      </c>
      <c r="S787" s="37" t="s">
        <v>15</v>
      </c>
      <c r="T787" s="41" t="str">
        <f t="shared" si="49"/>
        <v>Southampton</v>
      </c>
    </row>
    <row r="788" spans="1:20">
      <c r="A788" s="37">
        <v>787</v>
      </c>
      <c r="B788" s="37">
        <v>1</v>
      </c>
      <c r="C788" s="37">
        <v>3</v>
      </c>
      <c r="D788" s="37" t="s">
        <v>2564</v>
      </c>
      <c r="E788" s="37" t="s">
        <v>1507</v>
      </c>
      <c r="F788" s="37" t="s">
        <v>1242</v>
      </c>
      <c r="G788" s="37" t="str">
        <f>_xlfn.XLOOKUP(F788,notes!$B$12:$B$18,notes!$C$12:$C$18,"Unknown")</f>
        <v>Female</v>
      </c>
      <c r="H788" s="38">
        <v>18</v>
      </c>
      <c r="I788" s="39" t="str">
        <f>_xlfn.XLOOKUP(H788,notes!$B$4:$B$8,notes!$C$4:$C$8,"Invalid",-1)</f>
        <v>Teenager</v>
      </c>
      <c r="J788" s="37">
        <v>0</v>
      </c>
      <c r="K788" s="37">
        <v>0</v>
      </c>
      <c r="L788" s="37">
        <f t="shared" si="50"/>
        <v>1</v>
      </c>
      <c r="M788" s="40" t="str">
        <f t="shared" si="48"/>
        <v>Survived</v>
      </c>
      <c r="N788" s="37" t="str">
        <f>_xlfn.XLOOKUP(L788,notes!$B$28:$B$30,notes!$C$28:$C$30,"Unknown",-1)</f>
        <v>Alone</v>
      </c>
      <c r="O788" s="37">
        <v>3101265</v>
      </c>
      <c r="P788" s="37">
        <v>7.4958</v>
      </c>
      <c r="Q788" s="37" t="str">
        <f t="shared" si="51"/>
        <v>Low</v>
      </c>
      <c r="R788" s="37" t="s">
        <v>1236</v>
      </c>
      <c r="S788" s="37" t="s">
        <v>15</v>
      </c>
      <c r="T788" s="41" t="str">
        <f t="shared" si="49"/>
        <v>Southampton</v>
      </c>
    </row>
    <row r="789" spans="1:20">
      <c r="A789" s="37">
        <v>788</v>
      </c>
      <c r="B789" s="37">
        <v>0</v>
      </c>
      <c r="C789" s="37">
        <v>3</v>
      </c>
      <c r="D789" s="37" t="s">
        <v>1269</v>
      </c>
      <c r="E789" s="37" t="s">
        <v>2565</v>
      </c>
      <c r="F789" s="37" t="s">
        <v>1253</v>
      </c>
      <c r="G789" s="37" t="str">
        <f>_xlfn.XLOOKUP(F789,notes!$B$12:$B$18,notes!$C$12:$C$18,"Unknown")</f>
        <v>Male</v>
      </c>
      <c r="H789" s="38">
        <v>8</v>
      </c>
      <c r="I789" s="39" t="str">
        <f>_xlfn.XLOOKUP(H789,notes!$B$4:$B$8,notes!$C$4:$C$8,"Invalid",-1)</f>
        <v>Kid</v>
      </c>
      <c r="J789" s="37">
        <v>4</v>
      </c>
      <c r="K789" s="37">
        <v>1</v>
      </c>
      <c r="L789" s="37">
        <f t="shared" si="50"/>
        <v>6</v>
      </c>
      <c r="M789" s="40" t="str">
        <f t="shared" si="48"/>
        <v>Not Survived</v>
      </c>
      <c r="N789" s="37" t="str">
        <f>_xlfn.XLOOKUP(L789,notes!$B$28:$B$30,notes!$C$28:$C$30,"Unknown",-1)</f>
        <v>Large Family</v>
      </c>
      <c r="O789" s="37">
        <v>382652</v>
      </c>
      <c r="P789" s="37">
        <v>29.125</v>
      </c>
      <c r="Q789" s="37" t="str">
        <f t="shared" si="51"/>
        <v>Mid</v>
      </c>
      <c r="R789" s="37" t="s">
        <v>1236</v>
      </c>
      <c r="S789" s="37" t="s">
        <v>28</v>
      </c>
      <c r="T789" s="41" t="str">
        <f t="shared" si="49"/>
        <v>Queenstown</v>
      </c>
    </row>
    <row r="790" spans="1:20">
      <c r="A790" s="37">
        <v>789</v>
      </c>
      <c r="B790" s="37">
        <v>1</v>
      </c>
      <c r="C790" s="37">
        <v>3</v>
      </c>
      <c r="D790" s="37" t="s">
        <v>1418</v>
      </c>
      <c r="E790" s="37" t="s">
        <v>2566</v>
      </c>
      <c r="F790" s="37" t="s">
        <v>1253</v>
      </c>
      <c r="G790" s="37" t="str">
        <f>_xlfn.XLOOKUP(F790,notes!$B$12:$B$18,notes!$C$12:$C$18,"Unknown")</f>
        <v>Male</v>
      </c>
      <c r="H790" s="38">
        <v>1</v>
      </c>
      <c r="I790" s="39" t="str">
        <f>_xlfn.XLOOKUP(H790,notes!$B$4:$B$8,notes!$C$4:$C$8,"Invalid",-1)</f>
        <v>Kid</v>
      </c>
      <c r="J790" s="37">
        <v>1</v>
      </c>
      <c r="K790" s="37">
        <v>2</v>
      </c>
      <c r="L790" s="37">
        <f t="shared" si="50"/>
        <v>4</v>
      </c>
      <c r="M790" s="40" t="str">
        <f t="shared" si="48"/>
        <v>Survived</v>
      </c>
      <c r="N790" s="37" t="str">
        <f>_xlfn.XLOOKUP(L790,notes!$B$28:$B$30,notes!$C$28:$C$30,"Unknown",-1)</f>
        <v>Large Family</v>
      </c>
      <c r="O790" s="37" t="s">
        <v>155</v>
      </c>
      <c r="P790" s="37">
        <v>20.575</v>
      </c>
      <c r="Q790" s="37" t="str">
        <f t="shared" si="51"/>
        <v>Mid</v>
      </c>
      <c r="R790" s="37" t="s">
        <v>1236</v>
      </c>
      <c r="S790" s="37" t="s">
        <v>15</v>
      </c>
      <c r="T790" s="41" t="str">
        <f t="shared" si="49"/>
        <v>Southampton</v>
      </c>
    </row>
    <row r="791" spans="1:20">
      <c r="A791" s="37">
        <v>790</v>
      </c>
      <c r="B791" s="37">
        <v>0</v>
      </c>
      <c r="C791" s="37">
        <v>1</v>
      </c>
      <c r="D791" s="37" t="s">
        <v>2567</v>
      </c>
      <c r="E791" s="37" t="s">
        <v>1816</v>
      </c>
      <c r="F791" s="37" t="s">
        <v>1235</v>
      </c>
      <c r="G791" s="37" t="str">
        <f>_xlfn.XLOOKUP(F791,notes!$B$12:$B$18,notes!$C$12:$C$18,"Unknown")</f>
        <v>Male</v>
      </c>
      <c r="H791" s="38">
        <v>46</v>
      </c>
      <c r="I791" s="39" t="str">
        <f>_xlfn.XLOOKUP(H791,notes!$B$4:$B$8,notes!$C$4:$C$8,"Invalid",-1)</f>
        <v>Adult</v>
      </c>
      <c r="J791" s="37">
        <v>0</v>
      </c>
      <c r="K791" s="37">
        <v>0</v>
      </c>
      <c r="L791" s="37">
        <f t="shared" si="50"/>
        <v>1</v>
      </c>
      <c r="M791" s="40" t="str">
        <f t="shared" si="48"/>
        <v>Not Survived</v>
      </c>
      <c r="N791" s="37" t="str">
        <f>_xlfn.XLOOKUP(L791,notes!$B$28:$B$30,notes!$C$28:$C$30,"Unknown",-1)</f>
        <v>Alone</v>
      </c>
      <c r="O791" s="37" t="s">
        <v>220</v>
      </c>
      <c r="P791" s="37">
        <v>79.2</v>
      </c>
      <c r="Q791" s="37" t="str">
        <f t="shared" si="51"/>
        <v>High</v>
      </c>
      <c r="R791" s="37" t="s">
        <v>1097</v>
      </c>
      <c r="S791" s="37" t="s">
        <v>20</v>
      </c>
      <c r="T791" s="41" t="str">
        <f t="shared" si="49"/>
        <v>Cherbourg</v>
      </c>
    </row>
    <row r="792" spans="1:20">
      <c r="A792" s="37">
        <v>791</v>
      </c>
      <c r="B792" s="37">
        <v>0</v>
      </c>
      <c r="C792" s="37">
        <v>3</v>
      </c>
      <c r="D792" s="37" t="s">
        <v>1795</v>
      </c>
      <c r="E792" s="37" t="s">
        <v>2568</v>
      </c>
      <c r="F792" s="37" t="s">
        <v>1235</v>
      </c>
      <c r="G792" s="37" t="str">
        <f>_xlfn.XLOOKUP(F792,notes!$B$12:$B$18,notes!$C$12:$C$18,"Unknown")</f>
        <v>Male</v>
      </c>
      <c r="H792" s="38" t="s">
        <v>1236</v>
      </c>
      <c r="I792" s="39" t="str">
        <f>_xlfn.XLOOKUP(H792,notes!$B$4:$B$8,notes!$C$4:$C$8,"Invalid",-1)</f>
        <v>Unknown</v>
      </c>
      <c r="J792" s="37">
        <v>0</v>
      </c>
      <c r="K792" s="37">
        <v>0</v>
      </c>
      <c r="L792" s="37">
        <f t="shared" si="50"/>
        <v>1</v>
      </c>
      <c r="M792" s="40" t="str">
        <f t="shared" si="48"/>
        <v>Not Survived</v>
      </c>
      <c r="N792" s="37" t="str">
        <f>_xlfn.XLOOKUP(L792,notes!$B$28:$B$30,notes!$C$28:$C$30,"Unknown",-1)</f>
        <v>Alone</v>
      </c>
      <c r="O792" s="37">
        <v>12460</v>
      </c>
      <c r="P792" s="37">
        <v>7.75</v>
      </c>
      <c r="Q792" s="37" t="str">
        <f t="shared" si="51"/>
        <v>Low</v>
      </c>
      <c r="R792" s="37" t="s">
        <v>1236</v>
      </c>
      <c r="S792" s="37" t="s">
        <v>28</v>
      </c>
      <c r="T792" s="41" t="str">
        <f t="shared" si="49"/>
        <v>Queenstown</v>
      </c>
    </row>
    <row r="793" spans="1:20">
      <c r="A793" s="37">
        <v>792</v>
      </c>
      <c r="B793" s="37">
        <v>0</v>
      </c>
      <c r="C793" s="37">
        <v>2</v>
      </c>
      <c r="D793" s="37" t="s">
        <v>2569</v>
      </c>
      <c r="E793" s="37" t="s">
        <v>1952</v>
      </c>
      <c r="F793" s="37" t="s">
        <v>1235</v>
      </c>
      <c r="G793" s="37" t="str">
        <f>_xlfn.XLOOKUP(F793,notes!$B$12:$B$18,notes!$C$12:$C$18,"Unknown")</f>
        <v>Male</v>
      </c>
      <c r="H793" s="38">
        <v>16</v>
      </c>
      <c r="I793" s="39" t="str">
        <f>_xlfn.XLOOKUP(H793,notes!$B$4:$B$8,notes!$C$4:$C$8,"Invalid",-1)</f>
        <v>Teenager</v>
      </c>
      <c r="J793" s="37">
        <v>0</v>
      </c>
      <c r="K793" s="37">
        <v>0</v>
      </c>
      <c r="L793" s="37">
        <f t="shared" si="50"/>
        <v>1</v>
      </c>
      <c r="M793" s="40" t="str">
        <f t="shared" si="48"/>
        <v>Not Survived</v>
      </c>
      <c r="N793" s="37" t="str">
        <f>_xlfn.XLOOKUP(L793,notes!$B$28:$B$30,notes!$C$28:$C$30,"Unknown",-1)</f>
        <v>Alone</v>
      </c>
      <c r="O793" s="37">
        <v>239865</v>
      </c>
      <c r="P793" s="37">
        <v>26</v>
      </c>
      <c r="Q793" s="37" t="str">
        <f t="shared" si="51"/>
        <v>Mid</v>
      </c>
      <c r="R793" s="37" t="s">
        <v>1236</v>
      </c>
      <c r="S793" s="37" t="s">
        <v>15</v>
      </c>
      <c r="T793" s="41" t="str">
        <f t="shared" si="49"/>
        <v>Southampton</v>
      </c>
    </row>
    <row r="794" spans="1:20">
      <c r="A794" s="37">
        <v>793</v>
      </c>
      <c r="B794" s="37">
        <v>0</v>
      </c>
      <c r="C794" s="37">
        <v>3</v>
      </c>
      <c r="D794" s="37" t="s">
        <v>1540</v>
      </c>
      <c r="E794" s="37" t="s">
        <v>2570</v>
      </c>
      <c r="F794" s="37" t="s">
        <v>1242</v>
      </c>
      <c r="G794" s="37" t="str">
        <f>_xlfn.XLOOKUP(F794,notes!$B$12:$B$18,notes!$C$12:$C$18,"Unknown")</f>
        <v>Female</v>
      </c>
      <c r="H794" s="38" t="s">
        <v>1236</v>
      </c>
      <c r="I794" s="39" t="str">
        <f>_xlfn.XLOOKUP(H794,notes!$B$4:$B$8,notes!$C$4:$C$8,"Invalid",-1)</f>
        <v>Unknown</v>
      </c>
      <c r="J794" s="37">
        <v>8</v>
      </c>
      <c r="K794" s="37">
        <v>2</v>
      </c>
      <c r="L794" s="37">
        <f t="shared" si="50"/>
        <v>11</v>
      </c>
      <c r="M794" s="40" t="str">
        <f t="shared" si="48"/>
        <v>Not Survived</v>
      </c>
      <c r="N794" s="37" t="str">
        <f>_xlfn.XLOOKUP(L794,notes!$B$28:$B$30,notes!$C$28:$C$30,"Unknown",-1)</f>
        <v>Large Family</v>
      </c>
      <c r="O794" s="37" t="s">
        <v>252</v>
      </c>
      <c r="P794" s="37">
        <v>69.55</v>
      </c>
      <c r="Q794" s="37" t="str">
        <f t="shared" si="51"/>
        <v>High</v>
      </c>
      <c r="R794" s="37" t="s">
        <v>1236</v>
      </c>
      <c r="S794" s="37" t="s">
        <v>15</v>
      </c>
      <c r="T794" s="41" t="str">
        <f t="shared" si="49"/>
        <v>Southampton</v>
      </c>
    </row>
    <row r="795" spans="1:20">
      <c r="A795" s="37">
        <v>794</v>
      </c>
      <c r="B795" s="37">
        <v>0</v>
      </c>
      <c r="C795" s="37">
        <v>1</v>
      </c>
      <c r="D795" s="37" t="s">
        <v>1658</v>
      </c>
      <c r="E795" s="37" t="s">
        <v>2571</v>
      </c>
      <c r="F795" s="37" t="s">
        <v>1235</v>
      </c>
      <c r="G795" s="37" t="str">
        <f>_xlfn.XLOOKUP(F795,notes!$B$12:$B$18,notes!$C$12:$C$18,"Unknown")</f>
        <v>Male</v>
      </c>
      <c r="H795" s="38" t="s">
        <v>1236</v>
      </c>
      <c r="I795" s="39" t="str">
        <f>_xlfn.XLOOKUP(H795,notes!$B$4:$B$8,notes!$C$4:$C$8,"Invalid",-1)</f>
        <v>Unknown</v>
      </c>
      <c r="J795" s="37">
        <v>0</v>
      </c>
      <c r="K795" s="37">
        <v>0</v>
      </c>
      <c r="L795" s="37">
        <f t="shared" si="50"/>
        <v>1</v>
      </c>
      <c r="M795" s="40" t="str">
        <f t="shared" si="48"/>
        <v>Not Survived</v>
      </c>
      <c r="N795" s="37" t="str">
        <f>_xlfn.XLOOKUP(L795,notes!$B$28:$B$30,notes!$C$28:$C$30,"Unknown",-1)</f>
        <v>Alone</v>
      </c>
      <c r="O795" s="37" t="s">
        <v>1102</v>
      </c>
      <c r="P795" s="37">
        <v>30.6958</v>
      </c>
      <c r="Q795" s="37" t="str">
        <f t="shared" si="51"/>
        <v>Mid</v>
      </c>
      <c r="R795" s="37" t="s">
        <v>1236</v>
      </c>
      <c r="S795" s="37" t="s">
        <v>20</v>
      </c>
      <c r="T795" s="41" t="str">
        <f t="shared" si="49"/>
        <v>Cherbourg</v>
      </c>
    </row>
    <row r="796" spans="1:20">
      <c r="A796" s="37">
        <v>795</v>
      </c>
      <c r="B796" s="37">
        <v>0</v>
      </c>
      <c r="C796" s="37">
        <v>3</v>
      </c>
      <c r="D796" s="37" t="s">
        <v>2572</v>
      </c>
      <c r="E796" s="37" t="s">
        <v>2573</v>
      </c>
      <c r="F796" s="37" t="s">
        <v>1235</v>
      </c>
      <c r="G796" s="37" t="str">
        <f>_xlfn.XLOOKUP(F796,notes!$B$12:$B$18,notes!$C$12:$C$18,"Unknown")</f>
        <v>Male</v>
      </c>
      <c r="H796" s="38">
        <v>25</v>
      </c>
      <c r="I796" s="39" t="str">
        <f>_xlfn.XLOOKUP(H796,notes!$B$4:$B$8,notes!$C$4:$C$8,"Invalid",-1)</f>
        <v>Adult</v>
      </c>
      <c r="J796" s="37">
        <v>0</v>
      </c>
      <c r="K796" s="37">
        <v>0</v>
      </c>
      <c r="L796" s="37">
        <f t="shared" si="50"/>
        <v>1</v>
      </c>
      <c r="M796" s="40" t="str">
        <f t="shared" si="48"/>
        <v>Not Survived</v>
      </c>
      <c r="N796" s="37" t="str">
        <f>_xlfn.XLOOKUP(L796,notes!$B$28:$B$30,notes!$C$28:$C$30,"Unknown",-1)</f>
        <v>Alone</v>
      </c>
      <c r="O796" s="37">
        <v>349203</v>
      </c>
      <c r="P796" s="37">
        <v>7.8958</v>
      </c>
      <c r="Q796" s="37" t="str">
        <f t="shared" si="51"/>
        <v>Low</v>
      </c>
      <c r="R796" s="37" t="s">
        <v>1236</v>
      </c>
      <c r="S796" s="37" t="s">
        <v>15</v>
      </c>
      <c r="T796" s="41" t="str">
        <f t="shared" si="49"/>
        <v>Southampton</v>
      </c>
    </row>
    <row r="797" spans="1:20">
      <c r="A797" s="37">
        <v>796</v>
      </c>
      <c r="B797" s="37">
        <v>0</v>
      </c>
      <c r="C797" s="37">
        <v>2</v>
      </c>
      <c r="D797" s="37" t="s">
        <v>2574</v>
      </c>
      <c r="E797" s="37" t="s">
        <v>2575</v>
      </c>
      <c r="F797" s="37" t="s">
        <v>1235</v>
      </c>
      <c r="G797" s="37" t="str">
        <f>_xlfn.XLOOKUP(F797,notes!$B$12:$B$18,notes!$C$12:$C$18,"Unknown")</f>
        <v>Male</v>
      </c>
      <c r="H797" s="38">
        <v>39</v>
      </c>
      <c r="I797" s="39" t="str">
        <f>_xlfn.XLOOKUP(H797,notes!$B$4:$B$8,notes!$C$4:$C$8,"Invalid",-1)</f>
        <v>Adult</v>
      </c>
      <c r="J797" s="37">
        <v>0</v>
      </c>
      <c r="K797" s="37">
        <v>0</v>
      </c>
      <c r="L797" s="37">
        <f t="shared" si="50"/>
        <v>1</v>
      </c>
      <c r="M797" s="40" t="str">
        <f t="shared" si="48"/>
        <v>Not Survived</v>
      </c>
      <c r="N797" s="37" t="str">
        <f>_xlfn.XLOOKUP(L797,notes!$B$28:$B$30,notes!$C$28:$C$30,"Unknown",-1)</f>
        <v>Alone</v>
      </c>
      <c r="O797" s="37">
        <v>28213</v>
      </c>
      <c r="P797" s="37">
        <v>13</v>
      </c>
      <c r="Q797" s="37" t="str">
        <f t="shared" si="51"/>
        <v>Mid</v>
      </c>
      <c r="R797" s="37" t="s">
        <v>1236</v>
      </c>
      <c r="S797" s="37" t="s">
        <v>15</v>
      </c>
      <c r="T797" s="41" t="str">
        <f t="shared" si="49"/>
        <v>Southampton</v>
      </c>
    </row>
    <row r="798" spans="1:20">
      <c r="A798" s="37">
        <v>797</v>
      </c>
      <c r="B798" s="37">
        <v>1</v>
      </c>
      <c r="C798" s="37">
        <v>1</v>
      </c>
      <c r="D798" s="37" t="s">
        <v>2576</v>
      </c>
      <c r="E798" s="37" t="s">
        <v>2577</v>
      </c>
      <c r="F798" s="37" t="s">
        <v>1695</v>
      </c>
      <c r="G798" s="37" t="str">
        <f>_xlfn.XLOOKUP(F798,notes!$B$12:$B$18,notes!$C$12:$C$18,"Unknown")</f>
        <v>Male</v>
      </c>
      <c r="H798" s="38">
        <v>49</v>
      </c>
      <c r="I798" s="39" t="str">
        <f>_xlfn.XLOOKUP(H798,notes!$B$4:$B$8,notes!$C$4:$C$8,"Invalid",-1)</f>
        <v>Adult</v>
      </c>
      <c r="J798" s="37">
        <v>0</v>
      </c>
      <c r="K798" s="37">
        <v>0</v>
      </c>
      <c r="L798" s="37">
        <f t="shared" si="50"/>
        <v>1</v>
      </c>
      <c r="M798" s="40" t="str">
        <f t="shared" si="48"/>
        <v>Survived</v>
      </c>
      <c r="N798" s="37" t="str">
        <f>_xlfn.XLOOKUP(L798,notes!$B$28:$B$30,notes!$C$28:$C$30,"Unknown",-1)</f>
        <v>Alone</v>
      </c>
      <c r="O798" s="37">
        <v>17465</v>
      </c>
      <c r="P798" s="37">
        <v>25.9292</v>
      </c>
      <c r="Q798" s="37" t="str">
        <f t="shared" si="51"/>
        <v>Mid</v>
      </c>
      <c r="R798" s="37" t="s">
        <v>1106</v>
      </c>
      <c r="S798" s="37" t="s">
        <v>15</v>
      </c>
      <c r="T798" s="41" t="str">
        <f t="shared" si="49"/>
        <v>Southampton</v>
      </c>
    </row>
    <row r="799" spans="1:20">
      <c r="A799" s="37">
        <v>798</v>
      </c>
      <c r="B799" s="37">
        <v>1</v>
      </c>
      <c r="C799" s="37">
        <v>3</v>
      </c>
      <c r="D799" s="37" t="s">
        <v>2578</v>
      </c>
      <c r="E799" s="37" t="s">
        <v>2579</v>
      </c>
      <c r="F799" s="37" t="s">
        <v>1239</v>
      </c>
      <c r="G799" s="37" t="str">
        <f>_xlfn.XLOOKUP(F799,notes!$B$12:$B$18,notes!$C$12:$C$18,"Unknown")</f>
        <v>Female</v>
      </c>
      <c r="H799" s="38">
        <v>31</v>
      </c>
      <c r="I799" s="39" t="str">
        <f>_xlfn.XLOOKUP(H799,notes!$B$4:$B$8,notes!$C$4:$C$8,"Invalid",-1)</f>
        <v>Adult</v>
      </c>
      <c r="J799" s="37">
        <v>0</v>
      </c>
      <c r="K799" s="37">
        <v>0</v>
      </c>
      <c r="L799" s="37">
        <f t="shared" si="50"/>
        <v>1</v>
      </c>
      <c r="M799" s="40" t="str">
        <f t="shared" si="48"/>
        <v>Survived</v>
      </c>
      <c r="N799" s="37" t="str">
        <f>_xlfn.XLOOKUP(L799,notes!$B$28:$B$30,notes!$C$28:$C$30,"Unknown",-1)</f>
        <v>Alone</v>
      </c>
      <c r="O799" s="37">
        <v>349244</v>
      </c>
      <c r="P799" s="37">
        <v>8.6833</v>
      </c>
      <c r="Q799" s="37" t="str">
        <f t="shared" si="51"/>
        <v>Low</v>
      </c>
      <c r="R799" s="37" t="s">
        <v>1236</v>
      </c>
      <c r="S799" s="37" t="s">
        <v>15</v>
      </c>
      <c r="T799" s="41" t="str">
        <f t="shared" si="49"/>
        <v>Southampton</v>
      </c>
    </row>
    <row r="800" spans="1:20">
      <c r="A800" s="37">
        <v>799</v>
      </c>
      <c r="B800" s="37">
        <v>0</v>
      </c>
      <c r="C800" s="37">
        <v>3</v>
      </c>
      <c r="D800" s="37" t="s">
        <v>2580</v>
      </c>
      <c r="E800" s="37" t="s">
        <v>2581</v>
      </c>
      <c r="F800" s="37" t="s">
        <v>1235</v>
      </c>
      <c r="G800" s="37" t="str">
        <f>_xlfn.XLOOKUP(F800,notes!$B$12:$B$18,notes!$C$12:$C$18,"Unknown")</f>
        <v>Male</v>
      </c>
      <c r="H800" s="38">
        <v>30</v>
      </c>
      <c r="I800" s="39" t="str">
        <f>_xlfn.XLOOKUP(H800,notes!$B$4:$B$8,notes!$C$4:$C$8,"Invalid",-1)</f>
        <v>Adult</v>
      </c>
      <c r="J800" s="37">
        <v>0</v>
      </c>
      <c r="K800" s="37">
        <v>0</v>
      </c>
      <c r="L800" s="37">
        <f t="shared" si="50"/>
        <v>1</v>
      </c>
      <c r="M800" s="40" t="str">
        <f t="shared" si="48"/>
        <v>Not Survived</v>
      </c>
      <c r="N800" s="37" t="str">
        <f>_xlfn.XLOOKUP(L800,notes!$B$28:$B$30,notes!$C$28:$C$30,"Unknown",-1)</f>
        <v>Alone</v>
      </c>
      <c r="O800" s="37">
        <v>2685</v>
      </c>
      <c r="P800" s="37">
        <v>7.2292</v>
      </c>
      <c r="Q800" s="37" t="str">
        <f t="shared" si="51"/>
        <v>Low</v>
      </c>
      <c r="R800" s="37" t="s">
        <v>1236</v>
      </c>
      <c r="S800" s="37" t="s">
        <v>20</v>
      </c>
      <c r="T800" s="41" t="str">
        <f t="shared" si="49"/>
        <v>Cherbourg</v>
      </c>
    </row>
    <row r="801" spans="1:20">
      <c r="A801" s="37">
        <v>800</v>
      </c>
      <c r="B801" s="37">
        <v>0</v>
      </c>
      <c r="C801" s="37">
        <v>3</v>
      </c>
      <c r="D801" s="37" t="s">
        <v>1985</v>
      </c>
      <c r="E801" s="37" t="s">
        <v>2582</v>
      </c>
      <c r="F801" s="37" t="s">
        <v>1239</v>
      </c>
      <c r="G801" s="37" t="str">
        <f>_xlfn.XLOOKUP(F801,notes!$B$12:$B$18,notes!$C$12:$C$18,"Unknown")</f>
        <v>Female</v>
      </c>
      <c r="H801" s="38">
        <v>30</v>
      </c>
      <c r="I801" s="39" t="str">
        <f>_xlfn.XLOOKUP(H801,notes!$B$4:$B$8,notes!$C$4:$C$8,"Invalid",-1)</f>
        <v>Adult</v>
      </c>
      <c r="J801" s="37">
        <v>1</v>
      </c>
      <c r="K801" s="37">
        <v>1</v>
      </c>
      <c r="L801" s="37">
        <f t="shared" si="50"/>
        <v>3</v>
      </c>
      <c r="M801" s="40" t="str">
        <f t="shared" si="48"/>
        <v>Not Survived</v>
      </c>
      <c r="N801" s="37" t="str">
        <f>_xlfn.XLOOKUP(L801,notes!$B$28:$B$30,notes!$C$28:$C$30,"Unknown",-1)</f>
        <v>Small Family</v>
      </c>
      <c r="O801" s="37">
        <v>345773</v>
      </c>
      <c r="P801" s="37">
        <v>24.15</v>
      </c>
      <c r="Q801" s="37" t="str">
        <f t="shared" si="51"/>
        <v>Mid</v>
      </c>
      <c r="R801" s="37" t="s">
        <v>1236</v>
      </c>
      <c r="S801" s="37" t="s">
        <v>15</v>
      </c>
      <c r="T801" s="41" t="str">
        <f t="shared" si="49"/>
        <v>Southampton</v>
      </c>
    </row>
    <row r="802" spans="1:20">
      <c r="A802" s="37">
        <v>801</v>
      </c>
      <c r="B802" s="37">
        <v>0</v>
      </c>
      <c r="C802" s="37">
        <v>2</v>
      </c>
      <c r="D802" s="37" t="s">
        <v>2583</v>
      </c>
      <c r="E802" s="37" t="s">
        <v>1478</v>
      </c>
      <c r="F802" s="37" t="s">
        <v>1235</v>
      </c>
      <c r="G802" s="37" t="str">
        <f>_xlfn.XLOOKUP(F802,notes!$B$12:$B$18,notes!$C$12:$C$18,"Unknown")</f>
        <v>Male</v>
      </c>
      <c r="H802" s="38">
        <v>34</v>
      </c>
      <c r="I802" s="39" t="str">
        <f>_xlfn.XLOOKUP(H802,notes!$B$4:$B$8,notes!$C$4:$C$8,"Invalid",-1)</f>
        <v>Adult</v>
      </c>
      <c r="J802" s="37">
        <v>0</v>
      </c>
      <c r="K802" s="37">
        <v>0</v>
      </c>
      <c r="L802" s="37">
        <f t="shared" si="50"/>
        <v>1</v>
      </c>
      <c r="M802" s="40" t="str">
        <f t="shared" si="48"/>
        <v>Not Survived</v>
      </c>
      <c r="N802" s="37" t="str">
        <f>_xlfn.XLOOKUP(L802,notes!$B$28:$B$30,notes!$C$28:$C$30,"Unknown",-1)</f>
        <v>Alone</v>
      </c>
      <c r="O802" s="37">
        <v>250647</v>
      </c>
      <c r="P802" s="37">
        <v>13</v>
      </c>
      <c r="Q802" s="37" t="str">
        <f t="shared" si="51"/>
        <v>Mid</v>
      </c>
      <c r="R802" s="37" t="s">
        <v>1236</v>
      </c>
      <c r="S802" s="37" t="s">
        <v>15</v>
      </c>
      <c r="T802" s="41" t="str">
        <f t="shared" si="49"/>
        <v>Southampton</v>
      </c>
    </row>
    <row r="803" spans="1:20">
      <c r="A803" s="37">
        <v>802</v>
      </c>
      <c r="B803" s="37">
        <v>1</v>
      </c>
      <c r="C803" s="37">
        <v>2</v>
      </c>
      <c r="D803" s="37" t="s">
        <v>1680</v>
      </c>
      <c r="E803" s="37" t="s">
        <v>2584</v>
      </c>
      <c r="F803" s="37" t="s">
        <v>1239</v>
      </c>
      <c r="G803" s="37" t="str">
        <f>_xlfn.XLOOKUP(F803,notes!$B$12:$B$18,notes!$C$12:$C$18,"Unknown")</f>
        <v>Female</v>
      </c>
      <c r="H803" s="38">
        <v>31</v>
      </c>
      <c r="I803" s="39" t="str">
        <f>_xlfn.XLOOKUP(H803,notes!$B$4:$B$8,notes!$C$4:$C$8,"Invalid",-1)</f>
        <v>Adult</v>
      </c>
      <c r="J803" s="37">
        <v>1</v>
      </c>
      <c r="K803" s="37">
        <v>1</v>
      </c>
      <c r="L803" s="37">
        <f t="shared" si="50"/>
        <v>3</v>
      </c>
      <c r="M803" s="40" t="str">
        <f t="shared" si="48"/>
        <v>Survived</v>
      </c>
      <c r="N803" s="37" t="str">
        <f>_xlfn.XLOOKUP(L803,notes!$B$28:$B$30,notes!$C$28:$C$30,"Unknown",-1)</f>
        <v>Small Family</v>
      </c>
      <c r="O803" s="37" t="s">
        <v>362</v>
      </c>
      <c r="P803" s="37">
        <v>26.25</v>
      </c>
      <c r="Q803" s="37" t="str">
        <f t="shared" si="51"/>
        <v>Mid</v>
      </c>
      <c r="R803" s="37" t="s">
        <v>1236</v>
      </c>
      <c r="S803" s="37" t="s">
        <v>15</v>
      </c>
      <c r="T803" s="41" t="str">
        <f t="shared" si="49"/>
        <v>Southampton</v>
      </c>
    </row>
    <row r="804" spans="1:20">
      <c r="A804" s="37">
        <v>803</v>
      </c>
      <c r="B804" s="37">
        <v>1</v>
      </c>
      <c r="C804" s="37">
        <v>1</v>
      </c>
      <c r="D804" s="37" t="s">
        <v>1702</v>
      </c>
      <c r="E804" s="37" t="s">
        <v>2585</v>
      </c>
      <c r="F804" s="37" t="s">
        <v>1253</v>
      </c>
      <c r="G804" s="37" t="str">
        <f>_xlfn.XLOOKUP(F804,notes!$B$12:$B$18,notes!$C$12:$C$18,"Unknown")</f>
        <v>Male</v>
      </c>
      <c r="H804" s="38">
        <v>11</v>
      </c>
      <c r="I804" s="39" t="str">
        <f>_xlfn.XLOOKUP(H804,notes!$B$4:$B$8,notes!$C$4:$C$8,"Invalid",-1)</f>
        <v>Kid</v>
      </c>
      <c r="J804" s="37">
        <v>1</v>
      </c>
      <c r="K804" s="37">
        <v>2</v>
      </c>
      <c r="L804" s="37">
        <f t="shared" si="50"/>
        <v>4</v>
      </c>
      <c r="M804" s="40" t="str">
        <f t="shared" si="48"/>
        <v>Survived</v>
      </c>
      <c r="N804" s="37" t="str">
        <f>_xlfn.XLOOKUP(L804,notes!$B$28:$B$30,notes!$C$28:$C$30,"Unknown",-1)</f>
        <v>Large Family</v>
      </c>
      <c r="O804" s="37">
        <v>113760</v>
      </c>
      <c r="P804" s="37">
        <v>120</v>
      </c>
      <c r="Q804" s="37" t="str">
        <f t="shared" si="51"/>
        <v>High</v>
      </c>
      <c r="R804" s="37" t="s">
        <v>579</v>
      </c>
      <c r="S804" s="37" t="s">
        <v>15</v>
      </c>
      <c r="T804" s="41" t="str">
        <f t="shared" si="49"/>
        <v>Southampton</v>
      </c>
    </row>
    <row r="805" spans="1:20">
      <c r="A805" s="37">
        <v>804</v>
      </c>
      <c r="B805" s="37">
        <v>1</v>
      </c>
      <c r="C805" s="37">
        <v>3</v>
      </c>
      <c r="D805" s="37" t="s">
        <v>2586</v>
      </c>
      <c r="E805" s="37" t="s">
        <v>2587</v>
      </c>
      <c r="F805" s="37" t="s">
        <v>1253</v>
      </c>
      <c r="G805" s="37" t="str">
        <f>_xlfn.XLOOKUP(F805,notes!$B$12:$B$18,notes!$C$12:$C$18,"Unknown")</f>
        <v>Male</v>
      </c>
      <c r="H805" s="38">
        <v>0.42</v>
      </c>
      <c r="I805" s="39" t="str">
        <f>_xlfn.XLOOKUP(H805,notes!$B$4:$B$8,notes!$C$4:$C$8,"Invalid",-1)</f>
        <v>Kid</v>
      </c>
      <c r="J805" s="37">
        <v>0</v>
      </c>
      <c r="K805" s="37">
        <v>1</v>
      </c>
      <c r="L805" s="37">
        <f t="shared" si="50"/>
        <v>2</v>
      </c>
      <c r="M805" s="40" t="str">
        <f t="shared" si="48"/>
        <v>Survived</v>
      </c>
      <c r="N805" s="37" t="str">
        <f>_xlfn.XLOOKUP(L805,notes!$B$28:$B$30,notes!$C$28:$C$30,"Unknown",-1)</f>
        <v>Small Family</v>
      </c>
      <c r="O805" s="37">
        <v>2625</v>
      </c>
      <c r="P805" s="37">
        <v>8.5167</v>
      </c>
      <c r="Q805" s="37" t="str">
        <f t="shared" si="51"/>
        <v>Low</v>
      </c>
      <c r="R805" s="37" t="s">
        <v>1236</v>
      </c>
      <c r="S805" s="37" t="s">
        <v>20</v>
      </c>
      <c r="T805" s="41" t="str">
        <f t="shared" si="49"/>
        <v>Cherbourg</v>
      </c>
    </row>
    <row r="806" spans="1:20">
      <c r="A806" s="37">
        <v>805</v>
      </c>
      <c r="B806" s="37">
        <v>1</v>
      </c>
      <c r="C806" s="37">
        <v>3</v>
      </c>
      <c r="D806" s="37" t="s">
        <v>2588</v>
      </c>
      <c r="E806" s="37" t="s">
        <v>2589</v>
      </c>
      <c r="F806" s="37" t="s">
        <v>1235</v>
      </c>
      <c r="G806" s="37" t="str">
        <f>_xlfn.XLOOKUP(F806,notes!$B$12:$B$18,notes!$C$12:$C$18,"Unknown")</f>
        <v>Male</v>
      </c>
      <c r="H806" s="38">
        <v>27</v>
      </c>
      <c r="I806" s="39" t="str">
        <f>_xlfn.XLOOKUP(H806,notes!$B$4:$B$8,notes!$C$4:$C$8,"Invalid",-1)</f>
        <v>Adult</v>
      </c>
      <c r="J806" s="37">
        <v>0</v>
      </c>
      <c r="K806" s="37">
        <v>0</v>
      </c>
      <c r="L806" s="37">
        <f t="shared" si="50"/>
        <v>1</v>
      </c>
      <c r="M806" s="40" t="str">
        <f t="shared" si="48"/>
        <v>Survived</v>
      </c>
      <c r="N806" s="37" t="str">
        <f>_xlfn.XLOOKUP(L806,notes!$B$28:$B$30,notes!$C$28:$C$30,"Unknown",-1)</f>
        <v>Alone</v>
      </c>
      <c r="O806" s="37">
        <v>347089</v>
      </c>
      <c r="P806" s="37">
        <v>6.975</v>
      </c>
      <c r="Q806" s="37" t="str">
        <f t="shared" si="51"/>
        <v>Low</v>
      </c>
      <c r="R806" s="37" t="s">
        <v>1236</v>
      </c>
      <c r="S806" s="37" t="s">
        <v>15</v>
      </c>
      <c r="T806" s="41" t="str">
        <f t="shared" si="49"/>
        <v>Southampton</v>
      </c>
    </row>
    <row r="807" spans="1:20">
      <c r="A807" s="37">
        <v>806</v>
      </c>
      <c r="B807" s="37">
        <v>0</v>
      </c>
      <c r="C807" s="37">
        <v>3</v>
      </c>
      <c r="D807" s="37" t="s">
        <v>1438</v>
      </c>
      <c r="E807" s="37" t="s">
        <v>2590</v>
      </c>
      <c r="F807" s="37" t="s">
        <v>1235</v>
      </c>
      <c r="G807" s="37" t="str">
        <f>_xlfn.XLOOKUP(F807,notes!$B$12:$B$18,notes!$C$12:$C$18,"Unknown")</f>
        <v>Male</v>
      </c>
      <c r="H807" s="38">
        <v>31</v>
      </c>
      <c r="I807" s="39" t="str">
        <f>_xlfn.XLOOKUP(H807,notes!$B$4:$B$8,notes!$C$4:$C$8,"Invalid",-1)</f>
        <v>Adult</v>
      </c>
      <c r="J807" s="37">
        <v>0</v>
      </c>
      <c r="K807" s="37">
        <v>0</v>
      </c>
      <c r="L807" s="37">
        <f t="shared" si="50"/>
        <v>1</v>
      </c>
      <c r="M807" s="40" t="str">
        <f t="shared" si="48"/>
        <v>Not Survived</v>
      </c>
      <c r="N807" s="37" t="str">
        <f>_xlfn.XLOOKUP(L807,notes!$B$28:$B$30,notes!$C$28:$C$30,"Unknown",-1)</f>
        <v>Alone</v>
      </c>
      <c r="O807" s="37">
        <v>347063</v>
      </c>
      <c r="P807" s="37">
        <v>7.775</v>
      </c>
      <c r="Q807" s="37" t="str">
        <f t="shared" si="51"/>
        <v>Low</v>
      </c>
      <c r="R807" s="37" t="s">
        <v>1236</v>
      </c>
      <c r="S807" s="37" t="s">
        <v>15</v>
      </c>
      <c r="T807" s="41" t="str">
        <f t="shared" si="49"/>
        <v>Southampton</v>
      </c>
    </row>
    <row r="808" spans="1:20">
      <c r="A808" s="37">
        <v>807</v>
      </c>
      <c r="B808" s="37">
        <v>0</v>
      </c>
      <c r="C808" s="37">
        <v>1</v>
      </c>
      <c r="D808" s="37" t="s">
        <v>1746</v>
      </c>
      <c r="E808" s="37" t="s">
        <v>2591</v>
      </c>
      <c r="F808" s="37" t="s">
        <v>1235</v>
      </c>
      <c r="G808" s="37" t="str">
        <f>_xlfn.XLOOKUP(F808,notes!$B$12:$B$18,notes!$C$12:$C$18,"Unknown")</f>
        <v>Male</v>
      </c>
      <c r="H808" s="38">
        <v>39</v>
      </c>
      <c r="I808" s="39" t="str">
        <f>_xlfn.XLOOKUP(H808,notes!$B$4:$B$8,notes!$C$4:$C$8,"Invalid",-1)</f>
        <v>Adult</v>
      </c>
      <c r="J808" s="37">
        <v>0</v>
      </c>
      <c r="K808" s="37">
        <v>0</v>
      </c>
      <c r="L808" s="37">
        <f t="shared" si="50"/>
        <v>1</v>
      </c>
      <c r="M808" s="40" t="str">
        <f t="shared" si="48"/>
        <v>Not Survived</v>
      </c>
      <c r="N808" s="37" t="str">
        <f>_xlfn.XLOOKUP(L808,notes!$B$28:$B$30,notes!$C$28:$C$30,"Unknown",-1)</f>
        <v>Alone</v>
      </c>
      <c r="O808" s="37">
        <v>112050</v>
      </c>
      <c r="P808" s="37">
        <v>0</v>
      </c>
      <c r="Q808" s="37" t="str">
        <f t="shared" si="51"/>
        <v>Low</v>
      </c>
      <c r="R808" s="37" t="s">
        <v>1117</v>
      </c>
      <c r="S808" s="37" t="s">
        <v>15</v>
      </c>
      <c r="T808" s="41" t="str">
        <f t="shared" si="49"/>
        <v>Southampton</v>
      </c>
    </row>
    <row r="809" spans="1:20">
      <c r="A809" s="37">
        <v>808</v>
      </c>
      <c r="B809" s="37">
        <v>0</v>
      </c>
      <c r="C809" s="37">
        <v>3</v>
      </c>
      <c r="D809" s="37" t="s">
        <v>2592</v>
      </c>
      <c r="E809" s="37" t="s">
        <v>2593</v>
      </c>
      <c r="F809" s="37" t="s">
        <v>1242</v>
      </c>
      <c r="G809" s="37" t="str">
        <f>_xlfn.XLOOKUP(F809,notes!$B$12:$B$18,notes!$C$12:$C$18,"Unknown")</f>
        <v>Female</v>
      </c>
      <c r="H809" s="38">
        <v>18</v>
      </c>
      <c r="I809" s="39" t="str">
        <f>_xlfn.XLOOKUP(H809,notes!$B$4:$B$8,notes!$C$4:$C$8,"Invalid",-1)</f>
        <v>Teenager</v>
      </c>
      <c r="J809" s="37">
        <v>0</v>
      </c>
      <c r="K809" s="37">
        <v>0</v>
      </c>
      <c r="L809" s="37">
        <f t="shared" si="50"/>
        <v>1</v>
      </c>
      <c r="M809" s="40" t="str">
        <f t="shared" si="48"/>
        <v>Not Survived</v>
      </c>
      <c r="N809" s="37" t="str">
        <f>_xlfn.XLOOKUP(L809,notes!$B$28:$B$30,notes!$C$28:$C$30,"Unknown",-1)</f>
        <v>Alone</v>
      </c>
      <c r="O809" s="37">
        <v>347087</v>
      </c>
      <c r="P809" s="37">
        <v>7.775</v>
      </c>
      <c r="Q809" s="37" t="str">
        <f t="shared" si="51"/>
        <v>Low</v>
      </c>
      <c r="R809" s="37" t="s">
        <v>1236</v>
      </c>
      <c r="S809" s="37" t="s">
        <v>15</v>
      </c>
      <c r="T809" s="41" t="str">
        <f t="shared" si="49"/>
        <v>Southampton</v>
      </c>
    </row>
    <row r="810" spans="1:20">
      <c r="A810" s="37">
        <v>809</v>
      </c>
      <c r="B810" s="37">
        <v>0</v>
      </c>
      <c r="C810" s="37">
        <v>2</v>
      </c>
      <c r="D810" s="37" t="s">
        <v>1305</v>
      </c>
      <c r="E810" s="37" t="s">
        <v>2594</v>
      </c>
      <c r="F810" s="37" t="s">
        <v>1235</v>
      </c>
      <c r="G810" s="37" t="str">
        <f>_xlfn.XLOOKUP(F810,notes!$B$12:$B$18,notes!$C$12:$C$18,"Unknown")</f>
        <v>Male</v>
      </c>
      <c r="H810" s="38">
        <v>39</v>
      </c>
      <c r="I810" s="39" t="str">
        <f>_xlfn.XLOOKUP(H810,notes!$B$4:$B$8,notes!$C$4:$C$8,"Invalid",-1)</f>
        <v>Adult</v>
      </c>
      <c r="J810" s="37">
        <v>0</v>
      </c>
      <c r="K810" s="37">
        <v>0</v>
      </c>
      <c r="L810" s="37">
        <f t="shared" si="50"/>
        <v>1</v>
      </c>
      <c r="M810" s="40" t="str">
        <f t="shared" si="48"/>
        <v>Not Survived</v>
      </c>
      <c r="N810" s="37" t="str">
        <f>_xlfn.XLOOKUP(L810,notes!$B$28:$B$30,notes!$C$28:$C$30,"Unknown",-1)</f>
        <v>Alone</v>
      </c>
      <c r="O810" s="37">
        <v>248723</v>
      </c>
      <c r="P810" s="37">
        <v>13</v>
      </c>
      <c r="Q810" s="37" t="str">
        <f t="shared" si="51"/>
        <v>Mid</v>
      </c>
      <c r="R810" s="37" t="s">
        <v>1236</v>
      </c>
      <c r="S810" s="37" t="s">
        <v>15</v>
      </c>
      <c r="T810" s="41" t="str">
        <f t="shared" si="49"/>
        <v>Southampton</v>
      </c>
    </row>
    <row r="811" spans="1:20">
      <c r="A811" s="37">
        <v>810</v>
      </c>
      <c r="B811" s="37">
        <v>1</v>
      </c>
      <c r="C811" s="37">
        <v>1</v>
      </c>
      <c r="D811" s="37" t="s">
        <v>2464</v>
      </c>
      <c r="E811" s="37" t="s">
        <v>2595</v>
      </c>
      <c r="F811" s="37" t="s">
        <v>1239</v>
      </c>
      <c r="G811" s="37" t="str">
        <f>_xlfn.XLOOKUP(F811,notes!$B$12:$B$18,notes!$C$12:$C$18,"Unknown")</f>
        <v>Female</v>
      </c>
      <c r="H811" s="38">
        <v>33</v>
      </c>
      <c r="I811" s="39" t="str">
        <f>_xlfn.XLOOKUP(H811,notes!$B$4:$B$8,notes!$C$4:$C$8,"Invalid",-1)</f>
        <v>Adult</v>
      </c>
      <c r="J811" s="37">
        <v>1</v>
      </c>
      <c r="K811" s="37">
        <v>0</v>
      </c>
      <c r="L811" s="37">
        <f t="shared" si="50"/>
        <v>2</v>
      </c>
      <c r="M811" s="40" t="str">
        <f t="shared" si="48"/>
        <v>Survived</v>
      </c>
      <c r="N811" s="37" t="str">
        <f>_xlfn.XLOOKUP(L811,notes!$B$28:$B$30,notes!$C$28:$C$30,"Unknown",-1)</f>
        <v>Small Family</v>
      </c>
      <c r="O811" s="37">
        <v>113806</v>
      </c>
      <c r="P811" s="37">
        <v>53.1</v>
      </c>
      <c r="Q811" s="37" t="str">
        <f t="shared" si="51"/>
        <v>High</v>
      </c>
      <c r="R811" s="37" t="s">
        <v>1015</v>
      </c>
      <c r="S811" s="37" t="s">
        <v>15</v>
      </c>
      <c r="T811" s="41" t="str">
        <f t="shared" si="49"/>
        <v>Southampton</v>
      </c>
    </row>
    <row r="812" spans="1:20">
      <c r="A812" s="37">
        <v>811</v>
      </c>
      <c r="B812" s="37">
        <v>0</v>
      </c>
      <c r="C812" s="37">
        <v>3</v>
      </c>
      <c r="D812" s="37" t="s">
        <v>2596</v>
      </c>
      <c r="E812" s="37" t="s">
        <v>1598</v>
      </c>
      <c r="F812" s="37" t="s">
        <v>1235</v>
      </c>
      <c r="G812" s="37" t="str">
        <f>_xlfn.XLOOKUP(F812,notes!$B$12:$B$18,notes!$C$12:$C$18,"Unknown")</f>
        <v>Male</v>
      </c>
      <c r="H812" s="38">
        <v>26</v>
      </c>
      <c r="I812" s="39" t="str">
        <f>_xlfn.XLOOKUP(H812,notes!$B$4:$B$8,notes!$C$4:$C$8,"Invalid",-1)</f>
        <v>Adult</v>
      </c>
      <c r="J812" s="37">
        <v>0</v>
      </c>
      <c r="K812" s="37">
        <v>0</v>
      </c>
      <c r="L812" s="37">
        <f t="shared" si="50"/>
        <v>1</v>
      </c>
      <c r="M812" s="40" t="str">
        <f t="shared" si="48"/>
        <v>Not Survived</v>
      </c>
      <c r="N812" s="37" t="str">
        <f>_xlfn.XLOOKUP(L812,notes!$B$28:$B$30,notes!$C$28:$C$30,"Unknown",-1)</f>
        <v>Alone</v>
      </c>
      <c r="O812" s="37">
        <v>3474</v>
      </c>
      <c r="P812" s="37">
        <v>7.8875</v>
      </c>
      <c r="Q812" s="37" t="str">
        <f t="shared" si="51"/>
        <v>Low</v>
      </c>
      <c r="R812" s="37" t="s">
        <v>1236</v>
      </c>
      <c r="S812" s="37" t="s">
        <v>15</v>
      </c>
      <c r="T812" s="41" t="str">
        <f t="shared" si="49"/>
        <v>Southampton</v>
      </c>
    </row>
    <row r="813" spans="1:20">
      <c r="A813" s="37">
        <v>812</v>
      </c>
      <c r="B813" s="37">
        <v>0</v>
      </c>
      <c r="C813" s="37">
        <v>3</v>
      </c>
      <c r="D813" s="37" t="s">
        <v>2597</v>
      </c>
      <c r="E813" s="37" t="s">
        <v>1248</v>
      </c>
      <c r="F813" s="37" t="s">
        <v>1235</v>
      </c>
      <c r="G813" s="37" t="str">
        <f>_xlfn.XLOOKUP(F813,notes!$B$12:$B$18,notes!$C$12:$C$18,"Unknown")</f>
        <v>Male</v>
      </c>
      <c r="H813" s="38">
        <v>39</v>
      </c>
      <c r="I813" s="39" t="str">
        <f>_xlfn.XLOOKUP(H813,notes!$B$4:$B$8,notes!$C$4:$C$8,"Invalid",-1)</f>
        <v>Adult</v>
      </c>
      <c r="J813" s="37">
        <v>0</v>
      </c>
      <c r="K813" s="37">
        <v>0</v>
      </c>
      <c r="L813" s="37">
        <f t="shared" si="50"/>
        <v>1</v>
      </c>
      <c r="M813" s="40" t="str">
        <f t="shared" si="48"/>
        <v>Not Survived</v>
      </c>
      <c r="N813" s="37" t="str">
        <f>_xlfn.XLOOKUP(L813,notes!$B$28:$B$30,notes!$C$28:$C$30,"Unknown",-1)</f>
        <v>Alone</v>
      </c>
      <c r="O813" s="37" t="s">
        <v>811</v>
      </c>
      <c r="P813" s="37">
        <v>24.15</v>
      </c>
      <c r="Q813" s="37" t="str">
        <f t="shared" si="51"/>
        <v>Mid</v>
      </c>
      <c r="R813" s="37" t="s">
        <v>1236</v>
      </c>
      <c r="S813" s="37" t="s">
        <v>15</v>
      </c>
      <c r="T813" s="41" t="str">
        <f t="shared" si="49"/>
        <v>Southampton</v>
      </c>
    </row>
    <row r="814" spans="1:20">
      <c r="A814" s="37">
        <v>813</v>
      </c>
      <c r="B814" s="37">
        <v>0</v>
      </c>
      <c r="C814" s="37">
        <v>2</v>
      </c>
      <c r="D814" s="37" t="s">
        <v>2598</v>
      </c>
      <c r="E814" s="37" t="s">
        <v>2599</v>
      </c>
      <c r="F814" s="37" t="s">
        <v>1235</v>
      </c>
      <c r="G814" s="37" t="str">
        <f>_xlfn.XLOOKUP(F814,notes!$B$12:$B$18,notes!$C$12:$C$18,"Unknown")</f>
        <v>Male</v>
      </c>
      <c r="H814" s="38">
        <v>35</v>
      </c>
      <c r="I814" s="39" t="str">
        <f>_xlfn.XLOOKUP(H814,notes!$B$4:$B$8,notes!$C$4:$C$8,"Invalid",-1)</f>
        <v>Adult</v>
      </c>
      <c r="J814" s="37">
        <v>0</v>
      </c>
      <c r="K814" s="37">
        <v>0</v>
      </c>
      <c r="L814" s="37">
        <f t="shared" si="50"/>
        <v>1</v>
      </c>
      <c r="M814" s="40" t="str">
        <f t="shared" si="48"/>
        <v>Not Survived</v>
      </c>
      <c r="N814" s="37" t="str">
        <f>_xlfn.XLOOKUP(L814,notes!$B$28:$B$30,notes!$C$28:$C$30,"Unknown",-1)</f>
        <v>Alone</v>
      </c>
      <c r="O814" s="37">
        <v>28206</v>
      </c>
      <c r="P814" s="37">
        <v>10.5</v>
      </c>
      <c r="Q814" s="37" t="str">
        <f t="shared" si="51"/>
        <v>Mid</v>
      </c>
      <c r="R814" s="37" t="s">
        <v>1236</v>
      </c>
      <c r="S814" s="37" t="s">
        <v>15</v>
      </c>
      <c r="T814" s="41" t="str">
        <f t="shared" si="49"/>
        <v>Southampton</v>
      </c>
    </row>
    <row r="815" spans="1:20">
      <c r="A815" s="37">
        <v>814</v>
      </c>
      <c r="B815" s="37">
        <v>0</v>
      </c>
      <c r="C815" s="37">
        <v>3</v>
      </c>
      <c r="D815" s="37" t="s">
        <v>1263</v>
      </c>
      <c r="E815" s="37" t="s">
        <v>2600</v>
      </c>
      <c r="F815" s="37" t="s">
        <v>1242</v>
      </c>
      <c r="G815" s="37" t="str">
        <f>_xlfn.XLOOKUP(F815,notes!$B$12:$B$18,notes!$C$12:$C$18,"Unknown")</f>
        <v>Female</v>
      </c>
      <c r="H815" s="38">
        <v>6</v>
      </c>
      <c r="I815" s="39" t="str">
        <f>_xlfn.XLOOKUP(H815,notes!$B$4:$B$8,notes!$C$4:$C$8,"Invalid",-1)</f>
        <v>Kid</v>
      </c>
      <c r="J815" s="37">
        <v>4</v>
      </c>
      <c r="K815" s="37">
        <v>2</v>
      </c>
      <c r="L815" s="37">
        <f t="shared" si="50"/>
        <v>7</v>
      </c>
      <c r="M815" s="40" t="str">
        <f t="shared" si="48"/>
        <v>Not Survived</v>
      </c>
      <c r="N815" s="37" t="str">
        <f>_xlfn.XLOOKUP(L815,notes!$B$28:$B$30,notes!$C$28:$C$30,"Unknown",-1)</f>
        <v>Large Family</v>
      </c>
      <c r="O815" s="37">
        <v>347082</v>
      </c>
      <c r="P815" s="37">
        <v>31.275</v>
      </c>
      <c r="Q815" s="37" t="str">
        <f t="shared" si="51"/>
        <v>Mid</v>
      </c>
      <c r="R815" s="37" t="s">
        <v>1236</v>
      </c>
      <c r="S815" s="37" t="s">
        <v>15</v>
      </c>
      <c r="T815" s="41" t="str">
        <f t="shared" si="49"/>
        <v>Southampton</v>
      </c>
    </row>
    <row r="816" spans="1:20">
      <c r="A816" s="37">
        <v>815</v>
      </c>
      <c r="B816" s="37">
        <v>0</v>
      </c>
      <c r="C816" s="37">
        <v>3</v>
      </c>
      <c r="D816" s="37" t="s">
        <v>2601</v>
      </c>
      <c r="E816" s="37" t="s">
        <v>2602</v>
      </c>
      <c r="F816" s="37" t="s">
        <v>1235</v>
      </c>
      <c r="G816" s="37" t="str">
        <f>_xlfn.XLOOKUP(F816,notes!$B$12:$B$18,notes!$C$12:$C$18,"Unknown")</f>
        <v>Male</v>
      </c>
      <c r="H816" s="38">
        <v>30.5</v>
      </c>
      <c r="I816" s="39" t="str">
        <f>_xlfn.XLOOKUP(H816,notes!$B$4:$B$8,notes!$C$4:$C$8,"Invalid",-1)</f>
        <v>Adult</v>
      </c>
      <c r="J816" s="37">
        <v>0</v>
      </c>
      <c r="K816" s="37">
        <v>0</v>
      </c>
      <c r="L816" s="37">
        <f t="shared" si="50"/>
        <v>1</v>
      </c>
      <c r="M816" s="40" t="str">
        <f t="shared" si="48"/>
        <v>Not Survived</v>
      </c>
      <c r="N816" s="37" t="str">
        <f>_xlfn.XLOOKUP(L816,notes!$B$28:$B$30,notes!$C$28:$C$30,"Unknown",-1)</f>
        <v>Alone</v>
      </c>
      <c r="O816" s="37">
        <v>364499</v>
      </c>
      <c r="P816" s="37">
        <v>8.05</v>
      </c>
      <c r="Q816" s="37" t="str">
        <f t="shared" si="51"/>
        <v>Low</v>
      </c>
      <c r="R816" s="37" t="s">
        <v>1236</v>
      </c>
      <c r="S816" s="37" t="s">
        <v>15</v>
      </c>
      <c r="T816" s="41" t="str">
        <f t="shared" si="49"/>
        <v>Southampton</v>
      </c>
    </row>
    <row r="817" spans="1:20">
      <c r="A817" s="37">
        <v>816</v>
      </c>
      <c r="B817" s="37">
        <v>0</v>
      </c>
      <c r="C817" s="37">
        <v>1</v>
      </c>
      <c r="D817" s="37" t="s">
        <v>2603</v>
      </c>
      <c r="E817" s="37" t="s">
        <v>2575</v>
      </c>
      <c r="F817" s="37" t="s">
        <v>1235</v>
      </c>
      <c r="G817" s="37" t="str">
        <f>_xlfn.XLOOKUP(F817,notes!$B$12:$B$18,notes!$C$12:$C$18,"Unknown")</f>
        <v>Male</v>
      </c>
      <c r="H817" s="38" t="s">
        <v>1236</v>
      </c>
      <c r="I817" s="39" t="str">
        <f>_xlfn.XLOOKUP(H817,notes!$B$4:$B$8,notes!$C$4:$C$8,"Invalid",-1)</f>
        <v>Unknown</v>
      </c>
      <c r="J817" s="37">
        <v>0</v>
      </c>
      <c r="K817" s="37">
        <v>0</v>
      </c>
      <c r="L817" s="37">
        <f t="shared" si="50"/>
        <v>1</v>
      </c>
      <c r="M817" s="40" t="str">
        <f t="shared" si="48"/>
        <v>Not Survived</v>
      </c>
      <c r="N817" s="37" t="str">
        <f>_xlfn.XLOOKUP(L817,notes!$B$28:$B$30,notes!$C$28:$C$30,"Unknown",-1)</f>
        <v>Alone</v>
      </c>
      <c r="O817" s="37">
        <v>112058</v>
      </c>
      <c r="P817" s="37">
        <v>0</v>
      </c>
      <c r="Q817" s="37" t="str">
        <f t="shared" si="51"/>
        <v>Low</v>
      </c>
      <c r="R817" s="37" t="s">
        <v>1127</v>
      </c>
      <c r="S817" s="37" t="s">
        <v>15</v>
      </c>
      <c r="T817" s="41" t="str">
        <f t="shared" si="49"/>
        <v>Southampton</v>
      </c>
    </row>
    <row r="818" spans="1:20">
      <c r="A818" s="37">
        <v>817</v>
      </c>
      <c r="B818" s="37">
        <v>0</v>
      </c>
      <c r="C818" s="37">
        <v>3</v>
      </c>
      <c r="D818" s="37" t="s">
        <v>2604</v>
      </c>
      <c r="E818" s="37" t="s">
        <v>2605</v>
      </c>
      <c r="F818" s="37" t="s">
        <v>1242</v>
      </c>
      <c r="G818" s="37" t="str">
        <f>_xlfn.XLOOKUP(F818,notes!$B$12:$B$18,notes!$C$12:$C$18,"Unknown")</f>
        <v>Female</v>
      </c>
      <c r="H818" s="38">
        <v>23</v>
      </c>
      <c r="I818" s="39" t="str">
        <f>_xlfn.XLOOKUP(H818,notes!$B$4:$B$8,notes!$C$4:$C$8,"Invalid",-1)</f>
        <v>Adult</v>
      </c>
      <c r="J818" s="37">
        <v>0</v>
      </c>
      <c r="K818" s="37">
        <v>0</v>
      </c>
      <c r="L818" s="37">
        <f t="shared" si="50"/>
        <v>1</v>
      </c>
      <c r="M818" s="40" t="str">
        <f t="shared" si="48"/>
        <v>Not Survived</v>
      </c>
      <c r="N818" s="37" t="str">
        <f>_xlfn.XLOOKUP(L818,notes!$B$28:$B$30,notes!$C$28:$C$30,"Unknown",-1)</f>
        <v>Alone</v>
      </c>
      <c r="O818" s="37" t="s">
        <v>1129</v>
      </c>
      <c r="P818" s="37">
        <v>7.925</v>
      </c>
      <c r="Q818" s="37" t="str">
        <f t="shared" si="51"/>
        <v>Low</v>
      </c>
      <c r="R818" s="37" t="s">
        <v>1236</v>
      </c>
      <c r="S818" s="37" t="s">
        <v>15</v>
      </c>
      <c r="T818" s="41" t="str">
        <f t="shared" si="49"/>
        <v>Southampton</v>
      </c>
    </row>
    <row r="819" spans="1:20">
      <c r="A819" s="37">
        <v>818</v>
      </c>
      <c r="B819" s="37">
        <v>0</v>
      </c>
      <c r="C819" s="37">
        <v>2</v>
      </c>
      <c r="D819" s="37" t="s">
        <v>2606</v>
      </c>
      <c r="E819" s="37" t="s">
        <v>2607</v>
      </c>
      <c r="F819" s="37" t="s">
        <v>1235</v>
      </c>
      <c r="G819" s="37" t="str">
        <f>_xlfn.XLOOKUP(F819,notes!$B$12:$B$18,notes!$C$12:$C$18,"Unknown")</f>
        <v>Male</v>
      </c>
      <c r="H819" s="38">
        <v>31</v>
      </c>
      <c r="I819" s="39" t="str">
        <f>_xlfn.XLOOKUP(H819,notes!$B$4:$B$8,notes!$C$4:$C$8,"Invalid",-1)</f>
        <v>Adult</v>
      </c>
      <c r="J819" s="37">
        <v>1</v>
      </c>
      <c r="K819" s="37">
        <v>1</v>
      </c>
      <c r="L819" s="37">
        <f t="shared" si="50"/>
        <v>3</v>
      </c>
      <c r="M819" s="40" t="str">
        <f t="shared" si="48"/>
        <v>Not Survived</v>
      </c>
      <c r="N819" s="37" t="str">
        <f>_xlfn.XLOOKUP(L819,notes!$B$28:$B$30,notes!$C$28:$C$30,"Unknown",-1)</f>
        <v>Small Family</v>
      </c>
      <c r="O819" s="37" t="s">
        <v>1131</v>
      </c>
      <c r="P819" s="37">
        <v>37.0042</v>
      </c>
      <c r="Q819" s="37" t="str">
        <f t="shared" si="51"/>
        <v>Mid</v>
      </c>
      <c r="R819" s="37" t="s">
        <v>1236</v>
      </c>
      <c r="S819" s="37" t="s">
        <v>20</v>
      </c>
      <c r="T819" s="41" t="str">
        <f t="shared" si="49"/>
        <v>Cherbourg</v>
      </c>
    </row>
    <row r="820" spans="1:20">
      <c r="A820" s="37">
        <v>819</v>
      </c>
      <c r="B820" s="37">
        <v>0</v>
      </c>
      <c r="C820" s="37">
        <v>3</v>
      </c>
      <c r="D820" s="37" t="s">
        <v>2608</v>
      </c>
      <c r="E820" s="37" t="s">
        <v>2609</v>
      </c>
      <c r="F820" s="37" t="s">
        <v>1235</v>
      </c>
      <c r="G820" s="37" t="str">
        <f>_xlfn.XLOOKUP(F820,notes!$B$12:$B$18,notes!$C$12:$C$18,"Unknown")</f>
        <v>Male</v>
      </c>
      <c r="H820" s="38">
        <v>43</v>
      </c>
      <c r="I820" s="39" t="str">
        <f>_xlfn.XLOOKUP(H820,notes!$B$4:$B$8,notes!$C$4:$C$8,"Invalid",-1)</f>
        <v>Adult</v>
      </c>
      <c r="J820" s="37">
        <v>0</v>
      </c>
      <c r="K820" s="37">
        <v>0</v>
      </c>
      <c r="L820" s="37">
        <f t="shared" si="50"/>
        <v>1</v>
      </c>
      <c r="M820" s="40" t="str">
        <f t="shared" si="48"/>
        <v>Not Survived</v>
      </c>
      <c r="N820" s="37" t="str">
        <f>_xlfn.XLOOKUP(L820,notes!$B$28:$B$30,notes!$C$28:$C$30,"Unknown",-1)</f>
        <v>Alone</v>
      </c>
      <c r="O820" s="37" t="s">
        <v>1133</v>
      </c>
      <c r="P820" s="37">
        <v>6.45</v>
      </c>
      <c r="Q820" s="37" t="str">
        <f t="shared" si="51"/>
        <v>Low</v>
      </c>
      <c r="R820" s="37" t="s">
        <v>1236</v>
      </c>
      <c r="S820" s="37" t="s">
        <v>15</v>
      </c>
      <c r="T820" s="41" t="str">
        <f t="shared" si="49"/>
        <v>Southampton</v>
      </c>
    </row>
    <row r="821" spans="1:20">
      <c r="A821" s="37">
        <v>820</v>
      </c>
      <c r="B821" s="37">
        <v>0</v>
      </c>
      <c r="C821" s="37">
        <v>3</v>
      </c>
      <c r="D821" s="37" t="s">
        <v>1362</v>
      </c>
      <c r="E821" s="37" t="s">
        <v>2610</v>
      </c>
      <c r="F821" s="37" t="s">
        <v>1253</v>
      </c>
      <c r="G821" s="37" t="str">
        <f>_xlfn.XLOOKUP(F821,notes!$B$12:$B$18,notes!$C$12:$C$18,"Unknown")</f>
        <v>Male</v>
      </c>
      <c r="H821" s="38">
        <v>10</v>
      </c>
      <c r="I821" s="39" t="str">
        <f>_xlfn.XLOOKUP(H821,notes!$B$4:$B$8,notes!$C$4:$C$8,"Invalid",-1)</f>
        <v>Kid</v>
      </c>
      <c r="J821" s="37">
        <v>3</v>
      </c>
      <c r="K821" s="37">
        <v>2</v>
      </c>
      <c r="L821" s="37">
        <f t="shared" si="50"/>
        <v>6</v>
      </c>
      <c r="M821" s="40" t="str">
        <f t="shared" si="48"/>
        <v>Not Survived</v>
      </c>
      <c r="N821" s="37" t="str">
        <f>_xlfn.XLOOKUP(L821,notes!$B$28:$B$30,notes!$C$28:$C$30,"Unknown",-1)</f>
        <v>Large Family</v>
      </c>
      <c r="O821" s="37">
        <v>347088</v>
      </c>
      <c r="P821" s="37">
        <v>27.9</v>
      </c>
      <c r="Q821" s="37" t="str">
        <f t="shared" si="51"/>
        <v>Mid</v>
      </c>
      <c r="R821" s="37" t="s">
        <v>1236</v>
      </c>
      <c r="S821" s="37" t="s">
        <v>15</v>
      </c>
      <c r="T821" s="41" t="str">
        <f t="shared" si="49"/>
        <v>Southampton</v>
      </c>
    </row>
    <row r="822" spans="1:20">
      <c r="A822" s="37">
        <v>821</v>
      </c>
      <c r="B822" s="37">
        <v>1</v>
      </c>
      <c r="C822" s="37">
        <v>1</v>
      </c>
      <c r="D822" s="37" t="s">
        <v>1807</v>
      </c>
      <c r="E822" s="37" t="s">
        <v>2611</v>
      </c>
      <c r="F822" s="37" t="s">
        <v>1239</v>
      </c>
      <c r="G822" s="37" t="str">
        <f>_xlfn.XLOOKUP(F822,notes!$B$12:$B$18,notes!$C$12:$C$18,"Unknown")</f>
        <v>Female</v>
      </c>
      <c r="H822" s="38">
        <v>52</v>
      </c>
      <c r="I822" s="39" t="str">
        <f>_xlfn.XLOOKUP(H822,notes!$B$4:$B$8,notes!$C$4:$C$8,"Invalid",-1)</f>
        <v>Adult</v>
      </c>
      <c r="J822" s="37">
        <v>1</v>
      </c>
      <c r="K822" s="37">
        <v>1</v>
      </c>
      <c r="L822" s="37">
        <f t="shared" si="50"/>
        <v>3</v>
      </c>
      <c r="M822" s="40" t="str">
        <f t="shared" si="48"/>
        <v>Survived</v>
      </c>
      <c r="N822" s="37" t="str">
        <f>_xlfn.XLOOKUP(L822,notes!$B$28:$B$30,notes!$C$28:$C$30,"Unknown",-1)</f>
        <v>Small Family</v>
      </c>
      <c r="O822" s="37">
        <v>12749</v>
      </c>
      <c r="P822" s="37">
        <v>93.5</v>
      </c>
      <c r="Q822" s="37" t="str">
        <f t="shared" si="51"/>
        <v>High</v>
      </c>
      <c r="R822" s="37" t="s">
        <v>1136</v>
      </c>
      <c r="S822" s="37" t="s">
        <v>15</v>
      </c>
      <c r="T822" s="41" t="str">
        <f t="shared" si="49"/>
        <v>Southampton</v>
      </c>
    </row>
    <row r="823" spans="1:20">
      <c r="A823" s="37">
        <v>822</v>
      </c>
      <c r="B823" s="37">
        <v>1</v>
      </c>
      <c r="C823" s="37">
        <v>3</v>
      </c>
      <c r="D823" s="37" t="s">
        <v>2612</v>
      </c>
      <c r="E823" s="37" t="s">
        <v>2613</v>
      </c>
      <c r="F823" s="37" t="s">
        <v>1235</v>
      </c>
      <c r="G823" s="37" t="str">
        <f>_xlfn.XLOOKUP(F823,notes!$B$12:$B$18,notes!$C$12:$C$18,"Unknown")</f>
        <v>Male</v>
      </c>
      <c r="H823" s="38">
        <v>27</v>
      </c>
      <c r="I823" s="39" t="str">
        <f>_xlfn.XLOOKUP(H823,notes!$B$4:$B$8,notes!$C$4:$C$8,"Invalid",-1)</f>
        <v>Adult</v>
      </c>
      <c r="J823" s="37">
        <v>0</v>
      </c>
      <c r="K823" s="37">
        <v>0</v>
      </c>
      <c r="L823" s="37">
        <f t="shared" si="50"/>
        <v>1</v>
      </c>
      <c r="M823" s="40" t="str">
        <f t="shared" si="48"/>
        <v>Survived</v>
      </c>
      <c r="N823" s="37" t="str">
        <f>_xlfn.XLOOKUP(L823,notes!$B$28:$B$30,notes!$C$28:$C$30,"Unknown",-1)</f>
        <v>Alone</v>
      </c>
      <c r="O823" s="37">
        <v>315098</v>
      </c>
      <c r="P823" s="37">
        <v>8.6625</v>
      </c>
      <c r="Q823" s="37" t="str">
        <f t="shared" si="51"/>
        <v>Low</v>
      </c>
      <c r="R823" s="37" t="s">
        <v>1236</v>
      </c>
      <c r="S823" s="37" t="s">
        <v>15</v>
      </c>
      <c r="T823" s="41" t="str">
        <f t="shared" si="49"/>
        <v>Southampton</v>
      </c>
    </row>
    <row r="824" spans="1:20">
      <c r="A824" s="37">
        <v>823</v>
      </c>
      <c r="B824" s="37">
        <v>0</v>
      </c>
      <c r="C824" s="37">
        <v>1</v>
      </c>
      <c r="D824" s="37" t="s">
        <v>2614</v>
      </c>
      <c r="E824" s="37" t="s">
        <v>2615</v>
      </c>
      <c r="F824" s="37" t="s">
        <v>2616</v>
      </c>
      <c r="G824" s="37" t="str">
        <f>_xlfn.XLOOKUP(F824,notes!$B$12:$B$18,notes!$C$12:$C$18,"Unknown")</f>
        <v>Unknown</v>
      </c>
      <c r="H824" s="38">
        <v>38</v>
      </c>
      <c r="I824" s="39" t="str">
        <f>_xlfn.XLOOKUP(H824,notes!$B$4:$B$8,notes!$C$4:$C$8,"Invalid",-1)</f>
        <v>Adult</v>
      </c>
      <c r="J824" s="37">
        <v>0</v>
      </c>
      <c r="K824" s="37">
        <v>0</v>
      </c>
      <c r="L824" s="37">
        <f t="shared" si="50"/>
        <v>1</v>
      </c>
      <c r="M824" s="40" t="str">
        <f t="shared" si="48"/>
        <v>Not Survived</v>
      </c>
      <c r="N824" s="37" t="str">
        <f>_xlfn.XLOOKUP(L824,notes!$B$28:$B$30,notes!$C$28:$C$30,"Unknown",-1)</f>
        <v>Alone</v>
      </c>
      <c r="O824" s="37">
        <v>19972</v>
      </c>
      <c r="P824" s="37">
        <v>0</v>
      </c>
      <c r="Q824" s="37" t="str">
        <f t="shared" si="51"/>
        <v>Low</v>
      </c>
      <c r="R824" s="37" t="s">
        <v>1236</v>
      </c>
      <c r="S824" s="37" t="s">
        <v>15</v>
      </c>
      <c r="T824" s="41" t="str">
        <f t="shared" si="49"/>
        <v>Southampton</v>
      </c>
    </row>
    <row r="825" spans="1:20">
      <c r="A825" s="37">
        <v>824</v>
      </c>
      <c r="B825" s="37">
        <v>1</v>
      </c>
      <c r="C825" s="37">
        <v>3</v>
      </c>
      <c r="D825" s="37" t="s">
        <v>2506</v>
      </c>
      <c r="E825" s="37" t="s">
        <v>2617</v>
      </c>
      <c r="F825" s="37" t="s">
        <v>1239</v>
      </c>
      <c r="G825" s="37" t="str">
        <f>_xlfn.XLOOKUP(F825,notes!$B$12:$B$18,notes!$C$12:$C$18,"Unknown")</f>
        <v>Female</v>
      </c>
      <c r="H825" s="38">
        <v>27</v>
      </c>
      <c r="I825" s="39" t="str">
        <f>_xlfn.XLOOKUP(H825,notes!$B$4:$B$8,notes!$C$4:$C$8,"Invalid",-1)</f>
        <v>Adult</v>
      </c>
      <c r="J825" s="37">
        <v>0</v>
      </c>
      <c r="K825" s="37">
        <v>1</v>
      </c>
      <c r="L825" s="37">
        <f t="shared" si="50"/>
        <v>2</v>
      </c>
      <c r="M825" s="40" t="str">
        <f t="shared" si="48"/>
        <v>Survived</v>
      </c>
      <c r="N825" s="37" t="str">
        <f>_xlfn.XLOOKUP(L825,notes!$B$28:$B$30,notes!$C$28:$C$30,"Unknown",-1)</f>
        <v>Small Family</v>
      </c>
      <c r="O825" s="37">
        <v>392096</v>
      </c>
      <c r="P825" s="37">
        <v>12.475</v>
      </c>
      <c r="Q825" s="37" t="str">
        <f t="shared" si="51"/>
        <v>Mid</v>
      </c>
      <c r="R825" s="37" t="s">
        <v>1049</v>
      </c>
      <c r="S825" s="37" t="s">
        <v>15</v>
      </c>
      <c r="T825" s="41" t="str">
        <f t="shared" si="49"/>
        <v>Southampton</v>
      </c>
    </row>
    <row r="826" spans="1:20">
      <c r="A826" s="37">
        <v>825</v>
      </c>
      <c r="B826" s="37">
        <v>0</v>
      </c>
      <c r="C826" s="37">
        <v>3</v>
      </c>
      <c r="D826" s="37" t="s">
        <v>1336</v>
      </c>
      <c r="E826" s="37" t="s">
        <v>2618</v>
      </c>
      <c r="F826" s="37" t="s">
        <v>1253</v>
      </c>
      <c r="G826" s="37" t="str">
        <f>_xlfn.XLOOKUP(F826,notes!$B$12:$B$18,notes!$C$12:$C$18,"Unknown")</f>
        <v>Male</v>
      </c>
      <c r="H826" s="38">
        <v>2</v>
      </c>
      <c r="I826" s="39" t="str">
        <f>_xlfn.XLOOKUP(H826,notes!$B$4:$B$8,notes!$C$4:$C$8,"Invalid",-1)</f>
        <v>Kid</v>
      </c>
      <c r="J826" s="37">
        <v>4</v>
      </c>
      <c r="K826" s="37">
        <v>1</v>
      </c>
      <c r="L826" s="37">
        <f t="shared" si="50"/>
        <v>6</v>
      </c>
      <c r="M826" s="40" t="str">
        <f t="shared" si="48"/>
        <v>Not Survived</v>
      </c>
      <c r="N826" s="37" t="str">
        <f>_xlfn.XLOOKUP(L826,notes!$B$28:$B$30,notes!$C$28:$C$30,"Unknown",-1)</f>
        <v>Large Family</v>
      </c>
      <c r="O826" s="37">
        <v>3101295</v>
      </c>
      <c r="P826" s="37">
        <v>39.6875</v>
      </c>
      <c r="Q826" s="37" t="str">
        <f t="shared" si="51"/>
        <v>Mid</v>
      </c>
      <c r="R826" s="37" t="s">
        <v>1236</v>
      </c>
      <c r="S826" s="37" t="s">
        <v>15</v>
      </c>
      <c r="T826" s="41" t="str">
        <f t="shared" si="49"/>
        <v>Southampton</v>
      </c>
    </row>
    <row r="827" spans="1:20">
      <c r="A827" s="37">
        <v>826</v>
      </c>
      <c r="B827" s="37">
        <v>0</v>
      </c>
      <c r="C827" s="37">
        <v>3</v>
      </c>
      <c r="D827" s="37" t="s">
        <v>2001</v>
      </c>
      <c r="E827" s="37" t="s">
        <v>1592</v>
      </c>
      <c r="F827" s="37" t="s">
        <v>1235</v>
      </c>
      <c r="G827" s="37" t="str">
        <f>_xlfn.XLOOKUP(F827,notes!$B$12:$B$18,notes!$C$12:$C$18,"Unknown")</f>
        <v>Male</v>
      </c>
      <c r="H827" s="38" t="s">
        <v>1236</v>
      </c>
      <c r="I827" s="39" t="str">
        <f>_xlfn.XLOOKUP(H827,notes!$B$4:$B$8,notes!$C$4:$C$8,"Invalid",-1)</f>
        <v>Unknown</v>
      </c>
      <c r="J827" s="37">
        <v>0</v>
      </c>
      <c r="K827" s="37">
        <v>0</v>
      </c>
      <c r="L827" s="37">
        <f t="shared" si="50"/>
        <v>1</v>
      </c>
      <c r="M827" s="40" t="str">
        <f t="shared" si="48"/>
        <v>Not Survived</v>
      </c>
      <c r="N827" s="37" t="str">
        <f>_xlfn.XLOOKUP(L827,notes!$B$28:$B$30,notes!$C$28:$C$30,"Unknown",-1)</f>
        <v>Alone</v>
      </c>
      <c r="O827" s="37">
        <v>368323</v>
      </c>
      <c r="P827" s="37">
        <v>6.95</v>
      </c>
      <c r="Q827" s="37" t="str">
        <f t="shared" si="51"/>
        <v>Low</v>
      </c>
      <c r="R827" s="37" t="s">
        <v>1236</v>
      </c>
      <c r="S827" s="37" t="s">
        <v>28</v>
      </c>
      <c r="T827" s="41" t="str">
        <f t="shared" si="49"/>
        <v>Queenstown</v>
      </c>
    </row>
    <row r="828" spans="1:20">
      <c r="A828" s="37">
        <v>827</v>
      </c>
      <c r="B828" s="37">
        <v>0</v>
      </c>
      <c r="C828" s="37">
        <v>3</v>
      </c>
      <c r="D828" s="37" t="s">
        <v>2421</v>
      </c>
      <c r="E828" s="37" t="s">
        <v>2619</v>
      </c>
      <c r="F828" s="37" t="s">
        <v>1235</v>
      </c>
      <c r="G828" s="37" t="str">
        <f>_xlfn.XLOOKUP(F828,notes!$B$12:$B$18,notes!$C$12:$C$18,"Unknown")</f>
        <v>Male</v>
      </c>
      <c r="H828" s="38" t="s">
        <v>1236</v>
      </c>
      <c r="I828" s="39" t="str">
        <f>_xlfn.XLOOKUP(H828,notes!$B$4:$B$8,notes!$C$4:$C$8,"Invalid",-1)</f>
        <v>Unknown</v>
      </c>
      <c r="J828" s="37">
        <v>0</v>
      </c>
      <c r="K828" s="37">
        <v>0</v>
      </c>
      <c r="L828" s="37">
        <f t="shared" si="50"/>
        <v>1</v>
      </c>
      <c r="M828" s="40" t="str">
        <f t="shared" si="48"/>
        <v>Not Survived</v>
      </c>
      <c r="N828" s="37" t="str">
        <f>_xlfn.XLOOKUP(L828,notes!$B$28:$B$30,notes!$C$28:$C$30,"Unknown",-1)</f>
        <v>Alone</v>
      </c>
      <c r="O828" s="37">
        <v>1601</v>
      </c>
      <c r="P828" s="37">
        <v>56.4958</v>
      </c>
      <c r="Q828" s="37" t="str">
        <f t="shared" si="51"/>
        <v>High</v>
      </c>
      <c r="R828" s="37" t="s">
        <v>1236</v>
      </c>
      <c r="S828" s="37" t="s">
        <v>15</v>
      </c>
      <c r="T828" s="41" t="str">
        <f t="shared" si="49"/>
        <v>Southampton</v>
      </c>
    </row>
    <row r="829" spans="1:20">
      <c r="A829" s="37">
        <v>828</v>
      </c>
      <c r="B829" s="37">
        <v>1</v>
      </c>
      <c r="C829" s="37">
        <v>2</v>
      </c>
      <c r="D829" s="37" t="s">
        <v>2606</v>
      </c>
      <c r="E829" s="37" t="s">
        <v>2620</v>
      </c>
      <c r="F829" s="37" t="s">
        <v>1253</v>
      </c>
      <c r="G829" s="37" t="str">
        <f>_xlfn.XLOOKUP(F829,notes!$B$12:$B$18,notes!$C$12:$C$18,"Unknown")</f>
        <v>Male</v>
      </c>
      <c r="H829" s="38">
        <v>1</v>
      </c>
      <c r="I829" s="39" t="str">
        <f>_xlfn.XLOOKUP(H829,notes!$B$4:$B$8,notes!$C$4:$C$8,"Invalid",-1)</f>
        <v>Kid</v>
      </c>
      <c r="J829" s="37">
        <v>0</v>
      </c>
      <c r="K829" s="37">
        <v>2</v>
      </c>
      <c r="L829" s="37">
        <f t="shared" si="50"/>
        <v>3</v>
      </c>
      <c r="M829" s="40" t="str">
        <f t="shared" si="48"/>
        <v>Survived</v>
      </c>
      <c r="N829" s="37" t="str">
        <f>_xlfn.XLOOKUP(L829,notes!$B$28:$B$30,notes!$C$28:$C$30,"Unknown",-1)</f>
        <v>Small Family</v>
      </c>
      <c r="O829" s="37" t="s">
        <v>1131</v>
      </c>
      <c r="P829" s="37">
        <v>37.0042</v>
      </c>
      <c r="Q829" s="37" t="str">
        <f t="shared" si="51"/>
        <v>Mid</v>
      </c>
      <c r="R829" s="37" t="s">
        <v>1236</v>
      </c>
      <c r="S829" s="37" t="s">
        <v>20</v>
      </c>
      <c r="T829" s="41" t="str">
        <f t="shared" si="49"/>
        <v>Cherbourg</v>
      </c>
    </row>
    <row r="830" spans="1:20">
      <c r="A830" s="37">
        <v>829</v>
      </c>
      <c r="B830" s="37">
        <v>1</v>
      </c>
      <c r="C830" s="37">
        <v>3</v>
      </c>
      <c r="D830" s="37" t="s">
        <v>2621</v>
      </c>
      <c r="E830" s="37" t="s">
        <v>2622</v>
      </c>
      <c r="F830" s="37" t="s">
        <v>1235</v>
      </c>
      <c r="G830" s="37" t="str">
        <f>_xlfn.XLOOKUP(F830,notes!$B$12:$B$18,notes!$C$12:$C$18,"Unknown")</f>
        <v>Male</v>
      </c>
      <c r="H830" s="38" t="s">
        <v>1236</v>
      </c>
      <c r="I830" s="39" t="str">
        <f>_xlfn.XLOOKUP(H830,notes!$B$4:$B$8,notes!$C$4:$C$8,"Invalid",-1)</f>
        <v>Unknown</v>
      </c>
      <c r="J830" s="37">
        <v>0</v>
      </c>
      <c r="K830" s="37">
        <v>0</v>
      </c>
      <c r="L830" s="37">
        <f t="shared" si="50"/>
        <v>1</v>
      </c>
      <c r="M830" s="40" t="str">
        <f t="shared" si="48"/>
        <v>Survived</v>
      </c>
      <c r="N830" s="37" t="str">
        <f>_xlfn.XLOOKUP(L830,notes!$B$28:$B$30,notes!$C$28:$C$30,"Unknown",-1)</f>
        <v>Alone</v>
      </c>
      <c r="O830" s="37">
        <v>367228</v>
      </c>
      <c r="P830" s="37">
        <v>7.75</v>
      </c>
      <c r="Q830" s="37" t="str">
        <f t="shared" si="51"/>
        <v>Low</v>
      </c>
      <c r="R830" s="37" t="s">
        <v>1236</v>
      </c>
      <c r="S830" s="37" t="s">
        <v>28</v>
      </c>
      <c r="T830" s="41" t="str">
        <f t="shared" si="49"/>
        <v>Queenstown</v>
      </c>
    </row>
    <row r="831" spans="1:20">
      <c r="A831" s="37">
        <v>830</v>
      </c>
      <c r="B831" s="37">
        <v>1</v>
      </c>
      <c r="C831" s="37">
        <v>1</v>
      </c>
      <c r="D831" s="37" t="s">
        <v>2623</v>
      </c>
      <c r="E831" s="37" t="s">
        <v>2624</v>
      </c>
      <c r="F831" s="37" t="s">
        <v>1239</v>
      </c>
      <c r="G831" s="37" t="str">
        <f>_xlfn.XLOOKUP(F831,notes!$B$12:$B$18,notes!$C$12:$C$18,"Unknown")</f>
        <v>Female</v>
      </c>
      <c r="H831" s="38">
        <v>62</v>
      </c>
      <c r="I831" s="39" t="str">
        <f>_xlfn.XLOOKUP(H831,notes!$B$4:$B$8,notes!$C$4:$C$8,"Invalid",-1)</f>
        <v>Elderly</v>
      </c>
      <c r="J831" s="37">
        <v>0</v>
      </c>
      <c r="K831" s="37">
        <v>0</v>
      </c>
      <c r="L831" s="37">
        <f t="shared" si="50"/>
        <v>1</v>
      </c>
      <c r="M831" s="40" t="str">
        <f t="shared" si="48"/>
        <v>Survived</v>
      </c>
      <c r="N831" s="37" t="str">
        <f>_xlfn.XLOOKUP(L831,notes!$B$28:$B$30,notes!$C$28:$C$30,"Unknown",-1)</f>
        <v>Alone</v>
      </c>
      <c r="O831" s="37">
        <v>113572</v>
      </c>
      <c r="P831" s="37">
        <v>80</v>
      </c>
      <c r="Q831" s="37" t="str">
        <f t="shared" si="51"/>
        <v>High</v>
      </c>
      <c r="R831" s="37" t="s">
        <v>109</v>
      </c>
      <c r="S831" s="37" t="s">
        <v>1236</v>
      </c>
      <c r="T831" s="41" t="str">
        <f t="shared" si="49"/>
        <v>Unknown</v>
      </c>
    </row>
    <row r="832" spans="1:20">
      <c r="A832" s="37">
        <v>831</v>
      </c>
      <c r="B832" s="37">
        <v>1</v>
      </c>
      <c r="C832" s="37">
        <v>3</v>
      </c>
      <c r="D832" s="37" t="s">
        <v>2303</v>
      </c>
      <c r="E832" s="37" t="s">
        <v>2625</v>
      </c>
      <c r="F832" s="37" t="s">
        <v>1239</v>
      </c>
      <c r="G832" s="37" t="str">
        <f>_xlfn.XLOOKUP(F832,notes!$B$12:$B$18,notes!$C$12:$C$18,"Unknown")</f>
        <v>Female</v>
      </c>
      <c r="H832" s="38">
        <v>15</v>
      </c>
      <c r="I832" s="39" t="str">
        <f>_xlfn.XLOOKUP(H832,notes!$B$4:$B$8,notes!$C$4:$C$8,"Invalid",-1)</f>
        <v>Teenager</v>
      </c>
      <c r="J832" s="37">
        <v>1</v>
      </c>
      <c r="K832" s="37">
        <v>0</v>
      </c>
      <c r="L832" s="37">
        <f t="shared" si="50"/>
        <v>2</v>
      </c>
      <c r="M832" s="40" t="str">
        <f t="shared" si="48"/>
        <v>Survived</v>
      </c>
      <c r="N832" s="37" t="str">
        <f>_xlfn.XLOOKUP(L832,notes!$B$28:$B$30,notes!$C$28:$C$30,"Unknown",-1)</f>
        <v>Small Family</v>
      </c>
      <c r="O832" s="37">
        <v>2659</v>
      </c>
      <c r="P832" s="37">
        <v>14.4542</v>
      </c>
      <c r="Q832" s="37" t="str">
        <f t="shared" si="51"/>
        <v>Mid</v>
      </c>
      <c r="R832" s="37" t="s">
        <v>1236</v>
      </c>
      <c r="S832" s="37" t="s">
        <v>20</v>
      </c>
      <c r="T832" s="41" t="str">
        <f t="shared" si="49"/>
        <v>Cherbourg</v>
      </c>
    </row>
    <row r="833" spans="1:20">
      <c r="A833" s="37">
        <v>832</v>
      </c>
      <c r="B833" s="37">
        <v>1</v>
      </c>
      <c r="C833" s="37">
        <v>2</v>
      </c>
      <c r="D833" s="37" t="s">
        <v>1966</v>
      </c>
      <c r="E833" s="37" t="s">
        <v>2626</v>
      </c>
      <c r="F833" s="37" t="s">
        <v>1253</v>
      </c>
      <c r="G833" s="37" t="str">
        <f>_xlfn.XLOOKUP(F833,notes!$B$12:$B$18,notes!$C$12:$C$18,"Unknown")</f>
        <v>Male</v>
      </c>
      <c r="H833" s="38">
        <v>0.83</v>
      </c>
      <c r="I833" s="39" t="str">
        <f>_xlfn.XLOOKUP(H833,notes!$B$4:$B$8,notes!$C$4:$C$8,"Invalid",-1)</f>
        <v>Kid</v>
      </c>
      <c r="J833" s="37">
        <v>1</v>
      </c>
      <c r="K833" s="37">
        <v>1</v>
      </c>
      <c r="L833" s="37">
        <f t="shared" si="50"/>
        <v>3</v>
      </c>
      <c r="M833" s="40" t="str">
        <f t="shared" si="48"/>
        <v>Survived</v>
      </c>
      <c r="N833" s="37" t="str">
        <f>_xlfn.XLOOKUP(L833,notes!$B$28:$B$30,notes!$C$28:$C$30,"Unknown",-1)</f>
        <v>Small Family</v>
      </c>
      <c r="O833" s="37">
        <v>29106</v>
      </c>
      <c r="P833" s="37">
        <v>18.75</v>
      </c>
      <c r="Q833" s="37" t="str">
        <f t="shared" si="51"/>
        <v>Mid</v>
      </c>
      <c r="R833" s="37" t="s">
        <v>1236</v>
      </c>
      <c r="S833" s="37" t="s">
        <v>15</v>
      </c>
      <c r="T833" s="41" t="str">
        <f t="shared" si="49"/>
        <v>Southampton</v>
      </c>
    </row>
    <row r="834" spans="1:20">
      <c r="A834" s="37">
        <v>833</v>
      </c>
      <c r="B834" s="37">
        <v>0</v>
      </c>
      <c r="C834" s="37">
        <v>3</v>
      </c>
      <c r="D834" s="37" t="s">
        <v>2423</v>
      </c>
      <c r="E834" s="37" t="s">
        <v>2627</v>
      </c>
      <c r="F834" s="37" t="s">
        <v>1235</v>
      </c>
      <c r="G834" s="37" t="str">
        <f>_xlfn.XLOOKUP(F834,notes!$B$12:$B$18,notes!$C$12:$C$18,"Unknown")</f>
        <v>Male</v>
      </c>
      <c r="H834" s="38" t="s">
        <v>1236</v>
      </c>
      <c r="I834" s="39" t="str">
        <f>_xlfn.XLOOKUP(H834,notes!$B$4:$B$8,notes!$C$4:$C$8,"Invalid",-1)</f>
        <v>Unknown</v>
      </c>
      <c r="J834" s="37">
        <v>0</v>
      </c>
      <c r="K834" s="37">
        <v>0</v>
      </c>
      <c r="L834" s="37">
        <f t="shared" si="50"/>
        <v>1</v>
      </c>
      <c r="M834" s="40" t="str">
        <f t="shared" ref="M834:M892" si="52">IF(B834=1,"Survived","Not Survived")</f>
        <v>Not Survived</v>
      </c>
      <c r="N834" s="37" t="str">
        <f>_xlfn.XLOOKUP(L834,notes!$B$28:$B$30,notes!$C$28:$C$30,"Unknown",-1)</f>
        <v>Alone</v>
      </c>
      <c r="O834" s="37">
        <v>2671</v>
      </c>
      <c r="P834" s="37">
        <v>7.2292</v>
      </c>
      <c r="Q834" s="37" t="str">
        <f t="shared" si="51"/>
        <v>Low</v>
      </c>
      <c r="R834" s="37" t="s">
        <v>1236</v>
      </c>
      <c r="S834" s="37" t="s">
        <v>20</v>
      </c>
      <c r="T834" s="41" t="str">
        <f t="shared" ref="T834:T892" si="53">IF(S834="Q","Queenstown",IF(S834="C","Cherbourg",IF(S834="S","Southampton","Unknown")))</f>
        <v>Cherbourg</v>
      </c>
    </row>
    <row r="835" spans="1:20">
      <c r="A835" s="37">
        <v>834</v>
      </c>
      <c r="B835" s="37">
        <v>0</v>
      </c>
      <c r="C835" s="37">
        <v>3</v>
      </c>
      <c r="D835" s="37" t="s">
        <v>2628</v>
      </c>
      <c r="E835" s="37" t="s">
        <v>2607</v>
      </c>
      <c r="F835" s="37" t="s">
        <v>1235</v>
      </c>
      <c r="G835" s="37" t="str">
        <f>_xlfn.XLOOKUP(F835,notes!$B$12:$B$18,notes!$C$12:$C$18,"Unknown")</f>
        <v>Male</v>
      </c>
      <c r="H835" s="38">
        <v>23</v>
      </c>
      <c r="I835" s="39" t="str">
        <f>_xlfn.XLOOKUP(H835,notes!$B$4:$B$8,notes!$C$4:$C$8,"Invalid",-1)</f>
        <v>Adult</v>
      </c>
      <c r="J835" s="37">
        <v>0</v>
      </c>
      <c r="K835" s="37">
        <v>0</v>
      </c>
      <c r="L835" s="37">
        <f t="shared" ref="L835:L892" si="54">(J835+K835)+1</f>
        <v>1</v>
      </c>
      <c r="M835" s="40" t="str">
        <f t="shared" si="52"/>
        <v>Not Survived</v>
      </c>
      <c r="N835" s="37" t="str">
        <f>_xlfn.XLOOKUP(L835,notes!$B$28:$B$30,notes!$C$28:$C$30,"Unknown",-1)</f>
        <v>Alone</v>
      </c>
      <c r="O835" s="37">
        <v>347468</v>
      </c>
      <c r="P835" s="37">
        <v>7.8542</v>
      </c>
      <c r="Q835" s="37" t="str">
        <f t="shared" ref="Q835:Q892" si="55">IF(P835&gt;=50,"High",IF(P835&gt;=10,"Mid",IF(P835&lt;10,"Low","invalid")))</f>
        <v>Low</v>
      </c>
      <c r="R835" s="37" t="s">
        <v>1236</v>
      </c>
      <c r="S835" s="37" t="s">
        <v>15</v>
      </c>
      <c r="T835" s="41" t="str">
        <f t="shared" si="53"/>
        <v>Southampton</v>
      </c>
    </row>
    <row r="836" spans="1:20">
      <c r="A836" s="37">
        <v>835</v>
      </c>
      <c r="B836" s="37">
        <v>0</v>
      </c>
      <c r="C836" s="37">
        <v>3</v>
      </c>
      <c r="D836" s="37" t="s">
        <v>2629</v>
      </c>
      <c r="E836" s="37" t="s">
        <v>2630</v>
      </c>
      <c r="F836" s="37" t="s">
        <v>1235</v>
      </c>
      <c r="G836" s="37" t="str">
        <f>_xlfn.XLOOKUP(F836,notes!$B$12:$B$18,notes!$C$12:$C$18,"Unknown")</f>
        <v>Male</v>
      </c>
      <c r="H836" s="38">
        <v>18</v>
      </c>
      <c r="I836" s="39" t="str">
        <f>_xlfn.XLOOKUP(H836,notes!$B$4:$B$8,notes!$C$4:$C$8,"Invalid",-1)</f>
        <v>Teenager</v>
      </c>
      <c r="J836" s="37">
        <v>0</v>
      </c>
      <c r="K836" s="37">
        <v>0</v>
      </c>
      <c r="L836" s="37">
        <f t="shared" si="54"/>
        <v>1</v>
      </c>
      <c r="M836" s="40" t="str">
        <f t="shared" si="52"/>
        <v>Not Survived</v>
      </c>
      <c r="N836" s="37" t="str">
        <f>_xlfn.XLOOKUP(L836,notes!$B$28:$B$30,notes!$C$28:$C$30,"Unknown",-1)</f>
        <v>Alone</v>
      </c>
      <c r="O836" s="37">
        <v>2223</v>
      </c>
      <c r="P836" s="37">
        <v>8.3</v>
      </c>
      <c r="Q836" s="37" t="str">
        <f t="shared" si="55"/>
        <v>Low</v>
      </c>
      <c r="R836" s="37" t="s">
        <v>1236</v>
      </c>
      <c r="S836" s="37" t="s">
        <v>15</v>
      </c>
      <c r="T836" s="41" t="str">
        <f t="shared" si="53"/>
        <v>Southampton</v>
      </c>
    </row>
    <row r="837" spans="1:20">
      <c r="A837" s="37">
        <v>836</v>
      </c>
      <c r="B837" s="37">
        <v>1</v>
      </c>
      <c r="C837" s="37">
        <v>1</v>
      </c>
      <c r="D837" s="37" t="s">
        <v>2631</v>
      </c>
      <c r="E837" s="37" t="s">
        <v>2632</v>
      </c>
      <c r="F837" s="37" t="s">
        <v>1242</v>
      </c>
      <c r="G837" s="37" t="str">
        <f>_xlfn.XLOOKUP(F837,notes!$B$12:$B$18,notes!$C$12:$C$18,"Unknown")</f>
        <v>Female</v>
      </c>
      <c r="H837" s="38">
        <v>39</v>
      </c>
      <c r="I837" s="39" t="str">
        <f>_xlfn.XLOOKUP(H837,notes!$B$4:$B$8,notes!$C$4:$C$8,"Invalid",-1)</f>
        <v>Adult</v>
      </c>
      <c r="J837" s="37">
        <v>1</v>
      </c>
      <c r="K837" s="37">
        <v>1</v>
      </c>
      <c r="L837" s="37">
        <f t="shared" si="54"/>
        <v>3</v>
      </c>
      <c r="M837" s="40" t="str">
        <f t="shared" si="52"/>
        <v>Survived</v>
      </c>
      <c r="N837" s="37" t="str">
        <f>_xlfn.XLOOKUP(L837,notes!$B$28:$B$30,notes!$C$28:$C$30,"Unknown",-1)</f>
        <v>Small Family</v>
      </c>
      <c r="O837" s="37" t="s">
        <v>1152</v>
      </c>
      <c r="P837" s="37">
        <v>83.1583</v>
      </c>
      <c r="Q837" s="37" t="str">
        <f t="shared" si="55"/>
        <v>High</v>
      </c>
      <c r="R837" s="37" t="s">
        <v>1153</v>
      </c>
      <c r="S837" s="37" t="s">
        <v>20</v>
      </c>
      <c r="T837" s="41" t="str">
        <f t="shared" si="53"/>
        <v>Cherbourg</v>
      </c>
    </row>
    <row r="838" spans="1:20">
      <c r="A838" s="37">
        <v>837</v>
      </c>
      <c r="B838" s="37">
        <v>0</v>
      </c>
      <c r="C838" s="37">
        <v>3</v>
      </c>
      <c r="D838" s="37" t="s">
        <v>2633</v>
      </c>
      <c r="E838" s="37" t="s">
        <v>2634</v>
      </c>
      <c r="F838" s="37" t="s">
        <v>1235</v>
      </c>
      <c r="G838" s="37" t="str">
        <f>_xlfn.XLOOKUP(F838,notes!$B$12:$B$18,notes!$C$12:$C$18,"Unknown")</f>
        <v>Male</v>
      </c>
      <c r="H838" s="38">
        <v>21</v>
      </c>
      <c r="I838" s="39" t="str">
        <f>_xlfn.XLOOKUP(H838,notes!$B$4:$B$8,notes!$C$4:$C$8,"Invalid",-1)</f>
        <v>Adult</v>
      </c>
      <c r="J838" s="37">
        <v>0</v>
      </c>
      <c r="K838" s="37">
        <v>0</v>
      </c>
      <c r="L838" s="37">
        <f t="shared" si="54"/>
        <v>1</v>
      </c>
      <c r="M838" s="40" t="str">
        <f t="shared" si="52"/>
        <v>Not Survived</v>
      </c>
      <c r="N838" s="37" t="str">
        <f>_xlfn.XLOOKUP(L838,notes!$B$28:$B$30,notes!$C$28:$C$30,"Unknown",-1)</f>
        <v>Alone</v>
      </c>
      <c r="O838" s="37">
        <v>315097</v>
      </c>
      <c r="P838" s="37">
        <v>8.6625</v>
      </c>
      <c r="Q838" s="37" t="str">
        <f t="shared" si="55"/>
        <v>Low</v>
      </c>
      <c r="R838" s="37" t="s">
        <v>1236</v>
      </c>
      <c r="S838" s="37" t="s">
        <v>15</v>
      </c>
      <c r="T838" s="41" t="str">
        <f t="shared" si="53"/>
        <v>Southampton</v>
      </c>
    </row>
    <row r="839" spans="1:20">
      <c r="A839" s="37">
        <v>838</v>
      </c>
      <c r="B839" s="37">
        <v>0</v>
      </c>
      <c r="C839" s="37">
        <v>3</v>
      </c>
      <c r="D839" s="37" t="s">
        <v>2635</v>
      </c>
      <c r="E839" s="37" t="s">
        <v>2057</v>
      </c>
      <c r="F839" s="37" t="s">
        <v>1235</v>
      </c>
      <c r="G839" s="37" t="str">
        <f>_xlfn.XLOOKUP(F839,notes!$B$12:$B$18,notes!$C$12:$C$18,"Unknown")</f>
        <v>Male</v>
      </c>
      <c r="H839" s="38" t="s">
        <v>1236</v>
      </c>
      <c r="I839" s="39" t="str">
        <f>_xlfn.XLOOKUP(H839,notes!$B$4:$B$8,notes!$C$4:$C$8,"Invalid",-1)</f>
        <v>Unknown</v>
      </c>
      <c r="J839" s="37">
        <v>0</v>
      </c>
      <c r="K839" s="37">
        <v>0</v>
      </c>
      <c r="L839" s="37">
        <f t="shared" si="54"/>
        <v>1</v>
      </c>
      <c r="M839" s="40" t="str">
        <f t="shared" si="52"/>
        <v>Not Survived</v>
      </c>
      <c r="N839" s="37" t="str">
        <f>_xlfn.XLOOKUP(L839,notes!$B$28:$B$30,notes!$C$28:$C$30,"Unknown",-1)</f>
        <v>Alone</v>
      </c>
      <c r="O839" s="37">
        <v>392092</v>
      </c>
      <c r="P839" s="37">
        <v>8.05</v>
      </c>
      <c r="Q839" s="37" t="str">
        <f t="shared" si="55"/>
        <v>Low</v>
      </c>
      <c r="R839" s="37" t="s">
        <v>1236</v>
      </c>
      <c r="S839" s="37" t="s">
        <v>15</v>
      </c>
      <c r="T839" s="41" t="str">
        <f t="shared" si="53"/>
        <v>Southampton</v>
      </c>
    </row>
    <row r="840" spans="1:20">
      <c r="A840" s="37">
        <v>839</v>
      </c>
      <c r="B840" s="37">
        <v>1</v>
      </c>
      <c r="C840" s="37">
        <v>3</v>
      </c>
      <c r="D840" s="37" t="s">
        <v>2636</v>
      </c>
      <c r="E840" s="37" t="s">
        <v>2637</v>
      </c>
      <c r="F840" s="37" t="s">
        <v>1235</v>
      </c>
      <c r="G840" s="37" t="str">
        <f>_xlfn.XLOOKUP(F840,notes!$B$12:$B$18,notes!$C$12:$C$18,"Unknown")</f>
        <v>Male</v>
      </c>
      <c r="H840" s="38">
        <v>32</v>
      </c>
      <c r="I840" s="39" t="str">
        <f>_xlfn.XLOOKUP(H840,notes!$B$4:$B$8,notes!$C$4:$C$8,"Invalid",-1)</f>
        <v>Adult</v>
      </c>
      <c r="J840" s="37">
        <v>0</v>
      </c>
      <c r="K840" s="37">
        <v>0</v>
      </c>
      <c r="L840" s="37">
        <f t="shared" si="54"/>
        <v>1</v>
      </c>
      <c r="M840" s="40" t="str">
        <f t="shared" si="52"/>
        <v>Survived</v>
      </c>
      <c r="N840" s="37" t="str">
        <f>_xlfn.XLOOKUP(L840,notes!$B$28:$B$30,notes!$C$28:$C$30,"Unknown",-1)</f>
        <v>Alone</v>
      </c>
      <c r="O840" s="37">
        <v>1601</v>
      </c>
      <c r="P840" s="37">
        <v>56.4958</v>
      </c>
      <c r="Q840" s="37" t="str">
        <f t="shared" si="55"/>
        <v>High</v>
      </c>
      <c r="R840" s="37" t="s">
        <v>1236</v>
      </c>
      <c r="S840" s="37" t="s">
        <v>15</v>
      </c>
      <c r="T840" s="41" t="str">
        <f t="shared" si="53"/>
        <v>Southampton</v>
      </c>
    </row>
    <row r="841" spans="1:20">
      <c r="A841" s="37">
        <v>840</v>
      </c>
      <c r="B841" s="37">
        <v>1</v>
      </c>
      <c r="C841" s="37">
        <v>1</v>
      </c>
      <c r="D841" s="37" t="s">
        <v>2638</v>
      </c>
      <c r="E841" s="37" t="s">
        <v>2639</v>
      </c>
      <c r="F841" s="37" t="s">
        <v>1235</v>
      </c>
      <c r="G841" s="37" t="str">
        <f>_xlfn.XLOOKUP(F841,notes!$B$12:$B$18,notes!$C$12:$C$18,"Unknown")</f>
        <v>Male</v>
      </c>
      <c r="H841" s="38" t="s">
        <v>1236</v>
      </c>
      <c r="I841" s="39" t="str">
        <f>_xlfn.XLOOKUP(H841,notes!$B$4:$B$8,notes!$C$4:$C$8,"Invalid",-1)</f>
        <v>Unknown</v>
      </c>
      <c r="J841" s="37">
        <v>0</v>
      </c>
      <c r="K841" s="37">
        <v>0</v>
      </c>
      <c r="L841" s="37">
        <f t="shared" si="54"/>
        <v>1</v>
      </c>
      <c r="M841" s="40" t="str">
        <f t="shared" si="52"/>
        <v>Survived</v>
      </c>
      <c r="N841" s="37" t="str">
        <f>_xlfn.XLOOKUP(L841,notes!$B$28:$B$30,notes!$C$28:$C$30,"Unknown",-1)</f>
        <v>Alone</v>
      </c>
      <c r="O841" s="37">
        <v>11774</v>
      </c>
      <c r="P841" s="37">
        <v>29.7</v>
      </c>
      <c r="Q841" s="37" t="str">
        <f t="shared" si="55"/>
        <v>Mid</v>
      </c>
      <c r="R841" s="37" t="s">
        <v>1158</v>
      </c>
      <c r="S841" s="37" t="s">
        <v>20</v>
      </c>
      <c r="T841" s="41" t="str">
        <f t="shared" si="53"/>
        <v>Cherbourg</v>
      </c>
    </row>
    <row r="842" spans="1:20">
      <c r="A842" s="37">
        <v>841</v>
      </c>
      <c r="B842" s="37">
        <v>0</v>
      </c>
      <c r="C842" s="37">
        <v>3</v>
      </c>
      <c r="D842" s="37" t="s">
        <v>2640</v>
      </c>
      <c r="E842" s="37" t="s">
        <v>2641</v>
      </c>
      <c r="F842" s="37" t="s">
        <v>1235</v>
      </c>
      <c r="G842" s="37" t="str">
        <f>_xlfn.XLOOKUP(F842,notes!$B$12:$B$18,notes!$C$12:$C$18,"Unknown")</f>
        <v>Male</v>
      </c>
      <c r="H842" s="38">
        <v>20</v>
      </c>
      <c r="I842" s="39" t="str">
        <f>_xlfn.XLOOKUP(H842,notes!$B$4:$B$8,notes!$C$4:$C$8,"Invalid",-1)</f>
        <v>Adult</v>
      </c>
      <c r="J842" s="37">
        <v>0</v>
      </c>
      <c r="K842" s="37">
        <v>0</v>
      </c>
      <c r="L842" s="37">
        <f t="shared" si="54"/>
        <v>1</v>
      </c>
      <c r="M842" s="40" t="str">
        <f t="shared" si="52"/>
        <v>Not Survived</v>
      </c>
      <c r="N842" s="37" t="str">
        <f>_xlfn.XLOOKUP(L842,notes!$B$28:$B$30,notes!$C$28:$C$30,"Unknown",-1)</f>
        <v>Alone</v>
      </c>
      <c r="O842" s="37" t="s">
        <v>1160</v>
      </c>
      <c r="P842" s="37">
        <v>7.925</v>
      </c>
      <c r="Q842" s="37" t="str">
        <f t="shared" si="55"/>
        <v>Low</v>
      </c>
      <c r="R842" s="37" t="s">
        <v>1236</v>
      </c>
      <c r="S842" s="37" t="s">
        <v>15</v>
      </c>
      <c r="T842" s="41" t="str">
        <f t="shared" si="53"/>
        <v>Southampton</v>
      </c>
    </row>
    <row r="843" spans="1:20">
      <c r="A843" s="37">
        <v>842</v>
      </c>
      <c r="B843" s="37">
        <v>0</v>
      </c>
      <c r="C843" s="37">
        <v>2</v>
      </c>
      <c r="D843" s="37" t="s">
        <v>2642</v>
      </c>
      <c r="E843" s="37" t="s">
        <v>2643</v>
      </c>
      <c r="F843" s="37" t="s">
        <v>1235</v>
      </c>
      <c r="G843" s="37" t="str">
        <f>_xlfn.XLOOKUP(F843,notes!$B$12:$B$18,notes!$C$12:$C$18,"Unknown")</f>
        <v>Male</v>
      </c>
      <c r="H843" s="38">
        <v>16</v>
      </c>
      <c r="I843" s="39" t="str">
        <f>_xlfn.XLOOKUP(H843,notes!$B$4:$B$8,notes!$C$4:$C$8,"Invalid",-1)</f>
        <v>Teenager</v>
      </c>
      <c r="J843" s="37">
        <v>0</v>
      </c>
      <c r="K843" s="37">
        <v>0</v>
      </c>
      <c r="L843" s="37">
        <f t="shared" si="54"/>
        <v>1</v>
      </c>
      <c r="M843" s="40" t="str">
        <f t="shared" si="52"/>
        <v>Not Survived</v>
      </c>
      <c r="N843" s="37" t="str">
        <f>_xlfn.XLOOKUP(L843,notes!$B$28:$B$30,notes!$C$28:$C$30,"Unknown",-1)</f>
        <v>Alone</v>
      </c>
      <c r="O843" s="37" t="s">
        <v>1073</v>
      </c>
      <c r="P843" s="37">
        <v>10.5</v>
      </c>
      <c r="Q843" s="37" t="str">
        <f t="shared" si="55"/>
        <v>Mid</v>
      </c>
      <c r="R843" s="37" t="s">
        <v>1236</v>
      </c>
      <c r="S843" s="37" t="s">
        <v>15</v>
      </c>
      <c r="T843" s="41" t="str">
        <f t="shared" si="53"/>
        <v>Southampton</v>
      </c>
    </row>
    <row r="844" spans="1:20">
      <c r="A844" s="37">
        <v>843</v>
      </c>
      <c r="B844" s="37">
        <v>1</v>
      </c>
      <c r="C844" s="37">
        <v>1</v>
      </c>
      <c r="D844" s="37" t="s">
        <v>2644</v>
      </c>
      <c r="E844" s="37" t="s">
        <v>2645</v>
      </c>
      <c r="F844" s="37" t="s">
        <v>1242</v>
      </c>
      <c r="G844" s="37" t="str">
        <f>_xlfn.XLOOKUP(F844,notes!$B$12:$B$18,notes!$C$12:$C$18,"Unknown")</f>
        <v>Female</v>
      </c>
      <c r="H844" s="38">
        <v>30</v>
      </c>
      <c r="I844" s="39" t="str">
        <f>_xlfn.XLOOKUP(H844,notes!$B$4:$B$8,notes!$C$4:$C$8,"Invalid",-1)</f>
        <v>Adult</v>
      </c>
      <c r="J844" s="37">
        <v>0</v>
      </c>
      <c r="K844" s="37">
        <v>0</v>
      </c>
      <c r="L844" s="37">
        <f t="shared" si="54"/>
        <v>1</v>
      </c>
      <c r="M844" s="40" t="str">
        <f t="shared" si="52"/>
        <v>Survived</v>
      </c>
      <c r="N844" s="37" t="str">
        <f>_xlfn.XLOOKUP(L844,notes!$B$28:$B$30,notes!$C$28:$C$30,"Unknown",-1)</f>
        <v>Alone</v>
      </c>
      <c r="O844" s="37">
        <v>113798</v>
      </c>
      <c r="P844" s="37">
        <v>31</v>
      </c>
      <c r="Q844" s="37" t="str">
        <f t="shared" si="55"/>
        <v>Mid</v>
      </c>
      <c r="R844" s="37" t="s">
        <v>1236</v>
      </c>
      <c r="S844" s="37" t="s">
        <v>20</v>
      </c>
      <c r="T844" s="41" t="str">
        <f t="shared" si="53"/>
        <v>Cherbourg</v>
      </c>
    </row>
    <row r="845" spans="1:20">
      <c r="A845" s="37">
        <v>844</v>
      </c>
      <c r="B845" s="37">
        <v>0</v>
      </c>
      <c r="C845" s="37">
        <v>3</v>
      </c>
      <c r="D845" s="37" t="s">
        <v>2646</v>
      </c>
      <c r="E845" s="37" t="s">
        <v>2647</v>
      </c>
      <c r="F845" s="37" t="s">
        <v>1235</v>
      </c>
      <c r="G845" s="37" t="str">
        <f>_xlfn.XLOOKUP(F845,notes!$B$12:$B$18,notes!$C$12:$C$18,"Unknown")</f>
        <v>Male</v>
      </c>
      <c r="H845" s="38">
        <v>34.5</v>
      </c>
      <c r="I845" s="39" t="str">
        <f>_xlfn.XLOOKUP(H845,notes!$B$4:$B$8,notes!$C$4:$C$8,"Invalid",-1)</f>
        <v>Adult</v>
      </c>
      <c r="J845" s="37">
        <v>0</v>
      </c>
      <c r="K845" s="37">
        <v>0</v>
      </c>
      <c r="L845" s="37">
        <f t="shared" si="54"/>
        <v>1</v>
      </c>
      <c r="M845" s="40" t="str">
        <f t="shared" si="52"/>
        <v>Not Survived</v>
      </c>
      <c r="N845" s="37" t="str">
        <f>_xlfn.XLOOKUP(L845,notes!$B$28:$B$30,notes!$C$28:$C$30,"Unknown",-1)</f>
        <v>Alone</v>
      </c>
      <c r="O845" s="37">
        <v>2683</v>
      </c>
      <c r="P845" s="37">
        <v>6.4375</v>
      </c>
      <c r="Q845" s="37" t="str">
        <f t="shared" si="55"/>
        <v>Low</v>
      </c>
      <c r="R845" s="37" t="s">
        <v>1236</v>
      </c>
      <c r="S845" s="37" t="s">
        <v>20</v>
      </c>
      <c r="T845" s="41" t="str">
        <f t="shared" si="53"/>
        <v>Cherbourg</v>
      </c>
    </row>
    <row r="846" spans="1:20">
      <c r="A846" s="37">
        <v>845</v>
      </c>
      <c r="B846" s="37">
        <v>0</v>
      </c>
      <c r="C846" s="37">
        <v>3</v>
      </c>
      <c r="D846" s="37" t="s">
        <v>2648</v>
      </c>
      <c r="E846" s="37" t="s">
        <v>2649</v>
      </c>
      <c r="F846" s="37" t="s">
        <v>1235</v>
      </c>
      <c r="G846" s="37" t="str">
        <f>_xlfn.XLOOKUP(F846,notes!$B$12:$B$18,notes!$C$12:$C$18,"Unknown")</f>
        <v>Male</v>
      </c>
      <c r="H846" s="38">
        <v>17</v>
      </c>
      <c r="I846" s="39" t="str">
        <f>_xlfn.XLOOKUP(H846,notes!$B$4:$B$8,notes!$C$4:$C$8,"Invalid",-1)</f>
        <v>Teenager</v>
      </c>
      <c r="J846" s="37">
        <v>0</v>
      </c>
      <c r="K846" s="37">
        <v>0</v>
      </c>
      <c r="L846" s="37">
        <f t="shared" si="54"/>
        <v>1</v>
      </c>
      <c r="M846" s="40" t="str">
        <f t="shared" si="52"/>
        <v>Not Survived</v>
      </c>
      <c r="N846" s="37" t="str">
        <f>_xlfn.XLOOKUP(L846,notes!$B$28:$B$30,notes!$C$28:$C$30,"Unknown",-1)</f>
        <v>Alone</v>
      </c>
      <c r="O846" s="37">
        <v>315090</v>
      </c>
      <c r="P846" s="37">
        <v>8.6625</v>
      </c>
      <c r="Q846" s="37" t="str">
        <f t="shared" si="55"/>
        <v>Low</v>
      </c>
      <c r="R846" s="37" t="s">
        <v>1236</v>
      </c>
      <c r="S846" s="37" t="s">
        <v>15</v>
      </c>
      <c r="T846" s="41" t="str">
        <f t="shared" si="53"/>
        <v>Southampton</v>
      </c>
    </row>
    <row r="847" spans="1:20">
      <c r="A847" s="37">
        <v>846</v>
      </c>
      <c r="B847" s="37">
        <v>0</v>
      </c>
      <c r="C847" s="37">
        <v>3</v>
      </c>
      <c r="D847" s="37" t="s">
        <v>2650</v>
      </c>
      <c r="E847" s="37" t="s">
        <v>2651</v>
      </c>
      <c r="F847" s="37" t="s">
        <v>1235</v>
      </c>
      <c r="G847" s="37" t="str">
        <f>_xlfn.XLOOKUP(F847,notes!$B$12:$B$18,notes!$C$12:$C$18,"Unknown")</f>
        <v>Male</v>
      </c>
      <c r="H847" s="38">
        <v>42</v>
      </c>
      <c r="I847" s="39" t="str">
        <f>_xlfn.XLOOKUP(H847,notes!$B$4:$B$8,notes!$C$4:$C$8,"Invalid",-1)</f>
        <v>Adult</v>
      </c>
      <c r="J847" s="37">
        <v>0</v>
      </c>
      <c r="K847" s="37">
        <v>0</v>
      </c>
      <c r="L847" s="37">
        <f t="shared" si="54"/>
        <v>1</v>
      </c>
      <c r="M847" s="40" t="str">
        <f t="shared" si="52"/>
        <v>Not Survived</v>
      </c>
      <c r="N847" s="37" t="str">
        <f>_xlfn.XLOOKUP(L847,notes!$B$28:$B$30,notes!$C$28:$C$30,"Unknown",-1)</f>
        <v>Alone</v>
      </c>
      <c r="O847" s="37" t="s">
        <v>1166</v>
      </c>
      <c r="P847" s="37">
        <v>7.55</v>
      </c>
      <c r="Q847" s="37" t="str">
        <f t="shared" si="55"/>
        <v>Low</v>
      </c>
      <c r="R847" s="37" t="s">
        <v>1236</v>
      </c>
      <c r="S847" s="37" t="s">
        <v>15</v>
      </c>
      <c r="T847" s="41" t="str">
        <f t="shared" si="53"/>
        <v>Southampton</v>
      </c>
    </row>
    <row r="848" spans="1:20">
      <c r="A848" s="37">
        <v>847</v>
      </c>
      <c r="B848" s="37">
        <v>0</v>
      </c>
      <c r="C848" s="37">
        <v>3</v>
      </c>
      <c r="D848" s="37" t="s">
        <v>1540</v>
      </c>
      <c r="E848" s="37" t="s">
        <v>2652</v>
      </c>
      <c r="F848" s="37" t="s">
        <v>1235</v>
      </c>
      <c r="G848" s="37" t="str">
        <f>_xlfn.XLOOKUP(F848,notes!$B$12:$B$18,notes!$C$12:$C$18,"Unknown")</f>
        <v>Male</v>
      </c>
      <c r="H848" s="38" t="s">
        <v>1236</v>
      </c>
      <c r="I848" s="39" t="str">
        <f>_xlfn.XLOOKUP(H848,notes!$B$4:$B$8,notes!$C$4:$C$8,"Invalid",-1)</f>
        <v>Unknown</v>
      </c>
      <c r="J848" s="37">
        <v>8</v>
      </c>
      <c r="K848" s="37">
        <v>2</v>
      </c>
      <c r="L848" s="37">
        <f t="shared" si="54"/>
        <v>11</v>
      </c>
      <c r="M848" s="40" t="str">
        <f t="shared" si="52"/>
        <v>Not Survived</v>
      </c>
      <c r="N848" s="37" t="str">
        <f>_xlfn.XLOOKUP(L848,notes!$B$28:$B$30,notes!$C$28:$C$30,"Unknown",-1)</f>
        <v>Large Family</v>
      </c>
      <c r="O848" s="37" t="s">
        <v>252</v>
      </c>
      <c r="P848" s="37">
        <v>69.55</v>
      </c>
      <c r="Q848" s="37" t="str">
        <f t="shared" si="55"/>
        <v>High</v>
      </c>
      <c r="R848" s="37" t="s">
        <v>1236</v>
      </c>
      <c r="S848" s="37" t="s">
        <v>15</v>
      </c>
      <c r="T848" s="41" t="str">
        <f t="shared" si="53"/>
        <v>Southampton</v>
      </c>
    </row>
    <row r="849" spans="1:20">
      <c r="A849" s="37">
        <v>848</v>
      </c>
      <c r="B849" s="37">
        <v>0</v>
      </c>
      <c r="C849" s="37">
        <v>3</v>
      </c>
      <c r="D849" s="37" t="s">
        <v>2653</v>
      </c>
      <c r="E849" s="37" t="s">
        <v>2654</v>
      </c>
      <c r="F849" s="37" t="s">
        <v>1235</v>
      </c>
      <c r="G849" s="37" t="str">
        <f>_xlfn.XLOOKUP(F849,notes!$B$12:$B$18,notes!$C$12:$C$18,"Unknown")</f>
        <v>Male</v>
      </c>
      <c r="H849" s="38">
        <v>35</v>
      </c>
      <c r="I849" s="39" t="str">
        <f>_xlfn.XLOOKUP(H849,notes!$B$4:$B$8,notes!$C$4:$C$8,"Invalid",-1)</f>
        <v>Adult</v>
      </c>
      <c r="J849" s="37">
        <v>0</v>
      </c>
      <c r="K849" s="37">
        <v>0</v>
      </c>
      <c r="L849" s="37">
        <f t="shared" si="54"/>
        <v>1</v>
      </c>
      <c r="M849" s="40" t="str">
        <f t="shared" si="52"/>
        <v>Not Survived</v>
      </c>
      <c r="N849" s="37" t="str">
        <f>_xlfn.XLOOKUP(L849,notes!$B$28:$B$30,notes!$C$28:$C$30,"Unknown",-1)</f>
        <v>Alone</v>
      </c>
      <c r="O849" s="37">
        <v>349213</v>
      </c>
      <c r="P849" s="37">
        <v>7.8958</v>
      </c>
      <c r="Q849" s="37" t="str">
        <f t="shared" si="55"/>
        <v>Low</v>
      </c>
      <c r="R849" s="37" t="s">
        <v>1236</v>
      </c>
      <c r="S849" s="37" t="s">
        <v>20</v>
      </c>
      <c r="T849" s="41" t="str">
        <f t="shared" si="53"/>
        <v>Cherbourg</v>
      </c>
    </row>
    <row r="850" spans="1:20">
      <c r="A850" s="37">
        <v>849</v>
      </c>
      <c r="B850" s="37">
        <v>0</v>
      </c>
      <c r="C850" s="37">
        <v>2</v>
      </c>
      <c r="D850" s="37" t="s">
        <v>1340</v>
      </c>
      <c r="E850" s="37" t="s">
        <v>1592</v>
      </c>
      <c r="F850" s="37" t="s">
        <v>1522</v>
      </c>
      <c r="G850" s="37" t="str">
        <f>_xlfn.XLOOKUP(F850,notes!$B$12:$B$18,notes!$C$12:$C$18,"Unknown")</f>
        <v>Male</v>
      </c>
      <c r="H850" s="38">
        <v>28</v>
      </c>
      <c r="I850" s="39" t="str">
        <f>_xlfn.XLOOKUP(H850,notes!$B$4:$B$8,notes!$C$4:$C$8,"Invalid",-1)</f>
        <v>Adult</v>
      </c>
      <c r="J850" s="37">
        <v>0</v>
      </c>
      <c r="K850" s="37">
        <v>1</v>
      </c>
      <c r="L850" s="37">
        <f t="shared" si="54"/>
        <v>2</v>
      </c>
      <c r="M850" s="40" t="str">
        <f t="shared" si="52"/>
        <v>Not Survived</v>
      </c>
      <c r="N850" s="37" t="str">
        <f>_xlfn.XLOOKUP(L850,notes!$B$28:$B$30,notes!$C$28:$C$30,"Unknown",-1)</f>
        <v>Small Family</v>
      </c>
      <c r="O850" s="37">
        <v>248727</v>
      </c>
      <c r="P850" s="37">
        <v>33</v>
      </c>
      <c r="Q850" s="37" t="str">
        <f t="shared" si="55"/>
        <v>Mid</v>
      </c>
      <c r="R850" s="37" t="s">
        <v>1236</v>
      </c>
      <c r="S850" s="37" t="s">
        <v>15</v>
      </c>
      <c r="T850" s="41" t="str">
        <f t="shared" si="53"/>
        <v>Southampton</v>
      </c>
    </row>
    <row r="851" spans="1:20">
      <c r="A851" s="37">
        <v>850</v>
      </c>
      <c r="B851" s="37">
        <v>1</v>
      </c>
      <c r="C851" s="37">
        <v>1</v>
      </c>
      <c r="D851" s="37" t="s">
        <v>2045</v>
      </c>
      <c r="E851" s="37" t="s">
        <v>2655</v>
      </c>
      <c r="F851" s="37" t="s">
        <v>1239</v>
      </c>
      <c r="G851" s="37" t="str">
        <f>_xlfn.XLOOKUP(F851,notes!$B$12:$B$18,notes!$C$12:$C$18,"Unknown")</f>
        <v>Female</v>
      </c>
      <c r="H851" s="38" t="s">
        <v>1236</v>
      </c>
      <c r="I851" s="39" t="str">
        <f>_xlfn.XLOOKUP(H851,notes!$B$4:$B$8,notes!$C$4:$C$8,"Invalid",-1)</f>
        <v>Unknown</v>
      </c>
      <c r="J851" s="37">
        <v>1</v>
      </c>
      <c r="K851" s="37">
        <v>0</v>
      </c>
      <c r="L851" s="37">
        <f t="shared" si="54"/>
        <v>2</v>
      </c>
      <c r="M851" s="40" t="str">
        <f t="shared" si="52"/>
        <v>Survived</v>
      </c>
      <c r="N851" s="37" t="str">
        <f>_xlfn.XLOOKUP(L851,notes!$B$28:$B$30,notes!$C$28:$C$30,"Unknown",-1)</f>
        <v>Small Family</v>
      </c>
      <c r="O851" s="37">
        <v>17453</v>
      </c>
      <c r="P851" s="37">
        <v>89.1042</v>
      </c>
      <c r="Q851" s="37" t="str">
        <f t="shared" si="55"/>
        <v>High</v>
      </c>
      <c r="R851" s="37" t="s">
        <v>656</v>
      </c>
      <c r="S851" s="37" t="s">
        <v>20</v>
      </c>
      <c r="T851" s="41" t="str">
        <f t="shared" si="53"/>
        <v>Cherbourg</v>
      </c>
    </row>
    <row r="852" spans="1:20">
      <c r="A852" s="37">
        <v>851</v>
      </c>
      <c r="B852" s="37">
        <v>0</v>
      </c>
      <c r="C852" s="37">
        <v>3</v>
      </c>
      <c r="D852" s="37" t="s">
        <v>1263</v>
      </c>
      <c r="E852" s="37" t="s">
        <v>2656</v>
      </c>
      <c r="F852" s="37" t="s">
        <v>1253</v>
      </c>
      <c r="G852" s="37" t="str">
        <f>_xlfn.XLOOKUP(F852,notes!$B$12:$B$18,notes!$C$12:$C$18,"Unknown")</f>
        <v>Male</v>
      </c>
      <c r="H852" s="38">
        <v>4</v>
      </c>
      <c r="I852" s="39" t="str">
        <f>_xlfn.XLOOKUP(H852,notes!$B$4:$B$8,notes!$C$4:$C$8,"Invalid",-1)</f>
        <v>Kid</v>
      </c>
      <c r="J852" s="37">
        <v>4</v>
      </c>
      <c r="K852" s="37">
        <v>2</v>
      </c>
      <c r="L852" s="37">
        <f t="shared" si="54"/>
        <v>7</v>
      </c>
      <c r="M852" s="40" t="str">
        <f t="shared" si="52"/>
        <v>Not Survived</v>
      </c>
      <c r="N852" s="37" t="str">
        <f>_xlfn.XLOOKUP(L852,notes!$B$28:$B$30,notes!$C$28:$C$30,"Unknown",-1)</f>
        <v>Large Family</v>
      </c>
      <c r="O852" s="37">
        <v>347082</v>
      </c>
      <c r="P852" s="37">
        <v>31.275</v>
      </c>
      <c r="Q852" s="37" t="str">
        <f t="shared" si="55"/>
        <v>Mid</v>
      </c>
      <c r="R852" s="37" t="s">
        <v>1236</v>
      </c>
      <c r="S852" s="37" t="s">
        <v>15</v>
      </c>
      <c r="T852" s="41" t="str">
        <f t="shared" si="53"/>
        <v>Southampton</v>
      </c>
    </row>
    <row r="853" spans="1:20">
      <c r="A853" s="37">
        <v>852</v>
      </c>
      <c r="B853" s="37">
        <v>0</v>
      </c>
      <c r="C853" s="37">
        <v>3</v>
      </c>
      <c r="D853" s="37" t="s">
        <v>2119</v>
      </c>
      <c r="E853" s="37" t="s">
        <v>1484</v>
      </c>
      <c r="F853" s="37" t="s">
        <v>1235</v>
      </c>
      <c r="G853" s="37" t="str">
        <f>_xlfn.XLOOKUP(F853,notes!$B$12:$B$18,notes!$C$12:$C$18,"Unknown")</f>
        <v>Male</v>
      </c>
      <c r="H853" s="38">
        <v>74</v>
      </c>
      <c r="I853" s="39" t="str">
        <f>_xlfn.XLOOKUP(H853,notes!$B$4:$B$8,notes!$C$4:$C$8,"Invalid",-1)</f>
        <v>Elderly</v>
      </c>
      <c r="J853" s="37">
        <v>0</v>
      </c>
      <c r="K853" s="37">
        <v>0</v>
      </c>
      <c r="L853" s="37">
        <f t="shared" si="54"/>
        <v>1</v>
      </c>
      <c r="M853" s="40" t="str">
        <f t="shared" si="52"/>
        <v>Not Survived</v>
      </c>
      <c r="N853" s="37" t="str">
        <f>_xlfn.XLOOKUP(L853,notes!$B$28:$B$30,notes!$C$28:$C$30,"Unknown",-1)</f>
        <v>Alone</v>
      </c>
      <c r="O853" s="37">
        <v>347060</v>
      </c>
      <c r="P853" s="37">
        <v>7.775</v>
      </c>
      <c r="Q853" s="37" t="str">
        <f t="shared" si="55"/>
        <v>Low</v>
      </c>
      <c r="R853" s="37" t="s">
        <v>1236</v>
      </c>
      <c r="S853" s="37" t="s">
        <v>15</v>
      </c>
      <c r="T853" s="41" t="str">
        <f t="shared" si="53"/>
        <v>Southampton</v>
      </c>
    </row>
    <row r="854" spans="1:20">
      <c r="A854" s="37">
        <v>853</v>
      </c>
      <c r="B854" s="37">
        <v>0</v>
      </c>
      <c r="C854" s="37">
        <v>3</v>
      </c>
      <c r="D854" s="37" t="s">
        <v>1504</v>
      </c>
      <c r="E854" s="37" t="s">
        <v>2657</v>
      </c>
      <c r="F854" s="37" t="s">
        <v>1242</v>
      </c>
      <c r="G854" s="37" t="str">
        <f>_xlfn.XLOOKUP(F854,notes!$B$12:$B$18,notes!$C$12:$C$18,"Unknown")</f>
        <v>Female</v>
      </c>
      <c r="H854" s="38">
        <v>9</v>
      </c>
      <c r="I854" s="39" t="str">
        <f>_xlfn.XLOOKUP(H854,notes!$B$4:$B$8,notes!$C$4:$C$8,"Invalid",-1)</f>
        <v>Kid</v>
      </c>
      <c r="J854" s="37">
        <v>1</v>
      </c>
      <c r="K854" s="37">
        <v>1</v>
      </c>
      <c r="L854" s="37">
        <f t="shared" si="54"/>
        <v>3</v>
      </c>
      <c r="M854" s="40" t="str">
        <f t="shared" si="52"/>
        <v>Not Survived</v>
      </c>
      <c r="N854" s="37" t="str">
        <f>_xlfn.XLOOKUP(L854,notes!$B$28:$B$30,notes!$C$28:$C$30,"Unknown",-1)</f>
        <v>Small Family</v>
      </c>
      <c r="O854" s="37">
        <v>2678</v>
      </c>
      <c r="P854" s="37">
        <v>15.2458</v>
      </c>
      <c r="Q854" s="37" t="str">
        <f t="shared" si="55"/>
        <v>Mid</v>
      </c>
      <c r="R854" s="37" t="s">
        <v>1236</v>
      </c>
      <c r="S854" s="37" t="s">
        <v>20</v>
      </c>
      <c r="T854" s="41" t="str">
        <f t="shared" si="53"/>
        <v>Cherbourg</v>
      </c>
    </row>
    <row r="855" spans="1:20">
      <c r="A855" s="37">
        <v>854</v>
      </c>
      <c r="B855" s="37">
        <v>1</v>
      </c>
      <c r="C855" s="37">
        <v>1</v>
      </c>
      <c r="D855" s="37" t="s">
        <v>2658</v>
      </c>
      <c r="E855" s="37" t="s">
        <v>2659</v>
      </c>
      <c r="F855" s="37" t="s">
        <v>1242</v>
      </c>
      <c r="G855" s="37" t="str">
        <f>_xlfn.XLOOKUP(F855,notes!$B$12:$B$18,notes!$C$12:$C$18,"Unknown")</f>
        <v>Female</v>
      </c>
      <c r="H855" s="38">
        <v>16</v>
      </c>
      <c r="I855" s="39" t="str">
        <f>_xlfn.XLOOKUP(H855,notes!$B$4:$B$8,notes!$C$4:$C$8,"Invalid",-1)</f>
        <v>Teenager</v>
      </c>
      <c r="J855" s="37">
        <v>0</v>
      </c>
      <c r="K855" s="37">
        <v>1</v>
      </c>
      <c r="L855" s="37">
        <f t="shared" si="54"/>
        <v>2</v>
      </c>
      <c r="M855" s="40" t="str">
        <f t="shared" si="52"/>
        <v>Survived</v>
      </c>
      <c r="N855" s="37" t="str">
        <f>_xlfn.XLOOKUP(L855,notes!$B$28:$B$30,notes!$C$28:$C$30,"Unknown",-1)</f>
        <v>Small Family</v>
      </c>
      <c r="O855" s="37" t="s">
        <v>1175</v>
      </c>
      <c r="P855" s="37">
        <v>39.4</v>
      </c>
      <c r="Q855" s="37" t="str">
        <f t="shared" si="55"/>
        <v>Mid</v>
      </c>
      <c r="R855" s="37" t="s">
        <v>1176</v>
      </c>
      <c r="S855" s="37" t="s">
        <v>15</v>
      </c>
      <c r="T855" s="41" t="str">
        <f t="shared" si="53"/>
        <v>Southampton</v>
      </c>
    </row>
    <row r="856" spans="1:20">
      <c r="A856" s="37">
        <v>855</v>
      </c>
      <c r="B856" s="37">
        <v>0</v>
      </c>
      <c r="C856" s="37">
        <v>2</v>
      </c>
      <c r="D856" s="37" t="s">
        <v>1702</v>
      </c>
      <c r="E856" s="37" t="s">
        <v>2660</v>
      </c>
      <c r="F856" s="37" t="s">
        <v>1239</v>
      </c>
      <c r="G856" s="37" t="str">
        <f>_xlfn.XLOOKUP(F856,notes!$B$12:$B$18,notes!$C$12:$C$18,"Unknown")</f>
        <v>Female</v>
      </c>
      <c r="H856" s="38">
        <v>44</v>
      </c>
      <c r="I856" s="39" t="str">
        <f>_xlfn.XLOOKUP(H856,notes!$B$4:$B$8,notes!$C$4:$C$8,"Invalid",-1)</f>
        <v>Adult</v>
      </c>
      <c r="J856" s="37">
        <v>1</v>
      </c>
      <c r="K856" s="37">
        <v>0</v>
      </c>
      <c r="L856" s="37">
        <f t="shared" si="54"/>
        <v>2</v>
      </c>
      <c r="M856" s="40" t="str">
        <f t="shared" si="52"/>
        <v>Not Survived</v>
      </c>
      <c r="N856" s="37" t="str">
        <f>_xlfn.XLOOKUP(L856,notes!$B$28:$B$30,notes!$C$28:$C$30,"Unknown",-1)</f>
        <v>Small Family</v>
      </c>
      <c r="O856" s="37">
        <v>244252</v>
      </c>
      <c r="P856" s="37">
        <v>26</v>
      </c>
      <c r="Q856" s="37" t="str">
        <f t="shared" si="55"/>
        <v>Mid</v>
      </c>
      <c r="R856" s="37" t="s">
        <v>1236</v>
      </c>
      <c r="S856" s="37" t="s">
        <v>15</v>
      </c>
      <c r="T856" s="41" t="str">
        <f t="shared" si="53"/>
        <v>Southampton</v>
      </c>
    </row>
    <row r="857" spans="1:20">
      <c r="A857" s="37">
        <v>856</v>
      </c>
      <c r="B857" s="37">
        <v>1</v>
      </c>
      <c r="C857" s="37">
        <v>3</v>
      </c>
      <c r="D857" s="37" t="s">
        <v>2661</v>
      </c>
      <c r="E857" s="37" t="s">
        <v>2662</v>
      </c>
      <c r="F857" s="37" t="s">
        <v>1239</v>
      </c>
      <c r="G857" s="37" t="str">
        <f>_xlfn.XLOOKUP(F857,notes!$B$12:$B$18,notes!$C$12:$C$18,"Unknown")</f>
        <v>Female</v>
      </c>
      <c r="H857" s="38">
        <v>18</v>
      </c>
      <c r="I857" s="39" t="str">
        <f>_xlfn.XLOOKUP(H857,notes!$B$4:$B$8,notes!$C$4:$C$8,"Invalid",-1)</f>
        <v>Teenager</v>
      </c>
      <c r="J857" s="37">
        <v>0</v>
      </c>
      <c r="K857" s="37">
        <v>1</v>
      </c>
      <c r="L857" s="37">
        <f t="shared" si="54"/>
        <v>2</v>
      </c>
      <c r="M857" s="40" t="str">
        <f t="shared" si="52"/>
        <v>Survived</v>
      </c>
      <c r="N857" s="37" t="str">
        <f>_xlfn.XLOOKUP(L857,notes!$B$28:$B$30,notes!$C$28:$C$30,"Unknown",-1)</f>
        <v>Small Family</v>
      </c>
      <c r="O857" s="37">
        <v>392091</v>
      </c>
      <c r="P857" s="37">
        <v>9.35</v>
      </c>
      <c r="Q857" s="37" t="str">
        <f t="shared" si="55"/>
        <v>Low</v>
      </c>
      <c r="R857" s="37" t="s">
        <v>1236</v>
      </c>
      <c r="S857" s="37" t="s">
        <v>15</v>
      </c>
      <c r="T857" s="41" t="str">
        <f t="shared" si="53"/>
        <v>Southampton</v>
      </c>
    </row>
    <row r="858" spans="1:20">
      <c r="A858" s="37">
        <v>857</v>
      </c>
      <c r="B858" s="37">
        <v>1</v>
      </c>
      <c r="C858" s="37">
        <v>1</v>
      </c>
      <c r="D858" s="37" t="s">
        <v>1822</v>
      </c>
      <c r="E858" s="37" t="s">
        <v>2663</v>
      </c>
      <c r="F858" s="37" t="s">
        <v>1239</v>
      </c>
      <c r="G858" s="37" t="str">
        <f>_xlfn.XLOOKUP(F858,notes!$B$12:$B$18,notes!$C$12:$C$18,"Unknown")</f>
        <v>Female</v>
      </c>
      <c r="H858" s="38">
        <v>45</v>
      </c>
      <c r="I858" s="39" t="str">
        <f>_xlfn.XLOOKUP(H858,notes!$B$4:$B$8,notes!$C$4:$C$8,"Invalid",-1)</f>
        <v>Adult</v>
      </c>
      <c r="J858" s="37">
        <v>1</v>
      </c>
      <c r="K858" s="37">
        <v>1</v>
      </c>
      <c r="L858" s="37">
        <f t="shared" si="54"/>
        <v>3</v>
      </c>
      <c r="M858" s="40" t="str">
        <f t="shared" si="52"/>
        <v>Survived</v>
      </c>
      <c r="N858" s="37" t="str">
        <f>_xlfn.XLOOKUP(L858,notes!$B$28:$B$30,notes!$C$28:$C$30,"Unknown",-1)</f>
        <v>Small Family</v>
      </c>
      <c r="O858" s="37">
        <v>36928</v>
      </c>
      <c r="P858" s="37">
        <v>164.8667</v>
      </c>
      <c r="Q858" s="37" t="str">
        <f t="shared" si="55"/>
        <v>High</v>
      </c>
      <c r="R858" s="37" t="s">
        <v>1236</v>
      </c>
      <c r="S858" s="37" t="s">
        <v>15</v>
      </c>
      <c r="T858" s="41" t="str">
        <f t="shared" si="53"/>
        <v>Southampton</v>
      </c>
    </row>
    <row r="859" spans="1:20">
      <c r="A859" s="37">
        <v>858</v>
      </c>
      <c r="B859" s="37">
        <v>1</v>
      </c>
      <c r="C859" s="37">
        <v>1</v>
      </c>
      <c r="D859" s="37" t="s">
        <v>2137</v>
      </c>
      <c r="E859" s="37" t="s">
        <v>2664</v>
      </c>
      <c r="F859" s="37" t="s">
        <v>1235</v>
      </c>
      <c r="G859" s="37" t="str">
        <f>_xlfn.XLOOKUP(F859,notes!$B$12:$B$18,notes!$C$12:$C$18,"Unknown")</f>
        <v>Male</v>
      </c>
      <c r="H859" s="38">
        <v>51</v>
      </c>
      <c r="I859" s="39" t="str">
        <f>_xlfn.XLOOKUP(H859,notes!$B$4:$B$8,notes!$C$4:$C$8,"Invalid",-1)</f>
        <v>Adult</v>
      </c>
      <c r="J859" s="37">
        <v>0</v>
      </c>
      <c r="K859" s="37">
        <v>0</v>
      </c>
      <c r="L859" s="37">
        <f t="shared" si="54"/>
        <v>1</v>
      </c>
      <c r="M859" s="40" t="str">
        <f t="shared" si="52"/>
        <v>Survived</v>
      </c>
      <c r="N859" s="37" t="str">
        <f>_xlfn.XLOOKUP(L859,notes!$B$28:$B$30,notes!$C$28:$C$30,"Unknown",-1)</f>
        <v>Alone</v>
      </c>
      <c r="O859" s="37">
        <v>113055</v>
      </c>
      <c r="P859" s="37">
        <v>26.55</v>
      </c>
      <c r="Q859" s="37" t="str">
        <f t="shared" si="55"/>
        <v>Mid</v>
      </c>
      <c r="R859" s="37" t="s">
        <v>1181</v>
      </c>
      <c r="S859" s="37" t="s">
        <v>15</v>
      </c>
      <c r="T859" s="41" t="str">
        <f t="shared" si="53"/>
        <v>Southampton</v>
      </c>
    </row>
    <row r="860" spans="1:20">
      <c r="A860" s="37">
        <v>859</v>
      </c>
      <c r="B860" s="37">
        <v>1</v>
      </c>
      <c r="C860" s="37">
        <v>3</v>
      </c>
      <c r="D860" s="37" t="s">
        <v>2035</v>
      </c>
      <c r="E860" s="37" t="s">
        <v>2665</v>
      </c>
      <c r="F860" s="37" t="s">
        <v>1239</v>
      </c>
      <c r="G860" s="37" t="str">
        <f>_xlfn.XLOOKUP(F860,notes!$B$12:$B$18,notes!$C$12:$C$18,"Unknown")</f>
        <v>Female</v>
      </c>
      <c r="H860" s="38">
        <v>24</v>
      </c>
      <c r="I860" s="39" t="str">
        <f>_xlfn.XLOOKUP(H860,notes!$B$4:$B$8,notes!$C$4:$C$8,"Invalid",-1)</f>
        <v>Adult</v>
      </c>
      <c r="J860" s="37">
        <v>0</v>
      </c>
      <c r="K860" s="37">
        <v>3</v>
      </c>
      <c r="L860" s="37">
        <f t="shared" si="54"/>
        <v>4</v>
      </c>
      <c r="M860" s="40" t="str">
        <f t="shared" si="52"/>
        <v>Survived</v>
      </c>
      <c r="N860" s="37" t="str">
        <f>_xlfn.XLOOKUP(L860,notes!$B$28:$B$30,notes!$C$28:$C$30,"Unknown",-1)</f>
        <v>Large Family</v>
      </c>
      <c r="O860" s="37">
        <v>2666</v>
      </c>
      <c r="P860" s="37">
        <v>19.2583</v>
      </c>
      <c r="Q860" s="37" t="str">
        <f t="shared" si="55"/>
        <v>Mid</v>
      </c>
      <c r="R860" s="37" t="s">
        <v>1236</v>
      </c>
      <c r="S860" s="37" t="s">
        <v>20</v>
      </c>
      <c r="T860" s="41" t="str">
        <f t="shared" si="53"/>
        <v>Cherbourg</v>
      </c>
    </row>
    <row r="861" spans="1:20">
      <c r="A861" s="37">
        <v>860</v>
      </c>
      <c r="B861" s="37">
        <v>0</v>
      </c>
      <c r="C861" s="37">
        <v>3</v>
      </c>
      <c r="D861" s="37" t="s">
        <v>2666</v>
      </c>
      <c r="E861" s="37" t="s">
        <v>2667</v>
      </c>
      <c r="F861" s="37" t="s">
        <v>1235</v>
      </c>
      <c r="G861" s="37" t="str">
        <f>_xlfn.XLOOKUP(F861,notes!$B$12:$B$18,notes!$C$12:$C$18,"Unknown")</f>
        <v>Male</v>
      </c>
      <c r="H861" s="38" t="s">
        <v>1236</v>
      </c>
      <c r="I861" s="39" t="str">
        <f>_xlfn.XLOOKUP(H861,notes!$B$4:$B$8,notes!$C$4:$C$8,"Invalid",-1)</f>
        <v>Unknown</v>
      </c>
      <c r="J861" s="37">
        <v>0</v>
      </c>
      <c r="K861" s="37">
        <v>0</v>
      </c>
      <c r="L861" s="37">
        <f t="shared" si="54"/>
        <v>1</v>
      </c>
      <c r="M861" s="40" t="str">
        <f t="shared" si="52"/>
        <v>Not Survived</v>
      </c>
      <c r="N861" s="37" t="str">
        <f>_xlfn.XLOOKUP(L861,notes!$B$28:$B$30,notes!$C$28:$C$30,"Unknown",-1)</f>
        <v>Alone</v>
      </c>
      <c r="O861" s="37">
        <v>2629</v>
      </c>
      <c r="P861" s="37">
        <v>7.2292</v>
      </c>
      <c r="Q861" s="37" t="str">
        <f t="shared" si="55"/>
        <v>Low</v>
      </c>
      <c r="R861" s="37" t="s">
        <v>1236</v>
      </c>
      <c r="S861" s="37" t="s">
        <v>20</v>
      </c>
      <c r="T861" s="41" t="str">
        <f t="shared" si="53"/>
        <v>Cherbourg</v>
      </c>
    </row>
    <row r="862" spans="1:20">
      <c r="A862" s="37">
        <v>861</v>
      </c>
      <c r="B862" s="37">
        <v>0</v>
      </c>
      <c r="C862" s="37">
        <v>3</v>
      </c>
      <c r="D862" s="37" t="s">
        <v>2308</v>
      </c>
      <c r="E862" s="37" t="s">
        <v>2668</v>
      </c>
      <c r="F862" s="37" t="s">
        <v>1235</v>
      </c>
      <c r="G862" s="37" t="str">
        <f>_xlfn.XLOOKUP(F862,notes!$B$12:$B$18,notes!$C$12:$C$18,"Unknown")</f>
        <v>Male</v>
      </c>
      <c r="H862" s="38">
        <v>41</v>
      </c>
      <c r="I862" s="39" t="str">
        <f>_xlfn.XLOOKUP(H862,notes!$B$4:$B$8,notes!$C$4:$C$8,"Invalid",-1)</f>
        <v>Adult</v>
      </c>
      <c r="J862" s="37">
        <v>2</v>
      </c>
      <c r="K862" s="37">
        <v>0</v>
      </c>
      <c r="L862" s="37">
        <f t="shared" si="54"/>
        <v>3</v>
      </c>
      <c r="M862" s="40" t="str">
        <f t="shared" si="52"/>
        <v>Not Survived</v>
      </c>
      <c r="N862" s="37" t="str">
        <f>_xlfn.XLOOKUP(L862,notes!$B$28:$B$30,notes!$C$28:$C$30,"Unknown",-1)</f>
        <v>Small Family</v>
      </c>
      <c r="O862" s="37">
        <v>350026</v>
      </c>
      <c r="P862" s="37">
        <v>14.1083</v>
      </c>
      <c r="Q862" s="37" t="str">
        <f t="shared" si="55"/>
        <v>Mid</v>
      </c>
      <c r="R862" s="37" t="s">
        <v>1236</v>
      </c>
      <c r="S862" s="37" t="s">
        <v>15</v>
      </c>
      <c r="T862" s="41" t="str">
        <f t="shared" si="53"/>
        <v>Southampton</v>
      </c>
    </row>
    <row r="863" spans="1:20">
      <c r="A863" s="37">
        <v>862</v>
      </c>
      <c r="B863" s="37">
        <v>0</v>
      </c>
      <c r="C863" s="37">
        <v>2</v>
      </c>
      <c r="D863" s="37" t="s">
        <v>2669</v>
      </c>
      <c r="E863" s="37" t="s">
        <v>2670</v>
      </c>
      <c r="F863" s="37" t="s">
        <v>1235</v>
      </c>
      <c r="G863" s="37" t="str">
        <f>_xlfn.XLOOKUP(F863,notes!$B$12:$B$18,notes!$C$12:$C$18,"Unknown")</f>
        <v>Male</v>
      </c>
      <c r="H863" s="38">
        <v>21</v>
      </c>
      <c r="I863" s="39" t="str">
        <f>_xlfn.XLOOKUP(H863,notes!$B$4:$B$8,notes!$C$4:$C$8,"Invalid",-1)</f>
        <v>Adult</v>
      </c>
      <c r="J863" s="37">
        <v>1</v>
      </c>
      <c r="K863" s="37">
        <v>0</v>
      </c>
      <c r="L863" s="37">
        <f t="shared" si="54"/>
        <v>2</v>
      </c>
      <c r="M863" s="40" t="str">
        <f t="shared" si="52"/>
        <v>Not Survived</v>
      </c>
      <c r="N863" s="37" t="str">
        <f>_xlfn.XLOOKUP(L863,notes!$B$28:$B$30,notes!$C$28:$C$30,"Unknown",-1)</f>
        <v>Small Family</v>
      </c>
      <c r="O863" s="37">
        <v>28134</v>
      </c>
      <c r="P863" s="37">
        <v>11.5</v>
      </c>
      <c r="Q863" s="37" t="str">
        <f t="shared" si="55"/>
        <v>Mid</v>
      </c>
      <c r="R863" s="37" t="s">
        <v>1236</v>
      </c>
      <c r="S863" s="37" t="s">
        <v>15</v>
      </c>
      <c r="T863" s="41" t="str">
        <f t="shared" si="53"/>
        <v>Southampton</v>
      </c>
    </row>
    <row r="864" spans="1:20">
      <c r="A864" s="37">
        <v>863</v>
      </c>
      <c r="B864" s="37">
        <v>1</v>
      </c>
      <c r="C864" s="37">
        <v>1</v>
      </c>
      <c r="D864" s="37" t="s">
        <v>2671</v>
      </c>
      <c r="E864" s="37" t="s">
        <v>2672</v>
      </c>
      <c r="F864" s="37" t="s">
        <v>1239</v>
      </c>
      <c r="G864" s="37" t="str">
        <f>_xlfn.XLOOKUP(F864,notes!$B$12:$B$18,notes!$C$12:$C$18,"Unknown")</f>
        <v>Female</v>
      </c>
      <c r="H864" s="38">
        <v>48</v>
      </c>
      <c r="I864" s="39" t="str">
        <f>_xlfn.XLOOKUP(H864,notes!$B$4:$B$8,notes!$C$4:$C$8,"Invalid",-1)</f>
        <v>Adult</v>
      </c>
      <c r="J864" s="37">
        <v>0</v>
      </c>
      <c r="K864" s="37">
        <v>0</v>
      </c>
      <c r="L864" s="37">
        <f t="shared" si="54"/>
        <v>1</v>
      </c>
      <c r="M864" s="40" t="str">
        <f t="shared" si="52"/>
        <v>Survived</v>
      </c>
      <c r="N864" s="37" t="str">
        <f>_xlfn.XLOOKUP(L864,notes!$B$28:$B$30,notes!$C$28:$C$30,"Unknown",-1)</f>
        <v>Alone</v>
      </c>
      <c r="O864" s="37">
        <v>17466</v>
      </c>
      <c r="P864" s="37">
        <v>25.9292</v>
      </c>
      <c r="Q864" s="37" t="str">
        <f t="shared" si="55"/>
        <v>Mid</v>
      </c>
      <c r="R864" s="37" t="s">
        <v>1106</v>
      </c>
      <c r="S864" s="37" t="s">
        <v>15</v>
      </c>
      <c r="T864" s="41" t="str">
        <f t="shared" si="53"/>
        <v>Southampton</v>
      </c>
    </row>
    <row r="865" spans="1:20">
      <c r="A865" s="37">
        <v>864</v>
      </c>
      <c r="B865" s="37">
        <v>0</v>
      </c>
      <c r="C865" s="37">
        <v>3</v>
      </c>
      <c r="D865" s="37" t="s">
        <v>1540</v>
      </c>
      <c r="E865" s="37" t="s">
        <v>2673</v>
      </c>
      <c r="F865" s="37" t="s">
        <v>1242</v>
      </c>
      <c r="G865" s="37" t="str">
        <f>_xlfn.XLOOKUP(F865,notes!$B$12:$B$18,notes!$C$12:$C$18,"Unknown")</f>
        <v>Female</v>
      </c>
      <c r="H865" s="38" t="s">
        <v>1236</v>
      </c>
      <c r="I865" s="39" t="str">
        <f>_xlfn.XLOOKUP(H865,notes!$B$4:$B$8,notes!$C$4:$C$8,"Invalid",-1)</f>
        <v>Unknown</v>
      </c>
      <c r="J865" s="37">
        <v>8</v>
      </c>
      <c r="K865" s="37">
        <v>2</v>
      </c>
      <c r="L865" s="37">
        <f t="shared" si="54"/>
        <v>11</v>
      </c>
      <c r="M865" s="40" t="str">
        <f t="shared" si="52"/>
        <v>Not Survived</v>
      </c>
      <c r="N865" s="37" t="str">
        <f>_xlfn.XLOOKUP(L865,notes!$B$28:$B$30,notes!$C$28:$C$30,"Unknown",-1)</f>
        <v>Large Family</v>
      </c>
      <c r="O865" s="37" t="s">
        <v>252</v>
      </c>
      <c r="P865" s="37">
        <v>69.55</v>
      </c>
      <c r="Q865" s="37" t="str">
        <f t="shared" si="55"/>
        <v>High</v>
      </c>
      <c r="R865" s="37" t="s">
        <v>1236</v>
      </c>
      <c r="S865" s="37" t="s">
        <v>15</v>
      </c>
      <c r="T865" s="41" t="str">
        <f t="shared" si="53"/>
        <v>Southampton</v>
      </c>
    </row>
    <row r="866" spans="1:20">
      <c r="A866" s="37">
        <v>865</v>
      </c>
      <c r="B866" s="37">
        <v>0</v>
      </c>
      <c r="C866" s="37">
        <v>2</v>
      </c>
      <c r="D866" s="37" t="s">
        <v>2674</v>
      </c>
      <c r="E866" s="37" t="s">
        <v>2675</v>
      </c>
      <c r="F866" s="37" t="s">
        <v>1235</v>
      </c>
      <c r="G866" s="37" t="str">
        <f>_xlfn.XLOOKUP(F866,notes!$B$12:$B$18,notes!$C$12:$C$18,"Unknown")</f>
        <v>Male</v>
      </c>
      <c r="H866" s="38">
        <v>24</v>
      </c>
      <c r="I866" s="39" t="str">
        <f>_xlfn.XLOOKUP(H866,notes!$B$4:$B$8,notes!$C$4:$C$8,"Invalid",-1)</f>
        <v>Adult</v>
      </c>
      <c r="J866" s="37">
        <v>0</v>
      </c>
      <c r="K866" s="37">
        <v>0</v>
      </c>
      <c r="L866" s="37">
        <f t="shared" si="54"/>
        <v>1</v>
      </c>
      <c r="M866" s="40" t="str">
        <f t="shared" si="52"/>
        <v>Not Survived</v>
      </c>
      <c r="N866" s="37" t="str">
        <f>_xlfn.XLOOKUP(L866,notes!$B$28:$B$30,notes!$C$28:$C$30,"Unknown",-1)</f>
        <v>Alone</v>
      </c>
      <c r="O866" s="37">
        <v>233866</v>
      </c>
      <c r="P866" s="37">
        <v>13</v>
      </c>
      <c r="Q866" s="37" t="str">
        <f t="shared" si="55"/>
        <v>Mid</v>
      </c>
      <c r="R866" s="37" t="s">
        <v>1236</v>
      </c>
      <c r="S866" s="37" t="s">
        <v>15</v>
      </c>
      <c r="T866" s="41" t="str">
        <f t="shared" si="53"/>
        <v>Southampton</v>
      </c>
    </row>
    <row r="867" spans="1:20">
      <c r="A867" s="37">
        <v>866</v>
      </c>
      <c r="B867" s="37">
        <v>1</v>
      </c>
      <c r="C867" s="37">
        <v>2</v>
      </c>
      <c r="D867" s="37" t="s">
        <v>2676</v>
      </c>
      <c r="E867" s="37" t="s">
        <v>2677</v>
      </c>
      <c r="F867" s="37" t="s">
        <v>1239</v>
      </c>
      <c r="G867" s="37" t="str">
        <f>_xlfn.XLOOKUP(F867,notes!$B$12:$B$18,notes!$C$12:$C$18,"Unknown")</f>
        <v>Female</v>
      </c>
      <c r="H867" s="38">
        <v>42</v>
      </c>
      <c r="I867" s="39" t="str">
        <f>_xlfn.XLOOKUP(H867,notes!$B$4:$B$8,notes!$C$4:$C$8,"Invalid",-1)</f>
        <v>Adult</v>
      </c>
      <c r="J867" s="37">
        <v>0</v>
      </c>
      <c r="K867" s="37">
        <v>0</v>
      </c>
      <c r="L867" s="37">
        <f t="shared" si="54"/>
        <v>1</v>
      </c>
      <c r="M867" s="40" t="str">
        <f t="shared" si="52"/>
        <v>Survived</v>
      </c>
      <c r="N867" s="37" t="str">
        <f>_xlfn.XLOOKUP(L867,notes!$B$28:$B$30,notes!$C$28:$C$30,"Unknown",-1)</f>
        <v>Alone</v>
      </c>
      <c r="O867" s="37">
        <v>236852</v>
      </c>
      <c r="P867" s="37">
        <v>13</v>
      </c>
      <c r="Q867" s="37" t="str">
        <f t="shared" si="55"/>
        <v>Mid</v>
      </c>
      <c r="R867" s="37" t="s">
        <v>1236</v>
      </c>
      <c r="S867" s="37" t="s">
        <v>15</v>
      </c>
      <c r="T867" s="41" t="str">
        <f t="shared" si="53"/>
        <v>Southampton</v>
      </c>
    </row>
    <row r="868" spans="1:20">
      <c r="A868" s="37">
        <v>867</v>
      </c>
      <c r="B868" s="37">
        <v>1</v>
      </c>
      <c r="C868" s="37">
        <v>2</v>
      </c>
      <c r="D868" s="37" t="s">
        <v>2678</v>
      </c>
      <c r="E868" s="37" t="s">
        <v>2679</v>
      </c>
      <c r="F868" s="37" t="s">
        <v>1242</v>
      </c>
      <c r="G868" s="37" t="str">
        <f>_xlfn.XLOOKUP(F868,notes!$B$12:$B$18,notes!$C$12:$C$18,"Unknown")</f>
        <v>Female</v>
      </c>
      <c r="H868" s="38">
        <v>27</v>
      </c>
      <c r="I868" s="39" t="str">
        <f>_xlfn.XLOOKUP(H868,notes!$B$4:$B$8,notes!$C$4:$C$8,"Invalid",-1)</f>
        <v>Adult</v>
      </c>
      <c r="J868" s="37">
        <v>1</v>
      </c>
      <c r="K868" s="37">
        <v>0</v>
      </c>
      <c r="L868" s="37">
        <f t="shared" si="54"/>
        <v>2</v>
      </c>
      <c r="M868" s="40" t="str">
        <f t="shared" si="52"/>
        <v>Survived</v>
      </c>
      <c r="N868" s="37" t="str">
        <f>_xlfn.XLOOKUP(L868,notes!$B$28:$B$30,notes!$C$28:$C$30,"Unknown",-1)</f>
        <v>Small Family</v>
      </c>
      <c r="O868" s="37" t="s">
        <v>1191</v>
      </c>
      <c r="P868" s="37">
        <v>13.8583</v>
      </c>
      <c r="Q868" s="37" t="str">
        <f t="shared" si="55"/>
        <v>Mid</v>
      </c>
      <c r="R868" s="37" t="s">
        <v>1236</v>
      </c>
      <c r="S868" s="37" t="s">
        <v>20</v>
      </c>
      <c r="T868" s="41" t="str">
        <f t="shared" si="53"/>
        <v>Cherbourg</v>
      </c>
    </row>
    <row r="869" spans="1:20">
      <c r="A869" s="37">
        <v>868</v>
      </c>
      <c r="B869" s="37">
        <v>0</v>
      </c>
      <c r="C869" s="37">
        <v>1</v>
      </c>
      <c r="D869" s="37" t="s">
        <v>2680</v>
      </c>
      <c r="E869" s="37" t="s">
        <v>2681</v>
      </c>
      <c r="F869" s="37" t="s">
        <v>1235</v>
      </c>
      <c r="G869" s="37" t="str">
        <f>_xlfn.XLOOKUP(F869,notes!$B$12:$B$18,notes!$C$12:$C$18,"Unknown")</f>
        <v>Male</v>
      </c>
      <c r="H869" s="38">
        <v>31</v>
      </c>
      <c r="I869" s="39" t="str">
        <f>_xlfn.XLOOKUP(H869,notes!$B$4:$B$8,notes!$C$4:$C$8,"Invalid",-1)</f>
        <v>Adult</v>
      </c>
      <c r="J869" s="37">
        <v>0</v>
      </c>
      <c r="K869" s="37">
        <v>0</v>
      </c>
      <c r="L869" s="37">
        <f t="shared" si="54"/>
        <v>1</v>
      </c>
      <c r="M869" s="40" t="str">
        <f t="shared" si="52"/>
        <v>Not Survived</v>
      </c>
      <c r="N869" s="37" t="str">
        <f>_xlfn.XLOOKUP(L869,notes!$B$28:$B$30,notes!$C$28:$C$30,"Unknown",-1)</f>
        <v>Alone</v>
      </c>
      <c r="O869" s="37" t="s">
        <v>1193</v>
      </c>
      <c r="P869" s="37">
        <v>50.4958</v>
      </c>
      <c r="Q869" s="37" t="str">
        <f t="shared" si="55"/>
        <v>High</v>
      </c>
      <c r="R869" s="37" t="s">
        <v>1194</v>
      </c>
      <c r="S869" s="37" t="s">
        <v>15</v>
      </c>
      <c r="T869" s="41" t="str">
        <f t="shared" si="53"/>
        <v>Southampton</v>
      </c>
    </row>
    <row r="870" spans="1:20">
      <c r="A870" s="37">
        <v>869</v>
      </c>
      <c r="B870" s="37">
        <v>0</v>
      </c>
      <c r="C870" s="37">
        <v>3</v>
      </c>
      <c r="D870" s="37" t="s">
        <v>2682</v>
      </c>
      <c r="E870" s="37" t="s">
        <v>2683</v>
      </c>
      <c r="F870" s="37" t="s">
        <v>1235</v>
      </c>
      <c r="G870" s="37" t="str">
        <f>_xlfn.XLOOKUP(F870,notes!$B$12:$B$18,notes!$C$12:$C$18,"Unknown")</f>
        <v>Male</v>
      </c>
      <c r="H870" s="38" t="s">
        <v>1236</v>
      </c>
      <c r="I870" s="39" t="str">
        <f>_xlfn.XLOOKUP(H870,notes!$B$4:$B$8,notes!$C$4:$C$8,"Invalid",-1)</f>
        <v>Unknown</v>
      </c>
      <c r="J870" s="37">
        <v>0</v>
      </c>
      <c r="K870" s="37">
        <v>0</v>
      </c>
      <c r="L870" s="37">
        <f t="shared" si="54"/>
        <v>1</v>
      </c>
      <c r="M870" s="40" t="str">
        <f t="shared" si="52"/>
        <v>Not Survived</v>
      </c>
      <c r="N870" s="37" t="str">
        <f>_xlfn.XLOOKUP(L870,notes!$B$28:$B$30,notes!$C$28:$C$30,"Unknown",-1)</f>
        <v>Alone</v>
      </c>
      <c r="O870" s="37">
        <v>345777</v>
      </c>
      <c r="P870" s="37">
        <v>9.5</v>
      </c>
      <c r="Q870" s="37" t="str">
        <f t="shared" si="55"/>
        <v>Low</v>
      </c>
      <c r="R870" s="37" t="s">
        <v>1236</v>
      </c>
      <c r="S870" s="37" t="s">
        <v>15</v>
      </c>
      <c r="T870" s="41" t="str">
        <f t="shared" si="53"/>
        <v>Southampton</v>
      </c>
    </row>
    <row r="871" spans="1:20">
      <c r="A871" s="37">
        <v>870</v>
      </c>
      <c r="B871" s="37">
        <v>1</v>
      </c>
      <c r="C871" s="37">
        <v>3</v>
      </c>
      <c r="D871" s="37" t="s">
        <v>1254</v>
      </c>
      <c r="E871" s="37" t="s">
        <v>2684</v>
      </c>
      <c r="F871" s="37" t="s">
        <v>1253</v>
      </c>
      <c r="G871" s="37" t="str">
        <f>_xlfn.XLOOKUP(F871,notes!$B$12:$B$18,notes!$C$12:$C$18,"Unknown")</f>
        <v>Male</v>
      </c>
      <c r="H871" s="38">
        <v>4</v>
      </c>
      <c r="I871" s="39" t="str">
        <f>_xlfn.XLOOKUP(H871,notes!$B$4:$B$8,notes!$C$4:$C$8,"Invalid",-1)</f>
        <v>Kid</v>
      </c>
      <c r="J871" s="37">
        <v>1</v>
      </c>
      <c r="K871" s="37">
        <v>1</v>
      </c>
      <c r="L871" s="37">
        <f t="shared" si="54"/>
        <v>3</v>
      </c>
      <c r="M871" s="40" t="str">
        <f t="shared" si="52"/>
        <v>Survived</v>
      </c>
      <c r="N871" s="37" t="str">
        <f>_xlfn.XLOOKUP(L871,notes!$B$28:$B$30,notes!$C$28:$C$30,"Unknown",-1)</f>
        <v>Small Family</v>
      </c>
      <c r="O871" s="37">
        <v>347742</v>
      </c>
      <c r="P871" s="37">
        <v>11.1333</v>
      </c>
      <c r="Q871" s="37" t="str">
        <f t="shared" si="55"/>
        <v>Mid</v>
      </c>
      <c r="R871" s="37" t="s">
        <v>1236</v>
      </c>
      <c r="S871" s="37" t="s">
        <v>15</v>
      </c>
      <c r="T871" s="41" t="str">
        <f t="shared" si="53"/>
        <v>Southampton</v>
      </c>
    </row>
    <row r="872" spans="1:20">
      <c r="A872" s="37">
        <v>871</v>
      </c>
      <c r="B872" s="37">
        <v>0</v>
      </c>
      <c r="C872" s="37">
        <v>3</v>
      </c>
      <c r="D872" s="37" t="s">
        <v>2685</v>
      </c>
      <c r="E872" s="37" t="s">
        <v>2686</v>
      </c>
      <c r="F872" s="37" t="s">
        <v>1235</v>
      </c>
      <c r="G872" s="37" t="str">
        <f>_xlfn.XLOOKUP(F872,notes!$B$12:$B$18,notes!$C$12:$C$18,"Unknown")</f>
        <v>Male</v>
      </c>
      <c r="H872" s="38">
        <v>26</v>
      </c>
      <c r="I872" s="39" t="str">
        <f>_xlfn.XLOOKUP(H872,notes!$B$4:$B$8,notes!$C$4:$C$8,"Invalid",-1)</f>
        <v>Adult</v>
      </c>
      <c r="J872" s="37">
        <v>0</v>
      </c>
      <c r="K872" s="37">
        <v>0</v>
      </c>
      <c r="L872" s="37">
        <f t="shared" si="54"/>
        <v>1</v>
      </c>
      <c r="M872" s="40" t="str">
        <f t="shared" si="52"/>
        <v>Not Survived</v>
      </c>
      <c r="N872" s="37" t="str">
        <f>_xlfn.XLOOKUP(L872,notes!$B$28:$B$30,notes!$C$28:$C$30,"Unknown",-1)</f>
        <v>Alone</v>
      </c>
      <c r="O872" s="37">
        <v>349248</v>
      </c>
      <c r="P872" s="37">
        <v>7.8958</v>
      </c>
      <c r="Q872" s="37" t="str">
        <f t="shared" si="55"/>
        <v>Low</v>
      </c>
      <c r="R872" s="37" t="s">
        <v>1236</v>
      </c>
      <c r="S872" s="37" t="s">
        <v>15</v>
      </c>
      <c r="T872" s="41" t="str">
        <f t="shared" si="53"/>
        <v>Southampton</v>
      </c>
    </row>
    <row r="873" spans="1:20">
      <c r="A873" s="37">
        <v>872</v>
      </c>
      <c r="B873" s="37">
        <v>1</v>
      </c>
      <c r="C873" s="37">
        <v>1</v>
      </c>
      <c r="D873" s="37" t="s">
        <v>1700</v>
      </c>
      <c r="E873" s="37" t="s">
        <v>2687</v>
      </c>
      <c r="F873" s="37" t="s">
        <v>1239</v>
      </c>
      <c r="G873" s="37" t="str">
        <f>_xlfn.XLOOKUP(F873,notes!$B$12:$B$18,notes!$C$12:$C$18,"Unknown")</f>
        <v>Female</v>
      </c>
      <c r="H873" s="38">
        <v>47</v>
      </c>
      <c r="I873" s="39" t="str">
        <f>_xlfn.XLOOKUP(H873,notes!$B$4:$B$8,notes!$C$4:$C$8,"Invalid",-1)</f>
        <v>Adult</v>
      </c>
      <c r="J873" s="37">
        <v>1</v>
      </c>
      <c r="K873" s="37">
        <v>1</v>
      </c>
      <c r="L873" s="37">
        <f t="shared" si="54"/>
        <v>3</v>
      </c>
      <c r="M873" s="40" t="str">
        <f t="shared" si="52"/>
        <v>Survived</v>
      </c>
      <c r="N873" s="37" t="str">
        <f>_xlfn.XLOOKUP(L873,notes!$B$28:$B$30,notes!$C$28:$C$30,"Unknown",-1)</f>
        <v>Small Family</v>
      </c>
      <c r="O873" s="37">
        <v>11751</v>
      </c>
      <c r="P873" s="37">
        <v>52.5542</v>
      </c>
      <c r="Q873" s="37" t="str">
        <f t="shared" si="55"/>
        <v>High</v>
      </c>
      <c r="R873" s="37" t="s">
        <v>378</v>
      </c>
      <c r="S873" s="37" t="s">
        <v>15</v>
      </c>
      <c r="T873" s="41" t="str">
        <f t="shared" si="53"/>
        <v>Southampton</v>
      </c>
    </row>
    <row r="874" spans="1:20">
      <c r="A874" s="37">
        <v>873</v>
      </c>
      <c r="B874" s="37">
        <v>0</v>
      </c>
      <c r="C874" s="37">
        <v>1</v>
      </c>
      <c r="D874" s="37" t="s">
        <v>2513</v>
      </c>
      <c r="E874" s="37" t="s">
        <v>2688</v>
      </c>
      <c r="F874" s="37" t="s">
        <v>1235</v>
      </c>
      <c r="G874" s="37" t="str">
        <f>_xlfn.XLOOKUP(F874,notes!$B$12:$B$18,notes!$C$12:$C$18,"Unknown")</f>
        <v>Male</v>
      </c>
      <c r="H874" s="38">
        <v>33</v>
      </c>
      <c r="I874" s="39" t="str">
        <f>_xlfn.XLOOKUP(H874,notes!$B$4:$B$8,notes!$C$4:$C$8,"Invalid",-1)</f>
        <v>Adult</v>
      </c>
      <c r="J874" s="37">
        <v>0</v>
      </c>
      <c r="K874" s="37">
        <v>0</v>
      </c>
      <c r="L874" s="37">
        <f t="shared" si="54"/>
        <v>1</v>
      </c>
      <c r="M874" s="40" t="str">
        <f t="shared" si="52"/>
        <v>Not Survived</v>
      </c>
      <c r="N874" s="37" t="str">
        <f>_xlfn.XLOOKUP(L874,notes!$B$28:$B$30,notes!$C$28:$C$30,"Unknown",-1)</f>
        <v>Alone</v>
      </c>
      <c r="O874" s="37">
        <v>695</v>
      </c>
      <c r="P874" s="37">
        <v>5</v>
      </c>
      <c r="Q874" s="37" t="str">
        <f t="shared" si="55"/>
        <v>Low</v>
      </c>
      <c r="R874" s="37" t="s">
        <v>958</v>
      </c>
      <c r="S874" s="37" t="s">
        <v>15</v>
      </c>
      <c r="T874" s="41" t="str">
        <f t="shared" si="53"/>
        <v>Southampton</v>
      </c>
    </row>
    <row r="875" spans="1:20">
      <c r="A875" s="37">
        <v>874</v>
      </c>
      <c r="B875" s="37">
        <v>0</v>
      </c>
      <c r="C875" s="37">
        <v>3</v>
      </c>
      <c r="D875" s="37" t="s">
        <v>2689</v>
      </c>
      <c r="E875" s="37" t="s">
        <v>1503</v>
      </c>
      <c r="F875" s="37" t="s">
        <v>1235</v>
      </c>
      <c r="G875" s="37" t="str">
        <f>_xlfn.XLOOKUP(F875,notes!$B$12:$B$18,notes!$C$12:$C$18,"Unknown")</f>
        <v>Male</v>
      </c>
      <c r="H875" s="38">
        <v>47</v>
      </c>
      <c r="I875" s="39" t="str">
        <f>_xlfn.XLOOKUP(H875,notes!$B$4:$B$8,notes!$C$4:$C$8,"Invalid",-1)</f>
        <v>Adult</v>
      </c>
      <c r="J875" s="37">
        <v>0</v>
      </c>
      <c r="K875" s="37">
        <v>0</v>
      </c>
      <c r="L875" s="37">
        <f t="shared" si="54"/>
        <v>1</v>
      </c>
      <c r="M875" s="40" t="str">
        <f t="shared" si="52"/>
        <v>Not Survived</v>
      </c>
      <c r="N875" s="37" t="str">
        <f>_xlfn.XLOOKUP(L875,notes!$B$28:$B$30,notes!$C$28:$C$30,"Unknown",-1)</f>
        <v>Alone</v>
      </c>
      <c r="O875" s="37">
        <v>345765</v>
      </c>
      <c r="P875" s="37">
        <v>9</v>
      </c>
      <c r="Q875" s="37" t="str">
        <f t="shared" si="55"/>
        <v>Low</v>
      </c>
      <c r="R875" s="37" t="s">
        <v>1236</v>
      </c>
      <c r="S875" s="37" t="s">
        <v>15</v>
      </c>
      <c r="T875" s="41" t="str">
        <f t="shared" si="53"/>
        <v>Southampton</v>
      </c>
    </row>
    <row r="876" spans="1:20">
      <c r="A876" s="37">
        <v>875</v>
      </c>
      <c r="B876" s="37">
        <v>1</v>
      </c>
      <c r="C876" s="37">
        <v>2</v>
      </c>
      <c r="D876" s="37" t="s">
        <v>1803</v>
      </c>
      <c r="E876" s="37" t="s">
        <v>2690</v>
      </c>
      <c r="F876" s="37" t="s">
        <v>1239</v>
      </c>
      <c r="G876" s="37" t="str">
        <f>_xlfn.XLOOKUP(F876,notes!$B$12:$B$18,notes!$C$12:$C$18,"Unknown")</f>
        <v>Female</v>
      </c>
      <c r="H876" s="38">
        <v>28</v>
      </c>
      <c r="I876" s="39" t="str">
        <f>_xlfn.XLOOKUP(H876,notes!$B$4:$B$8,notes!$C$4:$C$8,"Invalid",-1)</f>
        <v>Adult</v>
      </c>
      <c r="J876" s="37">
        <v>1</v>
      </c>
      <c r="K876" s="37">
        <v>0</v>
      </c>
      <c r="L876" s="37">
        <f t="shared" si="54"/>
        <v>2</v>
      </c>
      <c r="M876" s="40" t="str">
        <f t="shared" si="52"/>
        <v>Survived</v>
      </c>
      <c r="N876" s="37" t="str">
        <f>_xlfn.XLOOKUP(L876,notes!$B$28:$B$30,notes!$C$28:$C$30,"Unknown",-1)</f>
        <v>Small Family</v>
      </c>
      <c r="O876" s="37" t="s">
        <v>466</v>
      </c>
      <c r="P876" s="37">
        <v>24</v>
      </c>
      <c r="Q876" s="37" t="str">
        <f t="shared" si="55"/>
        <v>Mid</v>
      </c>
      <c r="R876" s="37" t="s">
        <v>1236</v>
      </c>
      <c r="S876" s="37" t="s">
        <v>20</v>
      </c>
      <c r="T876" s="41" t="str">
        <f t="shared" si="53"/>
        <v>Cherbourg</v>
      </c>
    </row>
    <row r="877" spans="1:20">
      <c r="A877" s="37">
        <v>876</v>
      </c>
      <c r="B877" s="37">
        <v>1</v>
      </c>
      <c r="C877" s="37">
        <v>3</v>
      </c>
      <c r="D877" s="37" t="s">
        <v>2691</v>
      </c>
      <c r="E877" s="37" t="s">
        <v>2692</v>
      </c>
      <c r="F877" s="37" t="s">
        <v>1242</v>
      </c>
      <c r="G877" s="37" t="str">
        <f>_xlfn.XLOOKUP(F877,notes!$B$12:$B$18,notes!$C$12:$C$18,"Unknown")</f>
        <v>Female</v>
      </c>
      <c r="H877" s="38">
        <v>15</v>
      </c>
      <c r="I877" s="39" t="str">
        <f>_xlfn.XLOOKUP(H877,notes!$B$4:$B$8,notes!$C$4:$C$8,"Invalid",-1)</f>
        <v>Teenager</v>
      </c>
      <c r="J877" s="37">
        <v>0</v>
      </c>
      <c r="K877" s="37">
        <v>0</v>
      </c>
      <c r="L877" s="37">
        <f t="shared" si="54"/>
        <v>1</v>
      </c>
      <c r="M877" s="40" t="str">
        <f t="shared" si="52"/>
        <v>Survived</v>
      </c>
      <c r="N877" s="37" t="str">
        <f>_xlfn.XLOOKUP(L877,notes!$B$28:$B$30,notes!$C$28:$C$30,"Unknown",-1)</f>
        <v>Alone</v>
      </c>
      <c r="O877" s="37">
        <v>2667</v>
      </c>
      <c r="P877" s="37">
        <v>7.225</v>
      </c>
      <c r="Q877" s="37" t="str">
        <f t="shared" si="55"/>
        <v>Low</v>
      </c>
      <c r="R877" s="37" t="s">
        <v>1236</v>
      </c>
      <c r="S877" s="37" t="s">
        <v>20</v>
      </c>
      <c r="T877" s="41" t="str">
        <f t="shared" si="53"/>
        <v>Cherbourg</v>
      </c>
    </row>
    <row r="878" spans="1:20">
      <c r="A878" s="37">
        <v>877</v>
      </c>
      <c r="B878" s="37">
        <v>0</v>
      </c>
      <c r="C878" s="37">
        <v>3</v>
      </c>
      <c r="D878" s="37" t="s">
        <v>1440</v>
      </c>
      <c r="E878" s="37" t="s">
        <v>2693</v>
      </c>
      <c r="F878" s="37" t="s">
        <v>1235</v>
      </c>
      <c r="G878" s="37" t="str">
        <f>_xlfn.XLOOKUP(F878,notes!$B$12:$B$18,notes!$C$12:$C$18,"Unknown")</f>
        <v>Male</v>
      </c>
      <c r="H878" s="38">
        <v>20</v>
      </c>
      <c r="I878" s="39" t="str">
        <f>_xlfn.XLOOKUP(H878,notes!$B$4:$B$8,notes!$C$4:$C$8,"Invalid",-1)</f>
        <v>Adult</v>
      </c>
      <c r="J878" s="37">
        <v>0</v>
      </c>
      <c r="K878" s="37">
        <v>0</v>
      </c>
      <c r="L878" s="37">
        <f t="shared" si="54"/>
        <v>1</v>
      </c>
      <c r="M878" s="40" t="str">
        <f t="shared" si="52"/>
        <v>Not Survived</v>
      </c>
      <c r="N878" s="37" t="str">
        <f>_xlfn.XLOOKUP(L878,notes!$B$28:$B$30,notes!$C$28:$C$30,"Unknown",-1)</f>
        <v>Alone</v>
      </c>
      <c r="O878" s="37">
        <v>7534</v>
      </c>
      <c r="P878" s="37">
        <v>9.8458</v>
      </c>
      <c r="Q878" s="37" t="str">
        <f t="shared" si="55"/>
        <v>Low</v>
      </c>
      <c r="R878" s="37" t="s">
        <v>1236</v>
      </c>
      <c r="S878" s="37" t="s">
        <v>15</v>
      </c>
      <c r="T878" s="41" t="str">
        <f t="shared" si="53"/>
        <v>Southampton</v>
      </c>
    </row>
    <row r="879" spans="1:20">
      <c r="A879" s="37">
        <v>878</v>
      </c>
      <c r="B879" s="37">
        <v>0</v>
      </c>
      <c r="C879" s="37">
        <v>3</v>
      </c>
      <c r="D879" s="37" t="s">
        <v>1434</v>
      </c>
      <c r="E879" s="37" t="s">
        <v>2694</v>
      </c>
      <c r="F879" s="37" t="s">
        <v>1235</v>
      </c>
      <c r="G879" s="37" t="str">
        <f>_xlfn.XLOOKUP(F879,notes!$B$12:$B$18,notes!$C$12:$C$18,"Unknown")</f>
        <v>Male</v>
      </c>
      <c r="H879" s="38">
        <v>19</v>
      </c>
      <c r="I879" s="39" t="str">
        <f>_xlfn.XLOOKUP(H879,notes!$B$4:$B$8,notes!$C$4:$C$8,"Invalid",-1)</f>
        <v>Teenager</v>
      </c>
      <c r="J879" s="37">
        <v>0</v>
      </c>
      <c r="K879" s="37">
        <v>0</v>
      </c>
      <c r="L879" s="37">
        <f t="shared" si="54"/>
        <v>1</v>
      </c>
      <c r="M879" s="40" t="str">
        <f t="shared" si="52"/>
        <v>Not Survived</v>
      </c>
      <c r="N879" s="37" t="str">
        <f>_xlfn.XLOOKUP(L879,notes!$B$28:$B$30,notes!$C$28:$C$30,"Unknown",-1)</f>
        <v>Alone</v>
      </c>
      <c r="O879" s="37">
        <v>349212</v>
      </c>
      <c r="P879" s="37">
        <v>7.8958</v>
      </c>
      <c r="Q879" s="37" t="str">
        <f t="shared" si="55"/>
        <v>Low</v>
      </c>
      <c r="R879" s="37" t="s">
        <v>1236</v>
      </c>
      <c r="S879" s="37" t="s">
        <v>15</v>
      </c>
      <c r="T879" s="41" t="str">
        <f t="shared" si="53"/>
        <v>Southampton</v>
      </c>
    </row>
    <row r="880" spans="1:20">
      <c r="A880" s="37">
        <v>879</v>
      </c>
      <c r="B880" s="37">
        <v>0</v>
      </c>
      <c r="C880" s="37">
        <v>3</v>
      </c>
      <c r="D880" s="37" t="s">
        <v>2695</v>
      </c>
      <c r="E880" s="37" t="s">
        <v>2696</v>
      </c>
      <c r="F880" s="37" t="s">
        <v>1235</v>
      </c>
      <c r="G880" s="37" t="str">
        <f>_xlfn.XLOOKUP(F880,notes!$B$12:$B$18,notes!$C$12:$C$18,"Unknown")</f>
        <v>Male</v>
      </c>
      <c r="H880" s="38" t="s">
        <v>1236</v>
      </c>
      <c r="I880" s="39" t="str">
        <f>_xlfn.XLOOKUP(H880,notes!$B$4:$B$8,notes!$C$4:$C$8,"Invalid",-1)</f>
        <v>Unknown</v>
      </c>
      <c r="J880" s="37">
        <v>0</v>
      </c>
      <c r="K880" s="37">
        <v>0</v>
      </c>
      <c r="L880" s="37">
        <f t="shared" si="54"/>
        <v>1</v>
      </c>
      <c r="M880" s="40" t="str">
        <f t="shared" si="52"/>
        <v>Not Survived</v>
      </c>
      <c r="N880" s="37" t="str">
        <f>_xlfn.XLOOKUP(L880,notes!$B$28:$B$30,notes!$C$28:$C$30,"Unknown",-1)</f>
        <v>Alone</v>
      </c>
      <c r="O880" s="37">
        <v>349217</v>
      </c>
      <c r="P880" s="37">
        <v>7.8958</v>
      </c>
      <c r="Q880" s="37" t="str">
        <f t="shared" si="55"/>
        <v>Low</v>
      </c>
      <c r="R880" s="37" t="s">
        <v>1236</v>
      </c>
      <c r="S880" s="37" t="s">
        <v>15</v>
      </c>
      <c r="T880" s="41" t="str">
        <f t="shared" si="53"/>
        <v>Southampton</v>
      </c>
    </row>
    <row r="881" spans="1:20">
      <c r="A881" s="37">
        <v>880</v>
      </c>
      <c r="B881" s="37">
        <v>1</v>
      </c>
      <c r="C881" s="37">
        <v>1</v>
      </c>
      <c r="D881" s="37" t="s">
        <v>2697</v>
      </c>
      <c r="E881" s="37" t="s">
        <v>2698</v>
      </c>
      <c r="F881" s="37" t="s">
        <v>1239</v>
      </c>
      <c r="G881" s="37" t="str">
        <f>_xlfn.XLOOKUP(F881,notes!$B$12:$B$18,notes!$C$12:$C$18,"Unknown")</f>
        <v>Female</v>
      </c>
      <c r="H881" s="38">
        <v>56</v>
      </c>
      <c r="I881" s="39" t="str">
        <f>_xlfn.XLOOKUP(H881,notes!$B$4:$B$8,notes!$C$4:$C$8,"Invalid",-1)</f>
        <v>Adult</v>
      </c>
      <c r="J881" s="37">
        <v>0</v>
      </c>
      <c r="K881" s="37">
        <v>1</v>
      </c>
      <c r="L881" s="37">
        <f t="shared" si="54"/>
        <v>2</v>
      </c>
      <c r="M881" s="40" t="str">
        <f t="shared" si="52"/>
        <v>Survived</v>
      </c>
      <c r="N881" s="37" t="str">
        <f>_xlfn.XLOOKUP(L881,notes!$B$28:$B$30,notes!$C$28:$C$30,"Unknown",-1)</f>
        <v>Small Family</v>
      </c>
      <c r="O881" s="37">
        <v>11767</v>
      </c>
      <c r="P881" s="37">
        <v>83.1583</v>
      </c>
      <c r="Q881" s="37" t="str">
        <f t="shared" si="55"/>
        <v>High</v>
      </c>
      <c r="R881" s="37" t="s">
        <v>1207</v>
      </c>
      <c r="S881" s="37" t="s">
        <v>20</v>
      </c>
      <c r="T881" s="41" t="str">
        <f t="shared" si="53"/>
        <v>Cherbourg</v>
      </c>
    </row>
    <row r="882" spans="1:20">
      <c r="A882" s="37">
        <v>881</v>
      </c>
      <c r="B882" s="37">
        <v>1</v>
      </c>
      <c r="C882" s="37">
        <v>2</v>
      </c>
      <c r="D882" s="37" t="s">
        <v>2699</v>
      </c>
      <c r="E882" s="37" t="s">
        <v>2700</v>
      </c>
      <c r="F882" s="37" t="s">
        <v>1239</v>
      </c>
      <c r="G882" s="37" t="str">
        <f>_xlfn.XLOOKUP(F882,notes!$B$12:$B$18,notes!$C$12:$C$18,"Unknown")</f>
        <v>Female</v>
      </c>
      <c r="H882" s="38">
        <v>25</v>
      </c>
      <c r="I882" s="39" t="str">
        <f>_xlfn.XLOOKUP(H882,notes!$B$4:$B$8,notes!$C$4:$C$8,"Invalid",-1)</f>
        <v>Adult</v>
      </c>
      <c r="J882" s="37">
        <v>0</v>
      </c>
      <c r="K882" s="37">
        <v>1</v>
      </c>
      <c r="L882" s="37">
        <f t="shared" si="54"/>
        <v>2</v>
      </c>
      <c r="M882" s="40" t="str">
        <f t="shared" si="52"/>
        <v>Survived</v>
      </c>
      <c r="N882" s="37" t="str">
        <f>_xlfn.XLOOKUP(L882,notes!$B$28:$B$30,notes!$C$28:$C$30,"Unknown",-1)</f>
        <v>Small Family</v>
      </c>
      <c r="O882" s="37">
        <v>230433</v>
      </c>
      <c r="P882" s="37">
        <v>26</v>
      </c>
      <c r="Q882" s="37" t="str">
        <f t="shared" si="55"/>
        <v>Mid</v>
      </c>
      <c r="R882" s="37" t="s">
        <v>1236</v>
      </c>
      <c r="S882" s="37" t="s">
        <v>15</v>
      </c>
      <c r="T882" s="41" t="str">
        <f t="shared" si="53"/>
        <v>Southampton</v>
      </c>
    </row>
    <row r="883" spans="1:20">
      <c r="A883" s="37">
        <v>882</v>
      </c>
      <c r="B883" s="37">
        <v>0</v>
      </c>
      <c r="C883" s="37">
        <v>3</v>
      </c>
      <c r="D883" s="37" t="s">
        <v>2701</v>
      </c>
      <c r="E883" s="37" t="s">
        <v>2702</v>
      </c>
      <c r="F883" s="37" t="s">
        <v>1235</v>
      </c>
      <c r="G883" s="37" t="str">
        <f>_xlfn.XLOOKUP(F883,notes!$B$12:$B$18,notes!$C$12:$C$18,"Unknown")</f>
        <v>Male</v>
      </c>
      <c r="H883" s="38">
        <v>33</v>
      </c>
      <c r="I883" s="39" t="str">
        <f>_xlfn.XLOOKUP(H883,notes!$B$4:$B$8,notes!$C$4:$C$8,"Invalid",-1)</f>
        <v>Adult</v>
      </c>
      <c r="J883" s="37">
        <v>0</v>
      </c>
      <c r="K883" s="37">
        <v>0</v>
      </c>
      <c r="L883" s="37">
        <f t="shared" si="54"/>
        <v>1</v>
      </c>
      <c r="M883" s="40" t="str">
        <f t="shared" si="52"/>
        <v>Not Survived</v>
      </c>
      <c r="N883" s="37" t="str">
        <f>_xlfn.XLOOKUP(L883,notes!$B$28:$B$30,notes!$C$28:$C$30,"Unknown",-1)</f>
        <v>Alone</v>
      </c>
      <c r="O883" s="37">
        <v>349257</v>
      </c>
      <c r="P883" s="37">
        <v>7.8958</v>
      </c>
      <c r="Q883" s="37" t="str">
        <f t="shared" si="55"/>
        <v>Low</v>
      </c>
      <c r="R883" s="37" t="s">
        <v>1236</v>
      </c>
      <c r="S883" s="37" t="s">
        <v>15</v>
      </c>
      <c r="T883" s="41" t="str">
        <f t="shared" si="53"/>
        <v>Southampton</v>
      </c>
    </row>
    <row r="884" spans="1:20">
      <c r="A884" s="37">
        <v>883</v>
      </c>
      <c r="B884" s="37">
        <v>0</v>
      </c>
      <c r="C884" s="37">
        <v>3</v>
      </c>
      <c r="D884" s="37" t="s">
        <v>2703</v>
      </c>
      <c r="E884" s="37" t="s">
        <v>2704</v>
      </c>
      <c r="F884" s="37" t="s">
        <v>1242</v>
      </c>
      <c r="G884" s="37" t="str">
        <f>_xlfn.XLOOKUP(F884,notes!$B$12:$B$18,notes!$C$12:$C$18,"Unknown")</f>
        <v>Female</v>
      </c>
      <c r="H884" s="38">
        <v>22</v>
      </c>
      <c r="I884" s="39" t="str">
        <f>_xlfn.XLOOKUP(H884,notes!$B$4:$B$8,notes!$C$4:$C$8,"Invalid",-1)</f>
        <v>Adult</v>
      </c>
      <c r="J884" s="37">
        <v>0</v>
      </c>
      <c r="K884" s="37">
        <v>0</v>
      </c>
      <c r="L884" s="37">
        <f t="shared" si="54"/>
        <v>1</v>
      </c>
      <c r="M884" s="40" t="str">
        <f t="shared" si="52"/>
        <v>Not Survived</v>
      </c>
      <c r="N884" s="37" t="str">
        <f>_xlfn.XLOOKUP(L884,notes!$B$28:$B$30,notes!$C$28:$C$30,"Unknown",-1)</f>
        <v>Alone</v>
      </c>
      <c r="O884" s="37">
        <v>7552</v>
      </c>
      <c r="P884" s="37">
        <v>10.5167</v>
      </c>
      <c r="Q884" s="37" t="str">
        <f t="shared" si="55"/>
        <v>Mid</v>
      </c>
      <c r="R884" s="37" t="s">
        <v>1236</v>
      </c>
      <c r="S884" s="37" t="s">
        <v>15</v>
      </c>
      <c r="T884" s="41" t="str">
        <f t="shared" si="53"/>
        <v>Southampton</v>
      </c>
    </row>
    <row r="885" spans="1:20">
      <c r="A885" s="37">
        <v>884</v>
      </c>
      <c r="B885" s="37">
        <v>0</v>
      </c>
      <c r="C885" s="37">
        <v>2</v>
      </c>
      <c r="D885" s="37" t="s">
        <v>2705</v>
      </c>
      <c r="E885" s="37" t="s">
        <v>2706</v>
      </c>
      <c r="F885" s="37" t="s">
        <v>1235</v>
      </c>
      <c r="G885" s="37" t="str">
        <f>_xlfn.XLOOKUP(F885,notes!$B$12:$B$18,notes!$C$12:$C$18,"Unknown")</f>
        <v>Male</v>
      </c>
      <c r="H885" s="38">
        <v>28</v>
      </c>
      <c r="I885" s="39" t="str">
        <f>_xlfn.XLOOKUP(H885,notes!$B$4:$B$8,notes!$C$4:$C$8,"Invalid",-1)</f>
        <v>Adult</v>
      </c>
      <c r="J885" s="37">
        <v>0</v>
      </c>
      <c r="K885" s="37">
        <v>0</v>
      </c>
      <c r="L885" s="37">
        <f t="shared" si="54"/>
        <v>1</v>
      </c>
      <c r="M885" s="40" t="str">
        <f t="shared" si="52"/>
        <v>Not Survived</v>
      </c>
      <c r="N885" s="37" t="str">
        <f>_xlfn.XLOOKUP(L885,notes!$B$28:$B$30,notes!$C$28:$C$30,"Unknown",-1)</f>
        <v>Alone</v>
      </c>
      <c r="O885" s="37" t="s">
        <v>1212</v>
      </c>
      <c r="P885" s="37">
        <v>10.5</v>
      </c>
      <c r="Q885" s="37" t="str">
        <f t="shared" si="55"/>
        <v>Mid</v>
      </c>
      <c r="R885" s="37" t="s">
        <v>1236</v>
      </c>
      <c r="S885" s="37" t="s">
        <v>15</v>
      </c>
      <c r="T885" s="41" t="str">
        <f t="shared" si="53"/>
        <v>Southampton</v>
      </c>
    </row>
    <row r="886" spans="1:20">
      <c r="A886" s="37">
        <v>885</v>
      </c>
      <c r="B886" s="37">
        <v>0</v>
      </c>
      <c r="C886" s="37">
        <v>3</v>
      </c>
      <c r="D886" s="37" t="s">
        <v>2707</v>
      </c>
      <c r="E886" s="37" t="s">
        <v>2708</v>
      </c>
      <c r="F886" s="37" t="s">
        <v>1235</v>
      </c>
      <c r="G886" s="37" t="str">
        <f>_xlfn.XLOOKUP(F886,notes!$B$12:$B$18,notes!$C$12:$C$18,"Unknown")</f>
        <v>Male</v>
      </c>
      <c r="H886" s="38">
        <v>25</v>
      </c>
      <c r="I886" s="39" t="str">
        <f>_xlfn.XLOOKUP(H886,notes!$B$4:$B$8,notes!$C$4:$C$8,"Invalid",-1)</f>
        <v>Adult</v>
      </c>
      <c r="J886" s="37">
        <v>0</v>
      </c>
      <c r="K886" s="37">
        <v>0</v>
      </c>
      <c r="L886" s="37">
        <f t="shared" si="54"/>
        <v>1</v>
      </c>
      <c r="M886" s="40" t="str">
        <f t="shared" si="52"/>
        <v>Not Survived</v>
      </c>
      <c r="N886" s="37" t="str">
        <f>_xlfn.XLOOKUP(L886,notes!$B$28:$B$30,notes!$C$28:$C$30,"Unknown",-1)</f>
        <v>Alone</v>
      </c>
      <c r="O886" s="37" t="s">
        <v>1214</v>
      </c>
      <c r="P886" s="37">
        <v>7.05</v>
      </c>
      <c r="Q886" s="37" t="str">
        <f t="shared" si="55"/>
        <v>Low</v>
      </c>
      <c r="R886" s="37" t="s">
        <v>1236</v>
      </c>
      <c r="S886" s="37" t="s">
        <v>15</v>
      </c>
      <c r="T886" s="41" t="str">
        <f t="shared" si="53"/>
        <v>Southampton</v>
      </c>
    </row>
    <row r="887" spans="1:20">
      <c r="A887" s="37">
        <v>886</v>
      </c>
      <c r="B887" s="37">
        <v>0</v>
      </c>
      <c r="C887" s="37">
        <v>3</v>
      </c>
      <c r="D887" s="37" t="s">
        <v>1269</v>
      </c>
      <c r="E887" s="37" t="s">
        <v>2709</v>
      </c>
      <c r="F887" s="37" t="s">
        <v>1239</v>
      </c>
      <c r="G887" s="37" t="str">
        <f>_xlfn.XLOOKUP(F887,notes!$B$12:$B$18,notes!$C$12:$C$18,"Unknown")</f>
        <v>Female</v>
      </c>
      <c r="H887" s="38">
        <v>39</v>
      </c>
      <c r="I887" s="39" t="str">
        <f>_xlfn.XLOOKUP(H887,notes!$B$4:$B$8,notes!$C$4:$C$8,"Invalid",-1)</f>
        <v>Adult</v>
      </c>
      <c r="J887" s="37">
        <v>0</v>
      </c>
      <c r="K887" s="37">
        <v>5</v>
      </c>
      <c r="L887" s="37">
        <f t="shared" si="54"/>
        <v>6</v>
      </c>
      <c r="M887" s="40" t="str">
        <f t="shared" si="52"/>
        <v>Not Survived</v>
      </c>
      <c r="N887" s="37" t="str">
        <f>_xlfn.XLOOKUP(L887,notes!$B$28:$B$30,notes!$C$28:$C$30,"Unknown",-1)</f>
        <v>Large Family</v>
      </c>
      <c r="O887" s="37">
        <v>382652</v>
      </c>
      <c r="P887" s="37">
        <v>29.125</v>
      </c>
      <c r="Q887" s="37" t="str">
        <f t="shared" si="55"/>
        <v>Mid</v>
      </c>
      <c r="R887" s="37" t="s">
        <v>1236</v>
      </c>
      <c r="S887" s="37" t="s">
        <v>28</v>
      </c>
      <c r="T887" s="41" t="str">
        <f t="shared" si="53"/>
        <v>Queenstown</v>
      </c>
    </row>
    <row r="888" spans="1:20">
      <c r="A888" s="37">
        <v>887</v>
      </c>
      <c r="B888" s="37">
        <v>0</v>
      </c>
      <c r="C888" s="37">
        <v>2</v>
      </c>
      <c r="D888" s="37" t="s">
        <v>2710</v>
      </c>
      <c r="E888" s="37" t="s">
        <v>2711</v>
      </c>
      <c r="F888" s="37" t="s">
        <v>1522</v>
      </c>
      <c r="G888" s="37" t="str">
        <f>_xlfn.XLOOKUP(F888,notes!$B$12:$B$18,notes!$C$12:$C$18,"Unknown")</f>
        <v>Male</v>
      </c>
      <c r="H888" s="38">
        <v>27</v>
      </c>
      <c r="I888" s="39" t="str">
        <f>_xlfn.XLOOKUP(H888,notes!$B$4:$B$8,notes!$C$4:$C$8,"Invalid",-1)</f>
        <v>Adult</v>
      </c>
      <c r="J888" s="37">
        <v>0</v>
      </c>
      <c r="K888" s="37">
        <v>0</v>
      </c>
      <c r="L888" s="37">
        <f t="shared" si="54"/>
        <v>1</v>
      </c>
      <c r="M888" s="40" t="str">
        <f t="shared" si="52"/>
        <v>Not Survived</v>
      </c>
      <c r="N888" s="37" t="str">
        <f>_xlfn.XLOOKUP(L888,notes!$B$28:$B$30,notes!$C$28:$C$30,"Unknown",-1)</f>
        <v>Alone</v>
      </c>
      <c r="O888" s="37">
        <v>211536</v>
      </c>
      <c r="P888" s="37">
        <v>13</v>
      </c>
      <c r="Q888" s="37" t="str">
        <f t="shared" si="55"/>
        <v>Mid</v>
      </c>
      <c r="R888" s="37" t="s">
        <v>1236</v>
      </c>
      <c r="S888" s="37" t="s">
        <v>15</v>
      </c>
      <c r="T888" s="41" t="str">
        <f t="shared" si="53"/>
        <v>Southampton</v>
      </c>
    </row>
    <row r="889" spans="1:20">
      <c r="A889" s="37">
        <v>888</v>
      </c>
      <c r="B889" s="37">
        <v>1</v>
      </c>
      <c r="C889" s="37">
        <v>1</v>
      </c>
      <c r="D889" s="37" t="s">
        <v>1733</v>
      </c>
      <c r="E889" s="37" t="s">
        <v>2712</v>
      </c>
      <c r="F889" s="37" t="s">
        <v>1242</v>
      </c>
      <c r="G889" s="37" t="str">
        <f>_xlfn.XLOOKUP(F889,notes!$B$12:$B$18,notes!$C$12:$C$18,"Unknown")</f>
        <v>Female</v>
      </c>
      <c r="H889" s="38">
        <v>19</v>
      </c>
      <c r="I889" s="39" t="str">
        <f>_xlfn.XLOOKUP(H889,notes!$B$4:$B$8,notes!$C$4:$C$8,"Invalid",-1)</f>
        <v>Teenager</v>
      </c>
      <c r="J889" s="37">
        <v>0</v>
      </c>
      <c r="K889" s="37">
        <v>0</v>
      </c>
      <c r="L889" s="37">
        <f t="shared" si="54"/>
        <v>1</v>
      </c>
      <c r="M889" s="40" t="str">
        <f t="shared" si="52"/>
        <v>Survived</v>
      </c>
      <c r="N889" s="37" t="str">
        <f>_xlfn.XLOOKUP(L889,notes!$B$28:$B$30,notes!$C$28:$C$30,"Unknown",-1)</f>
        <v>Alone</v>
      </c>
      <c r="O889" s="37">
        <v>112053</v>
      </c>
      <c r="P889" s="37">
        <v>30</v>
      </c>
      <c r="Q889" s="37" t="str">
        <f t="shared" si="55"/>
        <v>Mid</v>
      </c>
      <c r="R889" s="37" t="s">
        <v>1218</v>
      </c>
      <c r="S889" s="37" t="s">
        <v>15</v>
      </c>
      <c r="T889" s="41" t="str">
        <f t="shared" si="53"/>
        <v>Southampton</v>
      </c>
    </row>
    <row r="890" spans="1:20">
      <c r="A890" s="37">
        <v>889</v>
      </c>
      <c r="B890" s="37">
        <v>0</v>
      </c>
      <c r="C890" s="37">
        <v>3</v>
      </c>
      <c r="D890" s="37" t="s">
        <v>2560</v>
      </c>
      <c r="E890" s="37" t="s">
        <v>2713</v>
      </c>
      <c r="F890" s="37" t="s">
        <v>1242</v>
      </c>
      <c r="G890" s="37" t="str">
        <f>_xlfn.XLOOKUP(F890,notes!$B$12:$B$18,notes!$C$12:$C$18,"Unknown")</f>
        <v>Female</v>
      </c>
      <c r="H890" s="38" t="s">
        <v>1236</v>
      </c>
      <c r="I890" s="39" t="str">
        <f>_xlfn.XLOOKUP(H890,notes!$B$4:$B$8,notes!$C$4:$C$8,"Invalid",-1)</f>
        <v>Unknown</v>
      </c>
      <c r="J890" s="37">
        <v>1</v>
      </c>
      <c r="K890" s="37">
        <v>2</v>
      </c>
      <c r="L890" s="37">
        <f t="shared" si="54"/>
        <v>4</v>
      </c>
      <c r="M890" s="40" t="str">
        <f t="shared" si="52"/>
        <v>Not Survived</v>
      </c>
      <c r="N890" s="37" t="str">
        <f>_xlfn.XLOOKUP(L890,notes!$B$28:$B$30,notes!$C$28:$C$30,"Unknown",-1)</f>
        <v>Large Family</v>
      </c>
      <c r="O890" s="37" t="s">
        <v>1089</v>
      </c>
      <c r="P890" s="37">
        <v>23.45</v>
      </c>
      <c r="Q890" s="37" t="str">
        <f t="shared" si="55"/>
        <v>Mid</v>
      </c>
      <c r="R890" s="37" t="s">
        <v>1236</v>
      </c>
      <c r="S890" s="37" t="s">
        <v>15</v>
      </c>
      <c r="T890" s="41" t="str">
        <f t="shared" si="53"/>
        <v>Southampton</v>
      </c>
    </row>
    <row r="891" spans="1:20">
      <c r="A891" s="37">
        <v>890</v>
      </c>
      <c r="B891" s="37">
        <v>1</v>
      </c>
      <c r="C891" s="37">
        <v>1</v>
      </c>
      <c r="D891" s="37" t="s">
        <v>2714</v>
      </c>
      <c r="E891" s="37" t="s">
        <v>2715</v>
      </c>
      <c r="F891" s="37" t="s">
        <v>1235</v>
      </c>
      <c r="G891" s="37" t="str">
        <f>_xlfn.XLOOKUP(F891,notes!$B$12:$B$18,notes!$C$12:$C$18,"Unknown")</f>
        <v>Male</v>
      </c>
      <c r="H891" s="38">
        <v>26</v>
      </c>
      <c r="I891" s="39" t="str">
        <f>_xlfn.XLOOKUP(H891,notes!$B$4:$B$8,notes!$C$4:$C$8,"Invalid",-1)</f>
        <v>Adult</v>
      </c>
      <c r="J891" s="37">
        <v>0</v>
      </c>
      <c r="K891" s="37">
        <v>0</v>
      </c>
      <c r="L891" s="37">
        <f t="shared" si="54"/>
        <v>1</v>
      </c>
      <c r="M891" s="40" t="str">
        <f t="shared" si="52"/>
        <v>Survived</v>
      </c>
      <c r="N891" s="37" t="str">
        <f>_xlfn.XLOOKUP(L891,notes!$B$28:$B$30,notes!$C$28:$C$30,"Unknown",-1)</f>
        <v>Alone</v>
      </c>
      <c r="O891" s="37">
        <v>111369</v>
      </c>
      <c r="P891" s="37">
        <v>30</v>
      </c>
      <c r="Q891" s="37" t="str">
        <f t="shared" si="55"/>
        <v>Mid</v>
      </c>
      <c r="R891" s="37" t="s">
        <v>1221</v>
      </c>
      <c r="S891" s="37" t="s">
        <v>20</v>
      </c>
      <c r="T891" s="41" t="str">
        <f t="shared" si="53"/>
        <v>Cherbourg</v>
      </c>
    </row>
    <row r="892" spans="1:20">
      <c r="A892" s="37">
        <v>891</v>
      </c>
      <c r="B892" s="37">
        <v>0</v>
      </c>
      <c r="C892" s="37">
        <v>3</v>
      </c>
      <c r="D892" s="37" t="s">
        <v>2716</v>
      </c>
      <c r="E892" s="37" t="s">
        <v>1463</v>
      </c>
      <c r="F892" s="37" t="s">
        <v>1235</v>
      </c>
      <c r="G892" s="37" t="str">
        <f>_xlfn.XLOOKUP(F892,notes!$B$12:$B$18,notes!$C$12:$C$18,"Unknown")</f>
        <v>Male</v>
      </c>
      <c r="H892" s="38">
        <v>32</v>
      </c>
      <c r="I892" s="39" t="str">
        <f>_xlfn.XLOOKUP(H892,notes!$B$4:$B$8,notes!$C$4:$C$8,"Invalid",-1)</f>
        <v>Adult</v>
      </c>
      <c r="J892" s="37">
        <v>0</v>
      </c>
      <c r="K892" s="37">
        <v>0</v>
      </c>
      <c r="L892" s="37">
        <f t="shared" si="54"/>
        <v>1</v>
      </c>
      <c r="M892" s="40" t="str">
        <f t="shared" si="52"/>
        <v>Not Survived</v>
      </c>
      <c r="N892" s="37" t="str">
        <f>_xlfn.XLOOKUP(L892,notes!$B$28:$B$30,notes!$C$28:$C$30,"Unknown",-1)</f>
        <v>Alone</v>
      </c>
      <c r="O892" s="37">
        <v>370376</v>
      </c>
      <c r="P892" s="37">
        <v>7.75</v>
      </c>
      <c r="Q892" s="37" t="str">
        <f t="shared" si="55"/>
        <v>Low</v>
      </c>
      <c r="R892" s="37" t="s">
        <v>1236</v>
      </c>
      <c r="S892" s="37" t="s">
        <v>28</v>
      </c>
      <c r="T892" s="41" t="str">
        <f t="shared" si="53"/>
        <v>Queenstown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03"/>
  <sheetViews>
    <sheetView workbookViewId="0">
      <selection activeCell="E49" sqref="E49"/>
    </sheetView>
  </sheetViews>
  <sheetFormatPr defaultColWidth="8.72727272727273" defaultRowHeight="14.5" outlineLevelCol="5"/>
  <cols>
    <col min="1" max="1" width="20"/>
    <col min="2" max="3" width="16.6363636363636"/>
    <col min="4" max="6" width="11.5454545454545"/>
    <col min="7" max="7" width="13.0909090909091" customWidth="1"/>
    <col min="8" max="8" width="24.2727272727273"/>
    <col min="9" max="9" width="25.5454545454545"/>
    <col min="10" max="11" width="7.54545454545455"/>
    <col min="12" max="12" width="7.18181818181818"/>
    <col min="13" max="13" width="11.5454545454545"/>
  </cols>
  <sheetData>
    <row r="2" spans="1:2">
      <c r="A2" s="32" t="s">
        <v>2717</v>
      </c>
      <c r="B2" s="32"/>
    </row>
    <row r="4" spans="1:2">
      <c r="A4" t="s">
        <v>1226</v>
      </c>
      <c r="B4" t="s">
        <v>2718</v>
      </c>
    </row>
    <row r="5" spans="1:2">
      <c r="A5" t="s">
        <v>2719</v>
      </c>
      <c r="B5" s="33">
        <v>0.736156351791531</v>
      </c>
    </row>
    <row r="6" spans="1:2">
      <c r="A6" t="s">
        <v>2720</v>
      </c>
      <c r="B6" s="33">
        <v>0.188811188811189</v>
      </c>
    </row>
    <row r="7" spans="1:2">
      <c r="A7" t="s">
        <v>1236</v>
      </c>
      <c r="B7" s="33">
        <v>0.666666666666667</v>
      </c>
    </row>
    <row r="8" spans="1:2">
      <c r="A8" t="s">
        <v>2721</v>
      </c>
      <c r="B8" s="33">
        <v>0.383838383838384</v>
      </c>
    </row>
    <row r="17" spans="1:5">
      <c r="A17" s="34" t="s">
        <v>2722</v>
      </c>
      <c r="B17" s="34"/>
      <c r="C17" s="34"/>
    </row>
    <row r="18" spans="1:5">
      <c r="A18" s="35"/>
      <c r="B18" s="35"/>
    </row>
    <row r="19" spans="1:5">
      <c r="A19" t="s">
        <v>2718</v>
      </c>
      <c r="B19" t="s">
        <v>1226</v>
      </c>
    </row>
    <row r="20" spans="1:5">
      <c r="A20" t="s">
        <v>2</v>
      </c>
      <c r="B20" t="s">
        <v>2719</v>
      </c>
      <c r="C20" t="s">
        <v>2720</v>
      </c>
      <c r="D20" t="s">
        <v>1236</v>
      </c>
      <c r="E20" t="s">
        <v>2721</v>
      </c>
    </row>
    <row r="21" spans="1:5">
      <c r="A21">
        <v>1</v>
      </c>
      <c r="B21" s="33">
        <v>0.965909090909091</v>
      </c>
      <c r="C21" s="33">
        <v>0.376068376068376</v>
      </c>
      <c r="D21" s="33">
        <v>0.636363636363636</v>
      </c>
      <c r="E21" s="33">
        <v>0.62962962962963</v>
      </c>
    </row>
    <row r="22" spans="1:5">
      <c r="A22">
        <v>2</v>
      </c>
      <c r="B22" s="33">
        <v>0.92</v>
      </c>
      <c r="C22" s="33">
        <v>0.157407407407407</v>
      </c>
      <c r="D22" s="33">
        <v>1</v>
      </c>
      <c r="E22" s="33">
        <v>0.472826086956522</v>
      </c>
    </row>
    <row r="23" spans="1:5">
      <c r="A23">
        <v>3</v>
      </c>
      <c r="B23" s="33">
        <v>0.5</v>
      </c>
      <c r="C23" s="33">
        <v>0.135446685878963</v>
      </c>
      <c r="D23" s="33"/>
      <c r="E23" s="33">
        <v>0.242362525458248</v>
      </c>
    </row>
    <row r="24" spans="1:5">
      <c r="A24" t="s">
        <v>2721</v>
      </c>
      <c r="B24" s="33">
        <v>0.736156351791531</v>
      </c>
      <c r="C24" s="33">
        <v>0.188811188811189</v>
      </c>
      <c r="D24" s="33">
        <v>0.666666666666667</v>
      </c>
      <c r="E24" s="33">
        <v>0.383838383838384</v>
      </c>
    </row>
    <row r="27" spans="1:5">
      <c r="B27" s="33"/>
      <c r="C27" s="33"/>
      <c r="D27" s="33"/>
    </row>
    <row r="28" spans="1:5">
      <c r="B28" s="33"/>
      <c r="C28" s="33"/>
      <c r="D28" s="33"/>
    </row>
    <row r="29" spans="1:5">
      <c r="B29" s="33"/>
      <c r="C29" s="33"/>
      <c r="D29" s="33"/>
    </row>
    <row r="30" spans="1:5">
      <c r="B30" s="33"/>
      <c r="C30" s="33"/>
      <c r="D30" s="33"/>
    </row>
    <row r="31" spans="1:5">
      <c r="B31" s="33"/>
      <c r="C31" s="33"/>
      <c r="D31" s="33"/>
    </row>
    <row r="32" spans="1:5">
      <c r="B32" s="33"/>
      <c r="C32" s="33"/>
      <c r="D32" s="33"/>
    </row>
    <row r="33" spans="1:4">
      <c r="A33" s="32" t="s">
        <v>2723</v>
      </c>
      <c r="B33" s="32"/>
    </row>
    <row r="35" spans="1:4">
      <c r="A35" t="s">
        <v>2724</v>
      </c>
      <c r="B35" t="s">
        <v>1229</v>
      </c>
    </row>
    <row r="36" spans="1:4">
      <c r="A36" t="s">
        <v>1228</v>
      </c>
      <c r="B36" t="s">
        <v>2725</v>
      </c>
      <c r="C36" t="s">
        <v>1</v>
      </c>
      <c r="D36" t="s">
        <v>2721</v>
      </c>
    </row>
    <row r="37" spans="1:4">
      <c r="A37">
        <v>1</v>
      </c>
      <c r="B37">
        <v>374</v>
      </c>
      <c r="C37">
        <v>163</v>
      </c>
      <c r="D37">
        <v>537</v>
      </c>
    </row>
    <row r="38" spans="1:4">
      <c r="A38">
        <v>2</v>
      </c>
      <c r="B38">
        <v>72</v>
      </c>
      <c r="C38">
        <v>89</v>
      </c>
      <c r="D38">
        <v>161</v>
      </c>
    </row>
    <row r="39" spans="1:4">
      <c r="A39">
        <v>3</v>
      </c>
      <c r="B39">
        <v>43</v>
      </c>
      <c r="C39">
        <v>59</v>
      </c>
      <c r="D39">
        <v>102</v>
      </c>
    </row>
    <row r="40" spans="1:4">
      <c r="A40">
        <v>4</v>
      </c>
      <c r="B40">
        <v>8</v>
      </c>
      <c r="C40">
        <v>21</v>
      </c>
      <c r="D40">
        <v>29</v>
      </c>
    </row>
    <row r="41" spans="1:4">
      <c r="A41">
        <v>5</v>
      </c>
      <c r="B41">
        <v>12</v>
      </c>
      <c r="C41">
        <v>3</v>
      </c>
      <c r="D41">
        <v>15</v>
      </c>
    </row>
    <row r="42" spans="1:4">
      <c r="A42">
        <v>6</v>
      </c>
      <c r="B42">
        <v>19</v>
      </c>
      <c r="C42">
        <v>3</v>
      </c>
      <c r="D42">
        <v>22</v>
      </c>
    </row>
    <row r="43" spans="1:4">
      <c r="A43">
        <v>7</v>
      </c>
      <c r="B43">
        <v>8</v>
      </c>
      <c r="C43">
        <v>4</v>
      </c>
      <c r="D43">
        <v>12</v>
      </c>
    </row>
    <row r="44" spans="1:4">
      <c r="A44">
        <v>8</v>
      </c>
      <c r="B44">
        <v>6</v>
      </c>
      <c r="D44">
        <v>6</v>
      </c>
    </row>
    <row r="45" spans="1:4">
      <c r="A45">
        <v>11</v>
      </c>
      <c r="B45">
        <v>7</v>
      </c>
      <c r="D45">
        <v>7</v>
      </c>
    </row>
    <row r="46" spans="1:4">
      <c r="A46" t="s">
        <v>2721</v>
      </c>
      <c r="B46">
        <v>549</v>
      </c>
      <c r="C46">
        <v>342</v>
      </c>
      <c r="D46">
        <v>891</v>
      </c>
    </row>
    <row r="54" spans="1:3">
      <c r="A54" s="32" t="s">
        <v>2726</v>
      </c>
      <c r="B54" s="32"/>
      <c r="C54" s="32"/>
    </row>
    <row r="56" spans="1:3">
      <c r="A56" t="s">
        <v>1227</v>
      </c>
      <c r="B56" t="s">
        <v>2718</v>
      </c>
      <c r="C56" t="s">
        <v>2727</v>
      </c>
    </row>
    <row r="57" spans="1:3">
      <c r="A57" t="s">
        <v>2728</v>
      </c>
      <c r="B57" s="36">
        <v>0.389312977099237</v>
      </c>
      <c r="C57">
        <v>524</v>
      </c>
    </row>
    <row r="58" spans="1:3">
      <c r="A58" t="s">
        <v>2729</v>
      </c>
      <c r="B58" s="36">
        <v>0.269230769230769</v>
      </c>
      <c r="C58">
        <v>26</v>
      </c>
    </row>
    <row r="59" spans="1:3">
      <c r="A59" t="s">
        <v>2730</v>
      </c>
      <c r="B59" s="36">
        <v>0.579710144927536</v>
      </c>
      <c r="C59">
        <v>69</v>
      </c>
    </row>
    <row r="60" spans="1:3">
      <c r="A60" t="s">
        <v>2731</v>
      </c>
      <c r="B60" s="36">
        <v>0.410526315789474</v>
      </c>
      <c r="C60">
        <v>95</v>
      </c>
    </row>
    <row r="61" spans="1:3">
      <c r="A61" t="s">
        <v>1236</v>
      </c>
      <c r="B61" s="36">
        <v>0.293785310734463</v>
      </c>
      <c r="C61">
        <v>177</v>
      </c>
    </row>
    <row r="62" spans="1:3">
      <c r="A62" t="s">
        <v>2721</v>
      </c>
      <c r="B62" s="36">
        <v>0.383838383838384</v>
      </c>
      <c r="C62">
        <v>891</v>
      </c>
    </row>
    <row r="68" spans="1:3">
      <c r="B68" s="36"/>
    </row>
    <row r="77" spans="1:3">
      <c r="A77" s="32" t="s">
        <v>2732</v>
      </c>
      <c r="B77" s="32"/>
      <c r="C77" s="32"/>
    </row>
    <row r="80" spans="1:3">
      <c r="A80" t="s">
        <v>1226</v>
      </c>
      <c r="B80" t="s">
        <v>2719</v>
      </c>
    </row>
    <row r="82" spans="1:6">
      <c r="A82" t="s">
        <v>2718</v>
      </c>
      <c r="B82" t="s">
        <v>2</v>
      </c>
    </row>
    <row r="83" spans="1:6">
      <c r="A83" t="s">
        <v>1232</v>
      </c>
      <c r="B83">
        <v>1</v>
      </c>
      <c r="C83">
        <v>2</v>
      </c>
      <c r="D83">
        <v>3</v>
      </c>
      <c r="E83" t="s">
        <v>2721</v>
      </c>
    </row>
    <row r="84" spans="1:6">
      <c r="A84" t="s">
        <v>2733</v>
      </c>
      <c r="B84" s="36">
        <v>0.974358974358974</v>
      </c>
      <c r="C84" s="36">
        <v>1</v>
      </c>
      <c r="D84" s="36">
        <v>0.652173913043478</v>
      </c>
      <c r="E84" s="36">
        <v>0.869565217391304</v>
      </c>
    </row>
    <row r="85" spans="1:6">
      <c r="A85" t="s">
        <v>2734</v>
      </c>
      <c r="B85" s="36">
        <v>1</v>
      </c>
      <c r="C85" s="36">
        <v>1</v>
      </c>
      <c r="D85" s="36">
        <v>0.727272727272727</v>
      </c>
      <c r="E85" s="36">
        <v>0.75</v>
      </c>
    </row>
    <row r="86" spans="1:6">
      <c r="A86" t="s">
        <v>2735</v>
      </c>
      <c r="B86" s="36">
        <v>0.956521739130435</v>
      </c>
      <c r="C86" s="36">
        <v>0.909090909090909</v>
      </c>
      <c r="D86" s="36">
        <v>0.375</v>
      </c>
      <c r="E86" s="36">
        <v>0.685</v>
      </c>
    </row>
    <row r="87" spans="1:6">
      <c r="A87" t="s">
        <v>1236</v>
      </c>
      <c r="B87" s="36">
        <v>1</v>
      </c>
      <c r="C87" s="36"/>
      <c r="D87" s="36"/>
      <c r="E87" s="36">
        <v>1</v>
      </c>
    </row>
    <row r="88" spans="1:6">
      <c r="A88" t="s">
        <v>2721</v>
      </c>
      <c r="B88" s="36">
        <v>0.965909090909091</v>
      </c>
      <c r="C88" s="36">
        <v>0.92</v>
      </c>
      <c r="D88" s="36">
        <v>0.5</v>
      </c>
      <c r="E88" s="36">
        <v>0.736156351791531</v>
      </c>
    </row>
    <row r="90" spans="1:6">
      <c r="F90" t="s">
        <v>2736</v>
      </c>
    </row>
    <row r="95" spans="1:6">
      <c r="A95" s="32" t="s">
        <v>2737</v>
      </c>
      <c r="B95" s="32"/>
      <c r="C95" s="32"/>
    </row>
    <row r="97" spans="1:5">
      <c r="A97" t="s">
        <v>2718</v>
      </c>
      <c r="B97" t="s">
        <v>1231</v>
      </c>
    </row>
    <row r="98" spans="1:5">
      <c r="A98" t="s">
        <v>1232</v>
      </c>
      <c r="B98" t="s">
        <v>2738</v>
      </c>
      <c r="C98" t="s">
        <v>2739</v>
      </c>
      <c r="D98" t="s">
        <v>2740</v>
      </c>
      <c r="E98" t="s">
        <v>2721</v>
      </c>
    </row>
    <row r="99" spans="1:5">
      <c r="A99" t="s">
        <v>2733</v>
      </c>
      <c r="B99" s="36">
        <v>0.786885245901639</v>
      </c>
      <c r="C99" s="36">
        <v>0.243243243243243</v>
      </c>
      <c r="D99" s="36">
        <v>0.514285714285714</v>
      </c>
      <c r="E99" s="36">
        <v>0.553571428571429</v>
      </c>
    </row>
    <row r="100" spans="1:5">
      <c r="A100" t="s">
        <v>2734</v>
      </c>
      <c r="B100" s="36">
        <v>0.5</v>
      </c>
      <c r="C100" s="36">
        <v>0.388888888888889</v>
      </c>
      <c r="D100" s="36">
        <v>0.380952380952381</v>
      </c>
      <c r="E100" s="36">
        <v>0.38961038961039</v>
      </c>
    </row>
    <row r="101" spans="1:5">
      <c r="A101" t="s">
        <v>2735</v>
      </c>
      <c r="B101" s="36">
        <v>0.604166666666667</v>
      </c>
      <c r="C101" s="36">
        <v>0.151020408163265</v>
      </c>
      <c r="D101" s="36">
        <v>0.402640264026403</v>
      </c>
      <c r="E101" s="36">
        <v>0.33695652173913</v>
      </c>
    </row>
    <row r="102" spans="1:5">
      <c r="A102" t="s">
        <v>1236</v>
      </c>
      <c r="B102" s="36">
        <v>1</v>
      </c>
      <c r="C102" s="36"/>
      <c r="D102" s="36"/>
      <c r="E102" s="36">
        <v>1</v>
      </c>
    </row>
    <row r="103" spans="1:5">
      <c r="A103" t="s">
        <v>2721</v>
      </c>
      <c r="B103" s="36">
        <v>0.677018633540373</v>
      </c>
      <c r="C103" s="36">
        <v>0.199404761904762</v>
      </c>
      <c r="D103" s="36">
        <v>0.421319796954315</v>
      </c>
      <c r="E103" s="36">
        <v>0.383838383838384</v>
      </c>
    </row>
  </sheetData>
  <mergeCells count="6">
    <mergeCell ref="A2:B2"/>
    <mergeCell ref="A17:C17"/>
    <mergeCell ref="A33:B33"/>
    <mergeCell ref="A54:C54"/>
    <mergeCell ref="A77:C77"/>
    <mergeCell ref="A95:C95"/>
  </mergeCells>
  <pageMargins left="0.75" right="0.75" top="1" bottom="1" header="0.5" footer="0.5"/>
  <headerFooter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2:O11"/>
  <sheetViews>
    <sheetView tabSelected="1" zoomScale="79" zoomScaleNormal="79" workbookViewId="0">
      <selection activeCell="B7" sqref="B7"/>
    </sheetView>
  </sheetViews>
  <sheetFormatPr defaultColWidth="8.72727272727273" defaultRowHeight="14.5"/>
  <cols>
    <col min="14" max="14" width="12.6454545454545" customWidth="1"/>
  </cols>
  <sheetData>
    <row r="2" spans="8:15">
      <c r="H2" s="10" t="s">
        <v>2741</v>
      </c>
      <c r="I2" s="11"/>
      <c r="J2" s="11"/>
      <c r="K2" s="11"/>
      <c r="L2" s="11"/>
      <c r="M2" s="11"/>
      <c r="N2" s="11"/>
      <c r="O2" s="12"/>
    </row>
    <row r="3" spans="8:15">
      <c r="H3" s="13"/>
      <c r="I3" s="14"/>
      <c r="J3" s="14"/>
      <c r="K3" s="14"/>
      <c r="L3" s="14"/>
      <c r="M3" s="14"/>
      <c r="N3" s="14"/>
      <c r="O3" s="15"/>
    </row>
    <row r="4" spans="8:15">
      <c r="H4" s="16"/>
      <c r="I4" s="17"/>
      <c r="J4" s="17"/>
      <c r="K4" s="17"/>
      <c r="L4" s="17"/>
      <c r="M4" s="17"/>
      <c r="N4" s="17"/>
      <c r="O4" s="18"/>
    </row>
    <row r="6" spans="8:15">
      <c r="I6" s="19" t="s">
        <v>2742</v>
      </c>
      <c r="J6" s="20"/>
      <c r="M6" s="19" t="s">
        <v>2743</v>
      </c>
      <c r="N6" s="20"/>
    </row>
    <row r="7" ht="34" customHeight="1" spans="8:15">
      <c r="I7" s="21"/>
      <c r="J7" s="22"/>
      <c r="M7" s="21"/>
      <c r="N7" s="22"/>
    </row>
    <row r="9" spans="8:15">
      <c r="I9" s="23" t="s">
        <v>2744</v>
      </c>
      <c r="J9" s="24"/>
      <c r="K9" s="24"/>
      <c r="L9" s="24"/>
      <c r="M9" s="24"/>
      <c r="N9" s="25"/>
    </row>
    <row r="10" spans="8:15">
      <c r="I10" s="26"/>
      <c r="J10" s="27"/>
      <c r="K10" s="27"/>
      <c r="L10" s="27"/>
      <c r="M10" s="27"/>
      <c r="N10" s="28"/>
    </row>
    <row r="11" ht="59" customHeight="1" spans="8:15">
      <c r="I11" s="29"/>
      <c r="J11" s="30"/>
      <c r="K11" s="30"/>
      <c r="L11" s="30"/>
      <c r="M11" s="30"/>
      <c r="N11" s="31"/>
    </row>
  </sheetData>
  <mergeCells count="4">
    <mergeCell ref="H2:O4"/>
    <mergeCell ref="I6:J7"/>
    <mergeCell ref="M6:N7"/>
    <mergeCell ref="I9:N1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0"/>
  <sheetViews>
    <sheetView workbookViewId="0">
      <selection activeCell="F9" sqref="F9"/>
    </sheetView>
  </sheetViews>
  <sheetFormatPr defaultColWidth="8.72727272727273" defaultRowHeight="14.5"/>
  <cols>
    <col min="3" max="3" width="12.2727272727273" customWidth="1"/>
  </cols>
  <sheetData>
    <row r="1" spans="2:9">
      <c r="B1" s="1"/>
      <c r="C1" s="1"/>
    </row>
    <row r="2" spans="2:9">
      <c r="B2" s="2" t="s">
        <v>2745</v>
      </c>
      <c r="C2" s="3"/>
    </row>
    <row r="3" spans="2:9">
      <c r="B3" s="4" t="s">
        <v>2746</v>
      </c>
      <c r="C3" s="4" t="s">
        <v>2745</v>
      </c>
      <c r="E3" s="5" t="s">
        <v>2747</v>
      </c>
      <c r="F3" s="5"/>
      <c r="G3" s="5"/>
      <c r="H3" s="5"/>
      <c r="I3" s="5"/>
    </row>
    <row r="4" spans="2:9">
      <c r="B4" s="6" t="s">
        <v>1236</v>
      </c>
      <c r="C4" s="6" t="s">
        <v>1236</v>
      </c>
      <c r="E4" s="5"/>
      <c r="F4" s="5"/>
      <c r="G4" s="5"/>
      <c r="H4" s="5"/>
      <c r="I4" s="5"/>
    </row>
    <row r="5" spans="2:9">
      <c r="B5" s="7">
        <v>0</v>
      </c>
      <c r="C5" s="7" t="s">
        <v>2730</v>
      </c>
      <c r="E5" s="5"/>
      <c r="F5" s="5"/>
      <c r="G5" s="5"/>
      <c r="H5" s="5"/>
      <c r="I5" s="5"/>
    </row>
    <row r="6" spans="2:9">
      <c r="B6" s="7">
        <v>13</v>
      </c>
      <c r="C6" s="7" t="s">
        <v>2731</v>
      </c>
    </row>
    <row r="7" spans="2:9">
      <c r="B7" s="7">
        <v>20</v>
      </c>
      <c r="C7" s="7" t="s">
        <v>2728</v>
      </c>
    </row>
    <row r="8" spans="2:9">
      <c r="B8" s="7">
        <v>60</v>
      </c>
      <c r="C8" s="7" t="s">
        <v>2729</v>
      </c>
    </row>
    <row r="10" spans="2:9">
      <c r="B10" s="2" t="s">
        <v>1226</v>
      </c>
      <c r="C10" s="3"/>
    </row>
    <row r="11" spans="2:9">
      <c r="B11" s="7" t="s">
        <v>1225</v>
      </c>
      <c r="C11" s="7" t="s">
        <v>1226</v>
      </c>
      <c r="E11" s="5" t="s">
        <v>2748</v>
      </c>
      <c r="F11" s="5"/>
      <c r="G11" s="5"/>
      <c r="H11" s="5"/>
      <c r="I11" s="5"/>
    </row>
    <row r="12" spans="2:9">
      <c r="B12" s="8" t="s">
        <v>1235</v>
      </c>
      <c r="C12" s="8" t="s">
        <v>2720</v>
      </c>
      <c r="E12" s="5"/>
      <c r="F12" s="5"/>
      <c r="G12" s="5"/>
      <c r="H12" s="5"/>
      <c r="I12" s="5"/>
    </row>
    <row r="13" spans="2:9">
      <c r="B13" s="8" t="s">
        <v>1239</v>
      </c>
      <c r="C13" s="8" t="s">
        <v>2719</v>
      </c>
      <c r="E13" s="5"/>
      <c r="F13" s="5"/>
      <c r="G13" s="5"/>
      <c r="H13" s="5"/>
      <c r="I13" s="5"/>
    </row>
    <row r="14" spans="2:9">
      <c r="B14" s="8" t="s">
        <v>1242</v>
      </c>
      <c r="C14" s="8" t="s">
        <v>2719</v>
      </c>
    </row>
    <row r="15" spans="2:9">
      <c r="B15" s="8" t="s">
        <v>1253</v>
      </c>
      <c r="C15" s="8" t="s">
        <v>2720</v>
      </c>
    </row>
    <row r="16" spans="2:9">
      <c r="B16" s="8" t="s">
        <v>1695</v>
      </c>
      <c r="C16" s="8" t="s">
        <v>2720</v>
      </c>
    </row>
    <row r="17" spans="2:9">
      <c r="B17" s="8" t="s">
        <v>2350</v>
      </c>
      <c r="C17" s="8" t="s">
        <v>2720</v>
      </c>
    </row>
    <row r="18" spans="2:9">
      <c r="B18" s="8" t="s">
        <v>1522</v>
      </c>
      <c r="C18" s="8" t="s">
        <v>2720</v>
      </c>
    </row>
    <row r="20" spans="2:9">
      <c r="B20" s="7" t="s">
        <v>1231</v>
      </c>
      <c r="C20" s="7"/>
      <c r="E20" s="5" t="s">
        <v>2749</v>
      </c>
      <c r="F20" s="5"/>
      <c r="G20" s="5"/>
      <c r="H20" s="5"/>
      <c r="I20" s="5"/>
    </row>
    <row r="21" spans="2:9">
      <c r="B21" s="7" t="s">
        <v>9</v>
      </c>
      <c r="C21" s="7" t="s">
        <v>2750</v>
      </c>
      <c r="E21" s="5"/>
      <c r="F21" s="5"/>
      <c r="G21" s="5"/>
      <c r="H21" s="5"/>
      <c r="I21" s="5"/>
    </row>
    <row r="22" spans="2:9">
      <c r="B22" s="9">
        <v>0</v>
      </c>
      <c r="C22" s="9" t="s">
        <v>2739</v>
      </c>
      <c r="E22" s="5"/>
      <c r="F22" s="5"/>
      <c r="G22" s="5"/>
      <c r="H22" s="5"/>
      <c r="I22" s="5"/>
    </row>
    <row r="23" spans="2:9">
      <c r="B23" s="9">
        <v>20</v>
      </c>
      <c r="C23" s="9" t="s">
        <v>2740</v>
      </c>
    </row>
    <row r="24" spans="2:9">
      <c r="B24" s="9">
        <v>50</v>
      </c>
      <c r="C24" s="9" t="s">
        <v>2738</v>
      </c>
    </row>
    <row r="26" spans="2:9">
      <c r="B26" s="7" t="s">
        <v>2751</v>
      </c>
      <c r="C26" s="7"/>
      <c r="E26" s="5" t="s">
        <v>2752</v>
      </c>
      <c r="F26" s="5"/>
      <c r="G26" s="5"/>
      <c r="H26" s="5"/>
      <c r="I26" s="5"/>
    </row>
    <row r="27" spans="2:9">
      <c r="B27" s="9" t="s">
        <v>2753</v>
      </c>
      <c r="C27" s="9" t="s">
        <v>2754</v>
      </c>
      <c r="E27" s="5"/>
      <c r="F27" s="5"/>
      <c r="G27" s="5"/>
      <c r="H27" s="5"/>
      <c r="I27" s="5"/>
    </row>
    <row r="28" spans="2:9">
      <c r="B28" s="9">
        <v>1</v>
      </c>
      <c r="C28" s="9" t="s">
        <v>2755</v>
      </c>
      <c r="E28" s="5"/>
      <c r="F28" s="5"/>
      <c r="G28" s="5"/>
      <c r="H28" s="5"/>
      <c r="I28" s="5"/>
    </row>
    <row r="29" spans="2:9">
      <c r="B29" s="9">
        <v>2</v>
      </c>
      <c r="C29" s="9" t="s">
        <v>2756</v>
      </c>
    </row>
    <row r="30" spans="2:9">
      <c r="B30" s="9">
        <v>4</v>
      </c>
      <c r="C30" s="9" t="s">
        <v>2757</v>
      </c>
    </row>
  </sheetData>
  <mergeCells count="9">
    <mergeCell ref="B1:C1"/>
    <mergeCell ref="B2:C2"/>
    <mergeCell ref="B10:C10"/>
    <mergeCell ref="B20:C20"/>
    <mergeCell ref="B26:C26"/>
    <mergeCell ref="E20:I22"/>
    <mergeCell ref="E3:I5"/>
    <mergeCell ref="E11:I13"/>
    <mergeCell ref="E26:I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train_raw</vt:lpstr>
      <vt:lpstr>Worksheet</vt:lpstr>
      <vt:lpstr>Pivot Tables</vt:lpstr>
      <vt:lpstr>Dashboard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WPS_1749218004</cp:lastModifiedBy>
  <dcterms:created xsi:type="dcterms:W3CDTF">2026-03-05T05:07:00Z</dcterms:created>
  <dcterms:modified xsi:type="dcterms:W3CDTF">2026-04-06T05:14:19Z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63D5B84B7963426B829112B533486135_13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