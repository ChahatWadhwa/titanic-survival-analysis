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400" activeTab="4"/>
  </bookViews>
  <sheets>
    <sheet name="Overview" sheetId="9" r:id="rId1"/>
    <sheet name="Data Cleaning" sheetId="10" r:id="rId2"/>
    <sheet name="EDA &amp; Queries" sheetId="8" r:id="rId3"/>
    <sheet name="Dashboard" sheetId="11" r:id="rId4"/>
    <sheet name="Project Summary" sheetId="12"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<sst xmlns="http://schemas.openxmlformats.org/spreadsheetml/2006/main" count="240" uniqueCount="136">
  <si>
    <t>Exploratory Data Analysis of Titanic Survival Rate using MySQL &amp; Excel</t>
  </si>
  <si>
    <t>Dataset Overview</t>
  </si>
  <si>
    <t>The Titanic dataset on Kaggle is a classic benchmark dataset, containing passenger details and survival outcomes from the 1912 disaster. It is widely used to practice exploratory data analysis.</t>
  </si>
  <si>
    <t>Problem statement:</t>
  </si>
  <si>
    <t>Analyze survival patterns by gender, class, and embarkation using SQL.</t>
  </si>
  <si>
    <t>Tools used:</t>
  </si>
  <si>
    <t>•MySQL
•WPS
•Dataset source (kaggle link)</t>
  </si>
  <si>
    <t>Typical Analyses Performed</t>
  </si>
  <si>
    <t xml:space="preserve">• Survival prediction: Build models to predict survival based on passenger attributes.
• Demographic insights: Compare survival rates by gender, age groups, and class.
• Family impact: Analyze how family size (SibSp + Parch) affected survival chances.
• Economic factors: Study the relationship between fare price, class, and survival.
• Geographic trends: Explore differences in survival by embarkation port.
</t>
  </si>
  <si>
    <t>Data Structure</t>
  </si>
  <si>
    <t>The dataset includes the following key columns:</t>
  </si>
  <si>
    <t>Column1</t>
  </si>
  <si>
    <t>Column2</t>
  </si>
  <si>
    <t>PassengerId</t>
  </si>
  <si>
    <t>unique identifier for each passenger</t>
  </si>
  <si>
    <t>Survived</t>
  </si>
  <si>
    <t>target variable (0 = did not survive, 1 = survived)</t>
  </si>
  <si>
    <t>Pclass</t>
  </si>
  <si>
    <t>ticket class (1st, 2nd, 3rd)</t>
  </si>
  <si>
    <t>Name</t>
  </si>
  <si>
    <t xml:space="preserve"> passenger’s full name</t>
  </si>
  <si>
    <t>Sex</t>
  </si>
  <si>
    <t>gender</t>
  </si>
  <si>
    <t>Age</t>
  </si>
  <si>
    <t>age in years</t>
  </si>
  <si>
    <t>SibSp</t>
  </si>
  <si>
    <t>number of siblings/spouses aboard</t>
  </si>
  <si>
    <t>Parch</t>
  </si>
  <si>
    <t>number of parents/children aboard</t>
  </si>
  <si>
    <t>Ticket</t>
  </si>
  <si>
    <t>ticket number</t>
  </si>
  <si>
    <t>Fare</t>
  </si>
  <si>
    <t>fare paid for the ticket</t>
  </si>
  <si>
    <t>Cabin</t>
  </si>
  <si>
    <t>cabin number (many missing values)</t>
  </si>
  <si>
    <t>Embarked</t>
  </si>
  <si>
    <t>port of embarkation (C = Cherbourg, Q = Queenstown, S = Southampton)</t>
  </si>
  <si>
    <t>Key Metrics</t>
  </si>
  <si>
    <t>Metric</t>
  </si>
  <si>
    <t>Description</t>
  </si>
  <si>
    <t>Total passengers in dataset</t>
  </si>
  <si>
    <t>Survival rate</t>
  </si>
  <si>
    <t>38% survived,62% did not survive</t>
  </si>
  <si>
    <t>Gender distribution</t>
  </si>
  <si>
    <t>65% male, 35% female</t>
  </si>
  <si>
    <t>Class distribution</t>
  </si>
  <si>
    <t>Majority in 3rd class, fewer in 1st class</t>
  </si>
  <si>
    <t>Data Cleaning Steps for Titanic Dataset</t>
  </si>
  <si>
    <t>For the Titanic dataset, I set missing ages to NULL, removed the cabin column since most entries were empty. I also dropped the Ticket column. Instead of creating new columns, I handled age grouping directly in SQL queries to study survival patterns across different age categories and separated names from title. This kept the dataset simple while making it ready for analysis.</t>
  </si>
  <si>
    <t>Cleaning Steps</t>
  </si>
  <si>
    <t>Handling Missing Ages</t>
  </si>
  <si>
    <t>UPDATE titanic
SET Age = NULL
WHERE Age ='' " OR Age = 'NA';</t>
  </si>
  <si>
    <t>Remove Irrelevant Columns - Cabin, Ticket</t>
  </si>
  <si>
    <t>ALTER TABLE titanic DROP COLUMN Cabin;
ALTER TABLE titanic DROP COLUMN Ticket;</t>
  </si>
  <si>
    <t>Extract Titles from Names - Extract titles from Name (Mr, Mrs, Miss, Master) → useful for grouping ages and survival patterns.</t>
  </si>
  <si>
    <t>ALTER TABLE titanic ADD COLUMN Title VARCHAR(20);
UPDATE titanic
SET Title = CASE
    WHEN Name LIKE '%Mr.%' THEN 'Mr'
    WHEN Name LIKE '%Mrs.%' THEN 'Mrs'
    WHEN Name LIKE '%Miss.%' THEN 'Miss'
    WHEN Name LIKE '%Master.%' THEN 'Master'
    ELSE 'Other'
END;</t>
  </si>
  <si>
    <t>Use Family Size in Analysis</t>
  </si>
  <si>
    <t>SELECT PassengerId, Name, SibSp, Parch,
       (SibSp + Parch + 1) AS FamilySize
FROM train;</t>
  </si>
  <si>
    <t>Age Binning for Analysis (done in SELECT, not as a new column)</t>
  </si>
  <si>
    <t>SELECT 
    CASE 
        WHEN Age BETWEEN 0 AND 12 THEN 'Kid'
        WHEN Age BETWEEN 13 AND 18 THEN 'Teenager'
        WHEN Age BETWEEN 19 AND 59 THEN 'Adult'
        WHEN Age &gt;= 60 THEN 'Elderly'
        ELSE 'Unknown'
    END AS Age_Group,
FROM train;</t>
  </si>
  <si>
    <t>Exploratory Data Analysis</t>
  </si>
  <si>
    <t>Q1</t>
  </si>
  <si>
    <t>Passengers Survival Rate</t>
  </si>
  <si>
    <t>Total Passengers Survived</t>
  </si>
  <si>
    <t xml:space="preserve">
SELECT 
    COUNT(*) AS total_passengers,
    SUM(CASE WHEN Survived = 1 THEN 1 ELSE 0 END) AS Survived,
    SUM(CASE WHEN Survived = 0 THEN 1 ELSE 0 END) AS Not_Survived,
    ROUND(SUM(CASE WHEN Survived = 1 THEN 1 ELSE 0 END)/COUNT(*)*100,2)As Survival_Rate,
    ROUND(SUM(CASE WHEN Survived = 0 THEN 1 ELSE 0 END)/COUNT(*)*100,2)As Non_Survival_Rate
FROM train;</t>
  </si>
  <si>
    <t>Total_Passengers</t>
  </si>
  <si>
    <t>Not_Survived</t>
  </si>
  <si>
    <t>Survival_Rate</t>
  </si>
  <si>
    <t>Non_Survival_Rate</t>
  </si>
  <si>
    <t>Insight:
Overall, only 38% of passengers survived. This baseline sets the context for deeper analysis by gender, class, and embarkation port.</t>
  </si>
  <si>
    <t>Q2</t>
  </si>
  <si>
    <t>Male/Female Survival Rate</t>
  </si>
  <si>
    <t>Male &amp; Female Survival Rate</t>
  </si>
  <si>
    <t>SELECT Sex,
     COUNT(*) AS Total,
     SUM(CASE WHEN Survived = 1 THEN 1 ELSE 0 END) AS Survivors,
     ROUND(SUM(CASE WHEN Survived = 1 THEN 1 ELSE 0 END) / COUNT(*) * 100, 2) AS Survival_Rate
FROM train
GROUP BY sex;</t>
  </si>
  <si>
    <t>Total</t>
  </si>
  <si>
    <t>Survivors</t>
  </si>
  <si>
    <t>Male</t>
  </si>
  <si>
    <t>Female</t>
  </si>
  <si>
    <t>Insight:
Survival outcomes show a stark gender difference.
Females: ~74% survived (233 out of 314).
Males: ~19% survived (109 out of 577).
This highlights the "women and children first"evacuation priority, where women had a much higher chance of survival compared to men.</t>
  </si>
  <si>
    <t>Q3</t>
  </si>
  <si>
    <t>Passenger Class</t>
  </si>
  <si>
    <t>SELECT Pclass,
COUNT(*),
    SUM(CASE WHEN SURVIVED = 1 THEN 1 ELSE 0 END) AS Survived_Count,
    ROUND(SUM(CASE WHEN SURVIVED = 1 THEN 1 ELSE 0 END) / COUNT(*) * 100,2) AS Survival_Rate
FROM train
GROUP BY Pclass
ORDER BY Pclass ASC;</t>
  </si>
  <si>
    <t>COUNT(*)</t>
  </si>
  <si>
    <t>Insight:
Survival chances declined sharply by class, with 63% of 1st  class passengers surviving compared to 47% in 2nd class and only 24% in 3rd class.</t>
  </si>
  <si>
    <t>Q4</t>
  </si>
  <si>
    <t>Family Size</t>
  </si>
  <si>
    <t>SELECT SibSp+Parch+1 as Family_Size, COUNT(*) AS Total_Passengers,
    SUM(CASE WHEN SURVIVED = 1 THEN 1 ELSE 0 END) AS Survived,
    ROUND(SUM(CASE WHEN SURVIVED = 1 THEN 1 ELSE 0 END) / COUNT(*) * 100,2) AS Survival_Rate
FROM train
GROUP BY family_size
ORDER BY 1 ASC;</t>
  </si>
  <si>
    <t>Family_Size</t>
  </si>
  <si>
    <t>Insight:
Survival rates peaked for small families (2-4 members), while passengers travelling alone or in large families had much lower chances.</t>
  </si>
  <si>
    <t>Q5</t>
  </si>
  <si>
    <t>Age Group</t>
  </si>
  <si>
    <t>Survival Rate based on Age &amp; Gender</t>
  </si>
  <si>
    <t>SELECT 
CASE WHEN AGE BETWEEN 0 AND 12 THEN 'Kid'
     WHEN AGE BETWEEN 13 AND 18 THEN 'Teenager' 
     WHEN AGE BETWEEN 19 AND 59 THEN 'Adult' 
     WHEN AGE &gt;= 60 THEN 'Elderly' ELSE 'Unknown' END AS Age_Group,
     Sex,
     COUNT(*),
     SUM(CASE WHEN SURVIVED = 1 THEN 1 ELSE 0 END) AS Survival_Count, 
     ROUND(SUM(CASE WHEN SURVIVED = 1 THEN 1 ELSE 0 END) / COUNT(*) * 100,2) AS Survival_Rate
FROM train
GROUP BY age_group,sex
ORDER BY age_group ASC;</t>
  </si>
  <si>
    <t>Age_Group</t>
  </si>
  <si>
    <t>Count(*)</t>
  </si>
  <si>
    <t>Survival_Count</t>
  </si>
  <si>
    <t>Adult</t>
  </si>
  <si>
    <t>Elderly</t>
  </si>
  <si>
    <t>Kid</t>
  </si>
  <si>
    <t>female</t>
  </si>
  <si>
    <t>male</t>
  </si>
  <si>
    <t>Teenager</t>
  </si>
  <si>
    <t>Unknown</t>
  </si>
  <si>
    <t>Insight:
The chart shows women and children had significantly higher survival rates, while teenage and adult males faced the lowest chances of survival. Elderly women had a 100% survival rate (though sample size was tiny).</t>
  </si>
  <si>
    <t>Q6</t>
  </si>
  <si>
    <t>Survival Rate based on Embarkation Point</t>
  </si>
  <si>
    <t>SELECT Embarked,count(*),Pclass,Sex,
     SUM(CASE WHEN SURVIVED = 1 THEN 1 ELSE 0 END) AS Survival_Count,
     ROUND(SUM(CASE WHEN SURVIVED = 1 THEN 1 ELSE 0 END)/COUNT(*)*100,2) AS Survival_Rate
FROM train
GROUP BY embarked, Pclass,sex
ORDER BY 1 ASC;</t>
  </si>
  <si>
    <t>Total_Count</t>
  </si>
  <si>
    <t>Average of Survival_Rate</t>
  </si>
  <si>
    <t>C</t>
  </si>
  <si>
    <t>Q</t>
  </si>
  <si>
    <t>Insight:
Female passengers consistently had far higher survival rates than males across all embarkation points and classes, with Cherbourg and Southampton showing especially strong outcomes for women.</t>
  </si>
  <si>
    <t>S</t>
  </si>
  <si>
    <t>(blank)</t>
  </si>
  <si>
    <t>Grand Total</t>
  </si>
  <si>
    <t>Fare Fraction</t>
  </si>
  <si>
    <t>SELECT
CASE WHEN FARE &lt;20 THEN 'LOW_FARE'
     WHEN FARE BETWEEN 20 AND 50 THEN 'MID_FARE'
     WHEN FARE &gt; 50 THEN 'HIGH_FARE'
     ELSE 'UNKNOWN' END AS FARE_RANGE,
     EMBARKED,COUNT(*),
     SUM(CASE WHEN SURVIVED =1 THEN 1 ELSE 0 END)AS Survival_Count,
     ROUND(SUM(CASE WHEN SURVIVED =1 THEN 1 ELSE 0 END)/COUNT(*)*100,2)AS Survival_Rate
FROM train
GROUP BY fare_range,embarked
ORDER BY 2,1;</t>
  </si>
  <si>
    <t>Fare_Range</t>
  </si>
  <si>
    <t>HIGH_FARE</t>
  </si>
  <si>
    <t>LOW_FARE</t>
  </si>
  <si>
    <t>MID_FARE</t>
  </si>
  <si>
    <t>Titanic Survival Rate Analysis</t>
  </si>
  <si>
    <t xml:space="preserve">
</t>
  </si>
  <si>
    <t>Total Passengers
891</t>
  </si>
  <si>
    <t>Overall Survival Rate
38%</t>
  </si>
  <si>
    <t xml:space="preserve">                                           Key Insights:
1. Females had much higher survival rate than males.
2. First class passengers were most likely to survive.
3. Third class had lowest survival.
4. Embarkation point also influenced survival slightly.</t>
  </si>
  <si>
    <t>Project Summary – Titanic Survival Rate Analysis</t>
  </si>
  <si>
    <r>
      <rPr>
        <sz val="11"/>
        <color theme="1"/>
        <rFont val="Calibri"/>
        <charset val="134"/>
      </rPr>
      <t>-</t>
    </r>
    <r>
      <rPr>
        <sz val="11"/>
        <color theme="1"/>
        <rFont val="Calibri"/>
        <charset val="134"/>
        <scheme val="minor"/>
      </rPr>
      <t>Cleaned dataset by setting missing ages to NULL and dropping the Ticket &amp; Cabin columns.</t>
    </r>
  </si>
  <si>
    <r>
      <rPr>
        <sz val="11"/>
        <color theme="1"/>
        <rFont val="Calibri"/>
        <charset val="134"/>
      </rPr>
      <t>-</t>
    </r>
    <r>
      <rPr>
        <sz val="11"/>
        <color theme="1"/>
        <rFont val="Calibri"/>
        <charset val="134"/>
        <scheme val="minor"/>
      </rPr>
      <t>Used SQL queries to calculate survival rates across different factors.</t>
    </r>
  </si>
  <si>
    <t>-Analyzed survival by:</t>
  </si>
  <si>
    <r>
      <rPr>
        <sz val="11"/>
        <color theme="1"/>
        <rFont val="微软雅黑"/>
        <charset val="134"/>
      </rPr>
      <t>∙</t>
    </r>
    <r>
      <rPr>
        <sz val="11"/>
        <color theme="1"/>
        <rFont val="Calibri"/>
        <charset val="134"/>
        <scheme val="minor"/>
      </rPr>
      <t xml:space="preserve">Gender (male vs female)
</t>
    </r>
    <r>
      <rPr>
        <sz val="11"/>
        <color theme="1"/>
        <rFont val="微软雅黑"/>
        <charset val="134"/>
      </rPr>
      <t>∙</t>
    </r>
    <r>
      <rPr>
        <sz val="11"/>
        <color theme="1"/>
        <rFont val="Calibri"/>
        <charset val="134"/>
        <scheme val="minor"/>
      </rPr>
      <t xml:space="preserve">Passenger class (1st, 2nd, 3rd)
</t>
    </r>
    <r>
      <rPr>
        <sz val="11"/>
        <color theme="1"/>
        <rFont val="微软雅黑"/>
        <charset val="134"/>
      </rPr>
      <t>∙</t>
    </r>
    <r>
      <rPr>
        <sz val="11"/>
        <color theme="1"/>
        <rFont val="Calibri"/>
        <charset val="134"/>
        <scheme val="minor"/>
      </rPr>
      <t xml:space="preserve">Family size (calculated in queries, not stored as a column)
</t>
    </r>
    <r>
      <rPr>
        <sz val="11"/>
        <color theme="1"/>
        <rFont val="微软雅黑"/>
        <charset val="134"/>
      </rPr>
      <t>∙</t>
    </r>
    <r>
      <rPr>
        <sz val="11"/>
        <color theme="1"/>
        <rFont val="Calibri"/>
        <charset val="134"/>
        <scheme val="minor"/>
      </rPr>
      <t xml:space="preserve">Age groups (kids, teenagers, adults, elderly)
</t>
    </r>
    <r>
      <rPr>
        <sz val="11"/>
        <color theme="1"/>
        <rFont val="微软雅黑"/>
        <charset val="134"/>
      </rPr>
      <t>∙</t>
    </r>
    <r>
      <rPr>
        <sz val="11"/>
        <color theme="1"/>
        <rFont val="Calibri"/>
        <charset val="134"/>
        <scheme val="minor"/>
      </rPr>
      <t>Embarkation points</t>
    </r>
  </si>
  <si>
    <t>-Found clear patterns:
Women and children had higher survival rates
First‑class passengers had better chances than third‑class
Family size influenced survival outcomes
Demonstrated skills in SQL data cleaning, grouping, and aggregation
Provided meaningful insights into historical survival trends through structured analysis</t>
  </si>
  <si>
    <t>∙Women and children had higher survival rates
∙First‑class passengers had better chances than third‑class
∙Family size influenced survival outcomes</t>
  </si>
  <si>
    <t>-Applied CASE statements, GROUP BY, and aggregation functions (COUNT, SUM, ROUND) effectively to derive insights</t>
  </si>
  <si>
    <t>-Demonstrated skills in SQL data cleaning, grouping, and aggregation.</t>
  </si>
  <si>
    <t>-Provided meaningful insights into historical survival trends through structured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</si>
</sst>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quot;%&quot;"/>
    <numFmt numFmtId="179" formatCode="0.00_ "/>
  </numFmts>
  <fonts count="36">
    <font>
      <sz val="11"/>
      <color theme="1"/>
      <name val="Calibri"/>
      <charset val="134"/>
      <scheme val="minor"/>
    </font>
    <font>
      <b/>
      <sz val="14.05"/>
      <color theme="1"/>
      <name val="Calibri"/>
      <charset val="134"/>
      <scheme val="minor"/>
    </font>
    <font>
      <sz val="11"/>
      <color theme="1"/>
      <name val="Calibri"/>
      <charset val="134"/>
    </font>
    <font>
      <b/>
      <sz val="11"/>
      <color theme="1"/>
      <name val="Calibri"/>
      <charset val="134"/>
      <scheme val="minor"/>
    </font>
    <font>
      <sz val="11"/>
      <color theme="1"/>
      <name val="微软雅黑"/>
      <charset val="134"/>
    </font>
    <font>
      <b/>
      <sz val="22"/>
      <color theme="1"/>
      <name val="Calibri"/>
      <charset val="134"/>
      <scheme val="minor"/>
    </font>
    <font>
      <b/>
      <sz val="12"/>
      <color theme="1"/>
      <name val="Calibri"/>
      <charset val="134"/>
      <scheme val="minor"/>
    </font>
    <font>
      <b/>
      <sz val="20"/>
      <color theme="1"/>
      <name val="Calibri"/>
      <charset val="134"/>
      <scheme val="minor"/>
    </font>
    <font>
      <b/>
      <sz val="18"/>
      <color theme="1"/>
      <name val="Calibri"/>
      <charset val="134"/>
      <scheme val="minor"/>
    </font>
    <font>
      <b/>
      <sz val="14"/>
      <color theme="1"/>
      <name val="Calibri"/>
      <charset val="134"/>
      <scheme val="minor"/>
    </font>
    <font>
      <b/>
      <sz val="16"/>
      <color theme="1"/>
      <name val="Calibri"/>
      <charset val="134"/>
      <scheme val="minor"/>
    </font>
    <font>
      <sz val="11"/>
      <color theme="1"/>
      <name val="Courier New"/>
      <charset val="134"/>
    </font>
    <font>
      <b/>
      <sz val="11"/>
      <color theme="1"/>
      <name val="Calibri"/>
      <charset val="134"/>
    </font>
    <font>
      <b/>
      <sz val="12"/>
      <color rgb="FF0070C0"/>
      <name val="Calibri"/>
      <charset val="0"/>
      <scheme val="minor"/>
    </font>
    <font>
      <u/>
      <sz val="14"/>
      <color rgb="FF800080"/>
      <name val="Calibri"/>
      <charset val="0"/>
      <scheme val="minor"/>
    </font>
    <font>
      <sz val="10"/>
      <color theme="1"/>
      <name val="Calibri"/>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tint="0.8"/>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5" borderId="23" applyNumberFormat="0" applyAlignment="0" applyProtection="0">
      <alignment vertical="center"/>
    </xf>
    <xf numFmtId="0" fontId="26" fillId="6" borderId="24" applyNumberFormat="0" applyAlignment="0" applyProtection="0">
      <alignment vertical="center"/>
    </xf>
    <xf numFmtId="0" fontId="27" fillId="6" borderId="23" applyNumberFormat="0" applyAlignment="0" applyProtection="0">
      <alignment vertical="center"/>
    </xf>
    <xf numFmtId="0" fontId="28" fillId="7"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158">
    <xf numFmtId="0" fontId="0" fillId="0" borderId="0" xfId="0">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2"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wrapText="1"/>
    </xf>
    <xf numFmtId="0" fontId="5"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0" borderId="0" xfId="0" applyFont="1" applyFill="1" applyAlignment="1">
      <alignment vertical="center"/>
    </xf>
    <xf numFmtId="0" fontId="6" fillId="0" borderId="0" xfId="0" applyFont="1" applyFill="1" applyAlignment="1">
      <alignment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0" fontId="6" fillId="0" borderId="0" xfId="0" applyFont="1" applyFill="1" applyAlignment="1">
      <alignment horizontal="center" vertical="center"/>
    </xf>
    <xf numFmtId="0" fontId="5" fillId="0" borderId="10" xfId="0" applyFont="1" applyFill="1" applyBorder="1" applyAlignment="1">
      <alignment horizontal="center" vertical="center" wrapText="1"/>
    </xf>
    <xf numFmtId="0" fontId="5" fillId="0" borderId="0" xfId="0" applyFont="1" applyFill="1" applyAlignment="1">
      <alignment horizontal="center" vertical="center" wrapText="1"/>
    </xf>
    <xf numFmtId="0" fontId="5" fillId="0" borderId="11"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9" fillId="0" borderId="4" xfId="0" applyFont="1" applyFill="1" applyBorder="1" applyAlignment="1">
      <alignment horizontal="left" vertical="center" wrapText="1"/>
    </xf>
    <xf numFmtId="0" fontId="9" fillId="0" borderId="5" xfId="0" applyFont="1" applyFill="1" applyBorder="1" applyAlignment="1">
      <alignment horizontal="left" vertical="center" wrapText="1"/>
    </xf>
    <xf numFmtId="0" fontId="9" fillId="0" borderId="6" xfId="0" applyFont="1" applyFill="1" applyBorder="1" applyAlignment="1">
      <alignment horizontal="left" vertical="center" wrapText="1"/>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9" fillId="0" borderId="10" xfId="0" applyFont="1" applyFill="1" applyBorder="1" applyAlignment="1">
      <alignment horizontal="left" vertical="center" wrapText="1"/>
    </xf>
    <xf numFmtId="0" fontId="9" fillId="0" borderId="0" xfId="0" applyFont="1" applyFill="1" applyAlignment="1">
      <alignment horizontal="left" vertical="center" wrapText="1"/>
    </xf>
    <xf numFmtId="0" fontId="9" fillId="0" borderId="11" xfId="0" applyFont="1" applyFill="1" applyBorder="1" applyAlignment="1">
      <alignment horizontal="left" vertical="center" wrapText="1"/>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8" fillId="0" borderId="0" xfId="0" applyFont="1" applyFill="1" applyBorder="1" applyAlignment="1">
      <alignment vertical="center" wrapText="1"/>
    </xf>
    <xf numFmtId="0" fontId="9" fillId="0" borderId="7"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8" fillId="0" borderId="0" xfId="0" applyFont="1" applyFill="1" applyBorder="1" applyAlignment="1">
      <alignment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7" fillId="0" borderId="0" xfId="0" applyFont="1" applyFill="1" applyBorder="1" applyAlignment="1">
      <alignment vertical="center"/>
    </xf>
    <xf numFmtId="0" fontId="7" fillId="0" borderId="0" xfId="0" applyFont="1" applyFill="1" applyAlignment="1">
      <alignment vertical="center"/>
    </xf>
    <xf numFmtId="0" fontId="0" fillId="0" borderId="0" xfId="0" applyAlignment="1">
      <alignment vertical="center" wrapText="1"/>
    </xf>
    <xf numFmtId="0" fontId="6" fillId="0" borderId="0" xfId="0" applyFont="1">
      <alignment vertical="center"/>
    </xf>
    <xf numFmtId="0" fontId="9" fillId="0" borderId="0" xfId="0" applyFont="1" applyAlignment="1">
      <alignment horizontal="center" vertical="center"/>
    </xf>
    <xf numFmtId="0" fontId="11" fillId="3" borderId="12" xfId="0" applyFont="1" applyFill="1" applyBorder="1" applyAlignment="1">
      <alignment vertical="center" wrapText="1"/>
    </xf>
    <xf numFmtId="0" fontId="11" fillId="3" borderId="13" xfId="0" applyFont="1" applyFill="1" applyBorder="1">
      <alignment vertical="center"/>
    </xf>
    <xf numFmtId="0" fontId="11" fillId="3" borderId="14" xfId="0" applyFont="1" applyFill="1" applyBorder="1">
      <alignment vertical="center"/>
    </xf>
    <xf numFmtId="0" fontId="0" fillId="0" borderId="0" xfId="0" applyAlignment="1">
      <alignment vertical="center"/>
    </xf>
    <xf numFmtId="0" fontId="0" fillId="0" borderId="0" xfId="0" applyBorder="1" applyAlignment="1">
      <alignment vertical="center"/>
    </xf>
    <xf numFmtId="0" fontId="11" fillId="3" borderId="15" xfId="0" applyFont="1" applyFill="1" applyBorder="1">
      <alignment vertical="center"/>
    </xf>
    <xf numFmtId="0" fontId="11" fillId="3" borderId="0" xfId="0" applyFont="1" applyFill="1">
      <alignment vertical="center"/>
    </xf>
    <xf numFmtId="0" fontId="11" fillId="3" borderId="16" xfId="0" applyFont="1" applyFill="1" applyBorder="1">
      <alignment vertical="center"/>
    </xf>
    <xf numFmtId="178" fontId="0" fillId="0" borderId="0" xfId="0" applyNumberFormat="1">
      <alignment vertical="center"/>
    </xf>
    <xf numFmtId="0" fontId="11" fillId="3" borderId="17" xfId="0" applyFont="1" applyFill="1" applyBorder="1">
      <alignment vertical="center"/>
    </xf>
    <xf numFmtId="0" fontId="11" fillId="3" borderId="18" xfId="0" applyFont="1" applyFill="1" applyBorder="1">
      <alignment vertical="center"/>
    </xf>
    <xf numFmtId="0" fontId="11" fillId="3" borderId="19" xfId="0" applyFont="1" applyFill="1" applyBorder="1">
      <alignment vertical="center"/>
    </xf>
    <xf numFmtId="0" fontId="11" fillId="0" borderId="0" xfId="0" applyFont="1" applyFill="1">
      <alignment vertical="center"/>
    </xf>
    <xf numFmtId="0" fontId="12" fillId="0" borderId="0" xfId="0" applyFont="1" applyFill="1" applyAlignment="1">
      <alignment horizontal="left" vertical="center" wrapText="1"/>
    </xf>
    <xf numFmtId="0" fontId="9" fillId="0" borderId="0" xfId="0" applyFont="1" applyBorder="1" applyAlignment="1">
      <alignment horizontal="center" vertical="center"/>
    </xf>
    <xf numFmtId="0" fontId="11" fillId="3" borderId="13" xfId="0" applyFont="1" applyFill="1" applyBorder="1" applyAlignment="1">
      <alignment vertical="center"/>
    </xf>
    <xf numFmtId="0" fontId="11" fillId="3" borderId="14" xfId="0" applyFont="1" applyFill="1" applyBorder="1" applyAlignment="1">
      <alignment vertical="center"/>
    </xf>
    <xf numFmtId="0" fontId="3" fillId="0" borderId="0" xfId="0" applyFont="1" applyBorder="1" applyAlignment="1">
      <alignment vertical="center"/>
    </xf>
    <xf numFmtId="0" fontId="11" fillId="3" borderId="15" xfId="0" applyFont="1" applyFill="1" applyBorder="1" applyAlignment="1">
      <alignment vertical="center"/>
    </xf>
    <xf numFmtId="0" fontId="11" fillId="3" borderId="0" xfId="0" applyFont="1" applyFill="1" applyAlignment="1">
      <alignment vertical="center"/>
    </xf>
    <xf numFmtId="0" fontId="11" fillId="3" borderId="16" xfId="0" applyFont="1" applyFill="1" applyBorder="1" applyAlignment="1">
      <alignment vertical="center"/>
    </xf>
    <xf numFmtId="0" fontId="0" fillId="0" borderId="0" xfId="0" applyBorder="1" applyAlignment="1">
      <alignment vertical="center" wrapText="1"/>
    </xf>
    <xf numFmtId="0" fontId="11" fillId="3" borderId="17" xfId="0" applyFont="1" applyFill="1" applyBorder="1" applyAlignment="1">
      <alignment vertical="center"/>
    </xf>
    <xf numFmtId="0" fontId="11" fillId="3" borderId="18" xfId="0" applyFont="1" applyFill="1" applyBorder="1" applyAlignment="1">
      <alignment vertical="center"/>
    </xf>
    <xf numFmtId="0" fontId="11" fillId="3" borderId="19" xfId="0" applyFont="1" applyFill="1" applyBorder="1" applyAlignment="1">
      <alignment vertical="center"/>
    </xf>
    <xf numFmtId="0" fontId="13" fillId="0" borderId="0" xfId="6" applyFont="1" applyAlignment="1">
      <alignment horizontal="left" vertical="center"/>
    </xf>
    <xf numFmtId="0" fontId="9" fillId="0" borderId="0" xfId="0" applyFont="1" applyAlignment="1">
      <alignment vertical="center"/>
    </xf>
    <xf numFmtId="0" fontId="11" fillId="3" borderId="12" xfId="0" applyFont="1" applyFill="1" applyBorder="1" applyAlignment="1">
      <alignment horizontal="left" vertical="center" wrapText="1"/>
    </xf>
    <xf numFmtId="0" fontId="11" fillId="3" borderId="13" xfId="0" applyFont="1" applyFill="1" applyBorder="1" applyAlignment="1">
      <alignment horizontal="left" vertical="center"/>
    </xf>
    <xf numFmtId="0" fontId="11" fillId="3"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0" xfId="0" applyFont="1" applyFill="1" applyAlignment="1">
      <alignment horizontal="left" vertical="center"/>
    </xf>
    <xf numFmtId="0" fontId="11" fillId="3" borderId="16" xfId="0" applyFont="1" applyFill="1" applyBorder="1" applyAlignment="1">
      <alignment horizontal="left" vertical="center"/>
    </xf>
    <xf numFmtId="0" fontId="0" fillId="0" borderId="0" xfId="0" applyAlignment="1">
      <alignment horizontal="right" vertical="center"/>
    </xf>
    <xf numFmtId="178" fontId="0" fillId="0" borderId="0" xfId="0" applyNumberFormat="1" applyAlignment="1">
      <alignment horizontal="right" vertical="center"/>
    </xf>
    <xf numFmtId="0" fontId="0" fillId="0" borderId="0" xfId="0" applyNumberFormat="1" applyAlignment="1">
      <alignment horizontal="right" vertical="center"/>
    </xf>
    <xf numFmtId="179" fontId="0" fillId="0" borderId="0" xfId="0" applyNumberFormat="1">
      <alignmen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0" fillId="0" borderId="0" xfId="0" applyFill="1" applyAlignment="1">
      <alignment vertical="center"/>
    </xf>
    <xf numFmtId="178" fontId="0" fillId="0" borderId="0" xfId="0" applyNumberFormat="1" applyFill="1" applyAlignment="1">
      <alignment vertical="center"/>
    </xf>
    <xf numFmtId="0" fontId="11" fillId="0" borderId="0" xfId="0" applyFont="1" applyFill="1" applyAlignment="1">
      <alignment vertical="center"/>
    </xf>
    <xf numFmtId="0" fontId="11" fillId="0" borderId="0" xfId="0" applyFont="1" applyFill="1" applyAlignment="1">
      <alignment horizontal="left" vertical="center" wrapText="1"/>
    </xf>
    <xf numFmtId="178" fontId="0" fillId="0" borderId="0" xfId="0" applyNumberFormat="1" applyAlignment="1">
      <alignment vertical="center" wrapText="1"/>
    </xf>
    <xf numFmtId="0" fontId="0" fillId="0" borderId="0" xfId="0" applyFont="1" applyAlignment="1">
      <alignment vertical="center"/>
    </xf>
    <xf numFmtId="0" fontId="11" fillId="0" borderId="0" xfId="0" applyFont="1" applyFill="1" applyAlignment="1">
      <alignment horizontal="left" vertical="center"/>
    </xf>
    <xf numFmtId="0" fontId="14" fillId="0" borderId="0" xfId="6" applyFont="1">
      <alignment vertical="center"/>
    </xf>
    <xf numFmtId="0" fontId="14" fillId="0" borderId="0" xfId="6" applyFont="1" applyAlignment="1">
      <alignment horizontal="left" vertical="center"/>
    </xf>
    <xf numFmtId="0" fontId="0" fillId="0" borderId="0" xfId="0" applyFont="1" applyBorder="1" applyAlignment="1">
      <alignment vertical="center" wrapText="1"/>
    </xf>
    <xf numFmtId="0" fontId="6" fillId="0" borderId="0" xfId="0" applyFont="1" applyAlignment="1">
      <alignment horizontal="left" vertical="center"/>
    </xf>
    <xf numFmtId="0" fontId="3" fillId="0" borderId="12" xfId="0" applyFont="1"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0" xfId="0" applyAlignment="1">
      <alignment horizontal="left" vertical="center" indent="2"/>
    </xf>
    <xf numFmtId="0" fontId="15" fillId="0" borderId="15" xfId="0" applyFont="1" applyBorder="1" applyAlignment="1">
      <alignment horizontal="left" vertical="center" wrapText="1"/>
    </xf>
    <xf numFmtId="0" fontId="15" fillId="0" borderId="0" xfId="0" applyFont="1" applyAlignment="1">
      <alignment horizontal="left" vertical="center" wrapText="1"/>
    </xf>
    <xf numFmtId="0" fontId="15" fillId="0" borderId="16" xfId="0" applyFont="1" applyBorder="1" applyAlignment="1">
      <alignment horizontal="left" vertical="center" wrapText="1"/>
    </xf>
    <xf numFmtId="0" fontId="15" fillId="0" borderId="17" xfId="0" applyFont="1" applyBorder="1" applyAlignment="1">
      <alignment horizontal="left" vertical="center" wrapText="1"/>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3" fillId="0" borderId="0" xfId="0" applyFont="1" applyAlignment="1">
      <alignment horizontal="left" vertical="center" indent="1"/>
    </xf>
    <xf numFmtId="0" fontId="3" fillId="0" borderId="12" xfId="0" applyFont="1" applyBorder="1" applyAlignment="1">
      <alignment horizontal="left" vertical="center" wrapText="1"/>
    </xf>
    <xf numFmtId="0" fontId="0" fillId="0" borderId="13" xfId="0" applyFont="1" applyBorder="1" applyAlignment="1">
      <alignment horizontal="left" vertical="center" wrapText="1"/>
    </xf>
    <xf numFmtId="0" fontId="0" fillId="0" borderId="14" xfId="0" applyFont="1" applyBorder="1" applyAlignment="1">
      <alignment horizontal="left" vertical="center" wrapText="1"/>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16" fillId="0" borderId="15" xfId="0" applyFont="1" applyBorder="1" applyAlignment="1">
      <alignment horizontal="left" vertical="center" wrapText="1"/>
    </xf>
    <xf numFmtId="0" fontId="16" fillId="0" borderId="0" xfId="0" applyFont="1" applyAlignment="1">
      <alignment horizontal="left" vertical="center"/>
    </xf>
    <xf numFmtId="0" fontId="16" fillId="0" borderId="16" xfId="0" applyFont="1" applyBorder="1" applyAlignment="1">
      <alignment horizontal="left" vertical="center"/>
    </xf>
    <xf numFmtId="0" fontId="16" fillId="0" borderId="15" xfId="0" applyFont="1" applyBorder="1" applyAlignment="1">
      <alignment horizontal="left" vertical="center"/>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19" xfId="0" applyFont="1" applyBorder="1" applyAlignment="1">
      <alignment horizontal="left" vertical="center"/>
    </xf>
    <xf numFmtId="0" fontId="15" fillId="0" borderId="0" xfId="0" applyFont="1" applyAlignment="1">
      <alignment horizontal="left" vertical="center"/>
    </xf>
    <xf numFmtId="0" fontId="15" fillId="0" borderId="16" xfId="0" applyFont="1" applyBorder="1" applyAlignment="1">
      <alignment horizontal="left" vertical="center"/>
    </xf>
    <xf numFmtId="0" fontId="15" fillId="0" borderId="15" xfId="0" applyFont="1" applyBorder="1" applyAlignment="1">
      <alignment horizontal="left" vertical="center"/>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9" xfId="0" applyFont="1" applyBorder="1" applyAlignment="1">
      <alignment horizontal="left" vertical="center"/>
    </xf>
    <xf numFmtId="0" fontId="10" fillId="2" borderId="12" xfId="0" applyFont="1" applyFill="1" applyBorder="1" applyAlignment="1">
      <alignment horizontal="center" vertical="center"/>
    </xf>
    <xf numFmtId="0" fontId="10" fillId="2" borderId="14" xfId="0" applyFont="1" applyFill="1" applyBorder="1" applyAlignment="1">
      <alignment horizontal="center" vertical="center"/>
    </xf>
    <xf numFmtId="0" fontId="10" fillId="0" borderId="0" xfId="0" applyFont="1" applyFill="1" applyBorder="1" applyAlignment="1">
      <alignment vertical="center"/>
    </xf>
    <xf numFmtId="0" fontId="10" fillId="2" borderId="17" xfId="0" applyFont="1" applyFill="1" applyBorder="1" applyAlignment="1">
      <alignment horizontal="center" vertical="center"/>
    </xf>
    <xf numFmtId="0" fontId="10" fillId="2" borderId="19" xfId="0" applyFont="1" applyFill="1" applyBorder="1" applyAlignment="1">
      <alignment horizontal="center" vertical="center"/>
    </xf>
    <xf numFmtId="0" fontId="0" fillId="0" borderId="0" xfId="0" applyAlignment="1">
      <alignment horizontal="center" vertical="center"/>
    </xf>
    <xf numFmtId="0" fontId="3" fillId="0" borderId="0" xfId="0" applyFont="1">
      <alignment vertical="center"/>
    </xf>
    <xf numFmtId="0" fontId="0" fillId="0" borderId="0" xfId="0" applyAlignment="1">
      <alignment horizontal="left" vertical="center"/>
    </xf>
    <xf numFmtId="0" fontId="0" fillId="0" borderId="0" xfId="0" applyAlignment="1">
      <alignment horizontal="left" vertical="center" wrapText="1" indent="1"/>
    </xf>
    <xf numFmtId="0" fontId="0" fillId="0" borderId="0" xfId="0" applyAlignment="1">
      <alignment horizontal="left" vertical="center" indent="1"/>
    </xf>
    <xf numFmtId="0" fontId="0" fillId="0" borderId="0" xfId="0" applyAlignment="1">
      <alignment horizontal="left" vertical="center" wrapText="1" indent="1"/>
    </xf>
    <xf numFmtId="0" fontId="3" fillId="0" borderId="0" xfId="0" applyFont="1" applyAlignment="1">
      <alignment vertical="center"/>
    </xf>
    <xf numFmtId="0" fontId="3" fillId="0" borderId="0" xfId="0" applyFont="1" applyAlignment="1">
      <alignment horizontal="center" vertical="center" wrapText="1"/>
    </xf>
    <xf numFmtId="0" fontId="2" fillId="0" borderId="0" xfId="0" applyFont="1" applyAlignment="1" quotePrefix="1">
      <alignment horizontal="left" vertical="center"/>
    </xf>
    <xf numFmtId="0" fontId="3" fillId="0" borderId="0" xfId="0" applyFont="1" applyAlignment="1" quotePrefix="1">
      <alignment horizontal="left" vertical="center"/>
    </xf>
    <xf numFmtId="0" fontId="0" fillId="0" borderId="0" xfId="0" applyAlignment="1" quotePrefix="1">
      <alignment horizontal="left" vertical="center" wrapText="1"/>
    </xf>
    <xf numFmtId="0" fontId="0" fillId="0" borderId="0" xfId="0"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ont>
        <name val="Calibri"/>
        <scheme val="none"/>
        <charset val="134"/>
        <family val="0"/>
        <b val="1"/>
        <i val="0"/>
        <strike val="0"/>
        <u val="none"/>
        <sz val="11"/>
        <color theme="1"/>
      </font>
    </dxf>
    <dxf>
      <alignment vertical="center"/>
    </dxf>
    <dxf>
      <numFmt numFmtId="178" formatCode="0.00&quot;%&quot;"/>
    </dxf>
    <dxf>
      <numFmt numFmtId="178" formatCode="0.00&quot;%&quot;"/>
    </dxf>
    <dxf>
      <numFmt numFmtId="178" formatCode="0.00&quot;%&quot;"/>
    </dxf>
    <dxf>
      <numFmt numFmtId="0" formatCode="General"/>
    </dxf>
    <dxf>
      <numFmt numFmtId="178" formatCode="0.00&quot;%&quot;"/>
    </dxf>
    <dxf>
      <numFmt numFmtId="178" formatCode="0.00&quot;%&quot;"/>
    </dxf>
    <dxf>
      <numFmt numFmtId="178" formatCode="0.00&quot;%&quot;"/>
    </dxf>
    <dxf>
      <numFmt numFmtId="178" formatCode="0.00&quot;%&quot;"/>
    </dxf>
    <dxf>
      <numFmt numFmtId="178" formatCode="0.00&quot;%&quo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6FAAD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r>
              <a:t>Survival Rate based on Age &amp; Gender</a:t>
            </a:r>
          </a:p>
        </c:rich>
      </c:tx>
      <c:layout/>
      <c:overlay val="0"/>
      <c:spPr>
        <a:noFill/>
        <a:ln>
          <a:noFill/>
        </a:ln>
        <a:effectLst/>
      </c:spPr>
    </c:title>
    <c:autoTitleDeleted val="0"/>
    <c:plotArea>
      <c:layout/>
      <c:barChart>
        <c:barDir val="col"/>
        <c:grouping val="clustered"/>
        <c:varyColors val="0"/>
        <c:ser>
          <c:idx val="0"/>
          <c:order val="0"/>
          <c:tx>
            <c:strRef>
              <c:f>"Female"</c:f>
              <c:strCache>
                <c:ptCount val="1"/>
                <c:pt idx="0">
                  <c:v>Female</c:v>
                </c:pt>
              </c:strCache>
            </c:strRef>
          </c:tx>
          <c:spPr>
            <a:solidFill>
              <a:schemeClr val="accent2"/>
            </a:solidFill>
            <a:ln>
              <a:noFill/>
            </a:ln>
            <a:effectLst/>
          </c:spPr>
          <c:invertIfNegative val="0"/>
          <c:dLbls>
            <c:dLbl>
              <c:idx val="0"/>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77.78</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100</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59.38</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75</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{"Adult","Elderly","Kid","Teenager"}</c:f>
              <c:strCache>
                <c:ptCount val="4"/>
                <c:pt idx="0">
                  <c:v>Adult</c:v>
                </c:pt>
                <c:pt idx="1">
                  <c:v>Elderly</c:v>
                </c:pt>
                <c:pt idx="2">
                  <c:v>Kid</c:v>
                </c:pt>
                <c:pt idx="3">
                  <c:v>Teenager</c:v>
                </c:pt>
              </c:strCache>
            </c:strRef>
          </c:cat>
          <c:val>
            <c:numRef>
              <c:f>{77.78,100,59.38,75}</c:f>
              <c:numCache>
                <c:formatCode>General</c:formatCode>
                <c:ptCount val="4"/>
                <c:pt idx="0">
                  <c:v>77.78</c:v>
                </c:pt>
                <c:pt idx="1">
                  <c:v>100</c:v>
                </c:pt>
                <c:pt idx="2">
                  <c:v>59.38</c:v>
                </c:pt>
                <c:pt idx="3">
                  <c:v>75</c:v>
                </c:pt>
              </c:numCache>
            </c:numRef>
          </c:val>
        </c:ser>
        <c:ser>
          <c:idx val="1"/>
          <c:order val="1"/>
          <c:tx>
            <c:strRef>
              <c:f>"Male"</c:f>
              <c:strCache>
                <c:ptCount val="1"/>
                <c:pt idx="0">
                  <c:v>Male</c:v>
                </c:pt>
              </c:strCache>
            </c:strRef>
          </c:tx>
          <c:spPr>
            <a:solidFill>
              <a:schemeClr val="accent1"/>
            </a:solidFill>
            <a:ln>
              <a:noFill/>
            </a:ln>
            <a:effectLst/>
          </c:spPr>
          <c:invertIfNegative val="0"/>
          <c:dLbls>
            <c:dLbl>
              <c:idx val="0"/>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18.33</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13.64</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0.00115606936416185"/>
                  <c:y val="0"/>
                </c:manualLayout>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55.56</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8.82</a:t>
                    </a:r>
                    <a:r>
                      <a:rPr lang="en-US" altLang="zh-CN"/>
                      <a:t>%</a:t>
                    </a:r>
                    <a:endParaRPr lang="en-US" altLang="zh-CN"/>
                  </a:p>
                </c:rich>
              </c:tx>
              <c:dLblPos val="outEnd"/>
              <c:showLegendKey val="0"/>
              <c:showVal val="1"/>
              <c:showCatName val="0"/>
              <c:showSerName val="0"/>
              <c:showPercent val="0"/>
              <c:showBubbleSize val="0"/>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{"Adult","Elderly","Kid","Teenager"}</c:f>
              <c:strCache>
                <c:ptCount val="4"/>
                <c:pt idx="0">
                  <c:v>Adult</c:v>
                </c:pt>
                <c:pt idx="1">
                  <c:v>Elderly</c:v>
                </c:pt>
                <c:pt idx="2">
                  <c:v>Kid</c:v>
                </c:pt>
                <c:pt idx="3">
                  <c:v>Teenager</c:v>
                </c:pt>
              </c:strCache>
            </c:strRef>
          </c:cat>
          <c:val>
            <c:numRef>
              <c:f>{18.33,13.64,55.56,8.82}</c:f>
              <c:numCache>
                <c:formatCode>General</c:formatCode>
                <c:ptCount val="4"/>
                <c:pt idx="0">
                  <c:v>18.33</c:v>
                </c:pt>
                <c:pt idx="1">
                  <c:v>13.64</c:v>
                </c:pt>
                <c:pt idx="2">
                  <c:v>55.56</c:v>
                </c:pt>
                <c:pt idx="3">
                  <c:v>8.82</c:v>
                </c:pt>
              </c:numCache>
            </c:numRef>
          </c:val>
        </c:ser>
        <c:dLbls>
          <c:showLegendKey val="0"/>
          <c:showVal val="1"/>
          <c:showCatName val="0"/>
          <c:showSerName val="0"/>
          <c:showPercent val="0"/>
          <c:showBubbleSize val="0"/>
        </c:dLbls>
        <c:gapWidth val="246"/>
        <c:overlap val="-28"/>
        <c:axId val="167886018"/>
        <c:axId val="745138936"/>
      </c:barChart>
      <c:catAx>
        <c:axId val="167886018"/>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b="1"/>
                  <a:t>Age Group</a:t>
                </a:r>
                <a:endParaRPr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5138936"/>
        <c:crosses val="autoZero"/>
        <c:auto val="1"/>
        <c:lblAlgn val="ctr"/>
        <c:lblOffset val="100"/>
        <c:noMultiLvlLbl val="0"/>
      </c:catAx>
      <c:valAx>
        <c:axId val="745138936"/>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b="1"/>
                  <a:t>Survival Rate</a:t>
                </a:r>
                <a:endParaRPr b="1"/>
              </a:p>
            </c:rich>
          </c:tx>
          <c:layout/>
          <c:overlay val="0"/>
          <c:spPr>
            <a:noFill/>
            <a:ln>
              <a:noFill/>
            </a:ln>
            <a:effectLst/>
          </c:spPr>
        </c:title>
        <c:numFmt formatCode="0&quot;%&quot;"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88601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133d925-0b0f-4b0f-b572-38948a111228}"/>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Survival Rate by Embarkation Point &amp; Fare Range</a:t>
            </a:r>
          </a:p>
        </c:rich>
      </c:tx>
      <c:layout/>
      <c:overlay val="0"/>
      <c:spPr>
        <a:noFill/>
        <a:ln>
          <a:noFill/>
        </a:ln>
        <a:effectLst/>
      </c:spPr>
    </c:title>
    <c:autoTitleDeleted val="0"/>
    <c:plotArea>
      <c:layout/>
      <c:barChart>
        <c:barDir val="col"/>
        <c:grouping val="clustered"/>
        <c:varyColors val="0"/>
        <c:ser>
          <c:idx val="0"/>
          <c:order val="0"/>
          <c:tx>
            <c:strRef>
              <c:f>"HIGH_FARE"</c:f>
              <c:strCache>
                <c:ptCount val="1"/>
                <c:pt idx="0">
                  <c:v>HIGH_FARE</c:v>
                </c:pt>
              </c:strCache>
            </c:strRef>
          </c:tx>
          <c:spPr>
            <a:solidFill>
              <a:schemeClr val="accent1"/>
            </a:solidFill>
            <a:ln>
              <a:noFill/>
            </a:ln>
            <a:effectLst/>
          </c:spPr>
          <c:invertIfNegative val="0"/>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78.69%</a:t>
                    </a: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50%</a:t>
                    </a:r>
                  </a:p>
                </c:rich>
              </c:tx>
              <c:dLblPos val="ctr"/>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61.05%</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{"C","Q","S"}</c:f>
              <c:strCache>
                <c:ptCount val="3"/>
                <c:pt idx="0">
                  <c:v>C</c:v>
                </c:pt>
                <c:pt idx="1">
                  <c:v>Q</c:v>
                </c:pt>
                <c:pt idx="2">
                  <c:v>S</c:v>
                </c:pt>
              </c:strCache>
            </c:strRef>
          </c:cat>
          <c:val>
            <c:numRef>
              <c:f>{78.69,50,61.05}</c:f>
              <c:numCache>
                <c:formatCode>General</c:formatCode>
                <c:ptCount val="3"/>
                <c:pt idx="0">
                  <c:v>78.69</c:v>
                </c:pt>
                <c:pt idx="1">
                  <c:v>50</c:v>
                </c:pt>
                <c:pt idx="2">
                  <c:v>61.05</c:v>
                </c:pt>
              </c:numCache>
            </c:numRef>
          </c:val>
        </c:ser>
        <c:ser>
          <c:idx val="1"/>
          <c:order val="1"/>
          <c:tx>
            <c:strRef>
              <c:f>"LOW_FARE"</c:f>
              <c:strCache>
                <c:ptCount val="1"/>
                <c:pt idx="0">
                  <c:v>LOW_FARE</c:v>
                </c:pt>
              </c:strCache>
            </c:strRef>
          </c:tx>
          <c:spPr>
            <a:solidFill>
              <a:schemeClr val="accent2"/>
            </a:solidFill>
            <a:ln>
              <a:noFill/>
            </a:ln>
            <a:effectLst/>
          </c:spPr>
          <c:invertIfNegative val="0"/>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38.57%</a:t>
                    </a: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40%</a:t>
                    </a:r>
                  </a:p>
                </c:rich>
              </c:tx>
              <c:dLblPos val="ctr"/>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23.68%</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{"C","Q","S"}</c:f>
              <c:strCache>
                <c:ptCount val="3"/>
                <c:pt idx="0">
                  <c:v>C</c:v>
                </c:pt>
                <c:pt idx="1">
                  <c:v>Q</c:v>
                </c:pt>
                <c:pt idx="2">
                  <c:v>S</c:v>
                </c:pt>
              </c:strCache>
            </c:strRef>
          </c:cat>
          <c:val>
            <c:numRef>
              <c:f>{38.57,40,23.68}</c:f>
              <c:numCache>
                <c:formatCode>General</c:formatCode>
                <c:ptCount val="3"/>
                <c:pt idx="0">
                  <c:v>38.57</c:v>
                </c:pt>
                <c:pt idx="1">
                  <c:v>40</c:v>
                </c:pt>
                <c:pt idx="2">
                  <c:v>23.68</c:v>
                </c:pt>
              </c:numCache>
            </c:numRef>
          </c:val>
        </c:ser>
        <c:ser>
          <c:idx val="2"/>
          <c:order val="2"/>
          <c:tx>
            <c:strRef>
              <c:f>"MID_FARE"</c:f>
              <c:strCache>
                <c:ptCount val="1"/>
                <c:pt idx="0">
                  <c:v>MID_FARE</c:v>
                </c:pt>
              </c:strCache>
            </c:strRef>
          </c:tx>
          <c:spPr>
            <a:solidFill>
              <a:schemeClr val="accent3"/>
            </a:solidFill>
            <a:ln>
              <a:noFill/>
            </a:ln>
            <a:effectLst/>
          </c:spPr>
          <c:invertIfNegative val="0"/>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48.65%</a:t>
                    </a: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30%</a:t>
                    </a:r>
                  </a:p>
                </c:rich>
              </c:tx>
              <c:dLblPos val="ctr"/>
              <c:showLegendKey val="0"/>
              <c:showVal val="1"/>
              <c:showCatName val="0"/>
              <c:showSerName val="0"/>
              <c:showPercent val="0"/>
              <c:showBubbleSize val="0"/>
              <c:extLst>
                <c:ext xmlns:c15="http://schemas.microsoft.com/office/drawing/2012/chart" uri="{CE6537A1-D6FC-4f65-9D91-7224C49458BB}"/>
              </c:extLst>
            </c:dLbl>
            <c:dLbl>
              <c:idx val="2"/>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40.83%</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{"C","Q","S"}</c:f>
              <c:strCache>
                <c:ptCount val="3"/>
                <c:pt idx="0">
                  <c:v>C</c:v>
                </c:pt>
                <c:pt idx="1">
                  <c:v>Q</c:v>
                </c:pt>
                <c:pt idx="2">
                  <c:v>S</c:v>
                </c:pt>
              </c:strCache>
            </c:strRef>
          </c:cat>
          <c:val>
            <c:numRef>
              <c:f>{48.65,30,40.83}</c:f>
              <c:numCache>
                <c:formatCode>General</c:formatCode>
                <c:ptCount val="3"/>
                <c:pt idx="0">
                  <c:v>48.65</c:v>
                </c:pt>
                <c:pt idx="1">
                  <c:v>30</c:v>
                </c:pt>
                <c:pt idx="2">
                  <c:v>40.83</c:v>
                </c:pt>
              </c:numCache>
            </c:numRef>
          </c:val>
        </c:ser>
        <c:dLbls>
          <c:showLegendKey val="0"/>
          <c:showVal val="1"/>
          <c:showCatName val="0"/>
          <c:showSerName val="0"/>
          <c:showPercent val="0"/>
          <c:showBubbleSize val="0"/>
        </c:dLbls>
        <c:gapWidth val="246"/>
        <c:overlap val="-28"/>
        <c:axId val="418314178"/>
        <c:axId val="161874130"/>
      </c:barChart>
      <c:catAx>
        <c:axId val="41831417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1874130"/>
        <c:crosses val="autoZero"/>
        <c:auto val="1"/>
        <c:lblAlgn val="ctr"/>
        <c:lblOffset val="100"/>
        <c:noMultiLvlLbl val="0"/>
      </c:catAx>
      <c:valAx>
        <c:axId val="161874130"/>
        <c:scaling>
          <c:orientation val="minMax"/>
        </c:scaling>
        <c:delete val="0"/>
        <c:axPos val="l"/>
        <c:majorGridlines>
          <c:spPr>
            <a:ln w="9525" cap="flat" cmpd="sng" algn="ctr">
              <a:solidFill>
                <a:schemeClr val="lt1">
                  <a:lumMod val="90200"/>
                </a:schemeClr>
              </a:solidFill>
              <a:round/>
            </a:ln>
            <a:effectLst/>
          </c:spPr>
        </c:majorGridlines>
        <c:numFmt formatCode="0&quot;%&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1831417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71081ff-0e37-425e-92dd-348587c8e07e}"/>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Total Passengers Survival Rate</a:t>
            </a:r>
          </a:p>
        </c:rich>
      </c:tx>
      <c:layout/>
      <c:overlay val="0"/>
      <c:spPr>
        <a:noFill/>
        <a:ln>
          <a:noFill/>
        </a:ln>
        <a:effectLst/>
      </c:spPr>
    </c:title>
    <c:autoTitleDeleted val="0"/>
    <c:plotArea>
      <c:layout/>
      <c:pie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'EDA &amp; Queries'!$O$6:$P$6</c:f>
              <c:strCache>
                <c:ptCount val="2"/>
                <c:pt idx="0">
                  <c:v>Survival_Rate</c:v>
                </c:pt>
                <c:pt idx="1">
                  <c:v>Non_Survival_Rate</c:v>
                </c:pt>
              </c:strCache>
            </c:strRef>
          </c:cat>
          <c:val>
            <c:numRef>
              <c:f>'EDA &amp; Queries'!$O$7:$P$7</c:f>
              <c:numCache>
                <c:formatCode>0.00"%"</c:formatCode>
                <c:ptCount val="2"/>
                <c:pt idx="0">
                  <c:v>38.38</c:v>
                </c:pt>
                <c:pt idx="1">
                  <c:v>61.62</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d21b5fa1-f383-4493-8b43-8a3ee2e4507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Male &amp; Female Survival Rate</a:t>
            </a:r>
          </a:p>
        </c:rich>
      </c:tx>
      <c:layout/>
      <c:overlay val="0"/>
      <c:spPr>
        <a:noFill/>
        <a:ln>
          <a:noFill/>
        </a:ln>
        <a:effectLst/>
      </c:spPr>
    </c:title>
    <c:autoTitleDeleted val="0"/>
    <c:plotArea>
      <c:layout/>
      <c:barChart>
        <c:barDir val="bar"/>
        <c:grouping val="clustered"/>
        <c:varyColors val="0"/>
        <c:ser>
          <c:idx val="0"/>
          <c:order val="0"/>
          <c:tx>
            <c:strRef>
              <c:f>"Sex"</c:f>
              <c:strCache>
                <c:ptCount val="1"/>
                <c:pt idx="0">
                  <c:v>Sex</c:v>
                </c:pt>
              </c:strCache>
            </c:strRef>
          </c:tx>
          <c:spPr>
            <a:solidFill>
              <a:schemeClr val="accent1"/>
            </a:solidFill>
            <a:ln>
              <a:noFill/>
            </a:ln>
            <a:effectLst/>
          </c:spPr>
          <c:invertIfNegative val="0"/>
          <c:dPt>
            <c:idx val="1"/>
            <c:invertIfNegative val="0"/>
            <c:bubble3D val="0"/>
            <c:spPr>
              <a:solidFill>
                <a:schemeClr val="accent2"/>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'EDA &amp; Queries'!$L$20:$L$21</c:f>
              <c:strCache>
                <c:ptCount val="2"/>
                <c:pt idx="0">
                  <c:v>Male</c:v>
                </c:pt>
                <c:pt idx="1">
                  <c:v>Female</c:v>
                </c:pt>
              </c:strCache>
            </c:strRef>
          </c:cat>
          <c:val>
            <c:numRef>
              <c:f>'EDA &amp; Queries'!$O$20:$O$21</c:f>
              <c:numCache>
                <c:formatCode>0.00"%"</c:formatCode>
                <c:ptCount val="2"/>
                <c:pt idx="0">
                  <c:v>18.89</c:v>
                </c:pt>
                <c:pt idx="1">
                  <c:v>74.2</c:v>
                </c:pt>
              </c:numCache>
            </c:numRef>
          </c:val>
        </c:ser>
        <c:dLbls>
          <c:showLegendKey val="0"/>
          <c:showVal val="1"/>
          <c:showCatName val="0"/>
          <c:showSerName val="0"/>
          <c:showPercent val="0"/>
          <c:showBubbleSize val="0"/>
        </c:dLbls>
        <c:gapWidth val="150"/>
        <c:overlap val="-25"/>
        <c:axId val="599107649"/>
        <c:axId val="780133286"/>
        <c:extLst>
          <c:ext xmlns:c15="http://schemas.microsoft.com/office/drawing/2012/chart" uri="{02D57815-91ED-43cb-92C2-25804820EDAC}">
            <c15:filteredBarSeries>
              <c15:ser>
                <c:idx val="1"/>
                <c:order val="1"/>
                <c:tx>
                  <c:strRef>
                    <c:extLst>
                      <c:ext uri="{02D57815-91ED-43cb-92C2-25804820EDAC}">
                        <c15:formulaRef>
                          <c15:sqref>'EDA &amp; Queries'!$O$19</c15:sqref>
                        </c15:formulaRef>
                      </c:ext>
                    </c:extLst>
                    <c:strCache>
                      <c:ptCount val="1"/>
                      <c:pt idx="0">
                        <c:v>Survival_Rate</c:v>
                      </c:pt>
                    </c:strCache>
                  </c:strRef>
                </c:tx>
                <c:spPr>
                  <a:solidFill>
                    <a:schemeClr val="accent2"/>
                  </a:solidFill>
                  <a:ln>
                    <a:noFill/>
                  </a:ln>
                  <a:effectLst/>
                </c:spPr>
                <c:invertIfNegative val="0"/>
                <c:dPt>
                  <c:idx val="0"/>
                  <c:invertIfNegative val="0"/>
                  <c:bubble3D val="0"/>
                  <c:spPr>
                    <a:solidFill>
                      <a:schemeClr val="accent1"/>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
                        </c15:fullRef>
                        <c15:formulaRef>
                          <c15:sqref>'EDA &amp; Queries'!$L$20:$L$21</c15:sqref>
                        </c15:formulaRef>
                      </c:ext>
                    </c:extLst>
                    <c:strCache>
                      <c:ptCount val="2"/>
                      <c:pt idx="0">
                        <c:v>Male</c:v>
                      </c:pt>
                      <c:pt idx="1">
                        <c:v>Female</c:v>
                      </c:pt>
                    </c:strCache>
                  </c:strRef>
                </c:cat>
                <c:val>
                  <c:numRef>
                    <c:extLst>
                      <c:ext uri="{02D57815-91ED-43cb-92C2-25804820EDAC}">
                        <c15:formulaRef>
                          <c15:sqref>{18.89,74.2}</c15:sqref>
                        </c15:formulaRef>
                      </c:ext>
                    </c:extLst>
                    <c:numCache>
                      <c:formatCode>General</c:formatCode>
                      <c:ptCount val="2"/>
                      <c:pt idx="0">
                        <c:v>18.89</c:v>
                      </c:pt>
                      <c:pt idx="1">
                        <c:v>74.2</c:v>
                      </c:pt>
                    </c:numCache>
                  </c:numRef>
                </c:val>
              </c15:ser>
            </c15:filteredBarSeries>
          </c:ext>
        </c:extLst>
      </c:barChart>
      <c:catAx>
        <c:axId val="59910764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0133286"/>
        <c:crosses val="autoZero"/>
        <c:auto val="1"/>
        <c:lblAlgn val="ctr"/>
        <c:lblOffset val="100"/>
        <c:noMultiLvlLbl val="0"/>
      </c:catAx>
      <c:valAx>
        <c:axId val="780133286"/>
        <c:scaling>
          <c:orientation val="minMax"/>
        </c:scaling>
        <c:delete val="1"/>
        <c:axPos val="b"/>
        <c:numFmt formatCode="0.00&quot;%&quot;"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99107649"/>
        <c:crosses val="autoZero"/>
        <c:crossBetween val="between"/>
      </c:valAx>
      <c:spPr>
        <a:noFill/>
        <a:ln>
          <a:noFill/>
        </a:ln>
        <a:effectLst/>
      </c:spPr>
    </c:plotArea>
    <c:plotVisOnly val="1"/>
    <c:dispBlanksAs val="gap"/>
    <c:showDLblsOverMax val="0"/>
    <c:extLst>
      <c:ext uri="{0b15fc19-7d7d-44ad-8c2d-2c3a37ce22c3}">
        <chartProps xmlns="https://web.wps.cn/et/2018/main" chartId="{2fbdccc9-c376-4f18-bb38-e0d0a9d9a0a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Survival By Passenger Class</a:t>
            </a:r>
          </a:p>
        </c:rich>
      </c:tx>
      <c:layout/>
      <c:overlay val="0"/>
      <c:spPr>
        <a:noFill/>
        <a:ln>
          <a:noFill/>
        </a:ln>
        <a:effectLst/>
      </c:spPr>
    </c:title>
    <c:autoTitleDeleted val="0"/>
    <c:plotArea>
      <c:layout/>
      <c:barChart>
        <c:barDir val="col"/>
        <c:grouping val="stacked"/>
        <c:varyColors val="0"/>
        <c:ser>
          <c:idx val="0"/>
          <c:order val="0"/>
          <c:tx>
            <c:strRef>
              <c:f>'EDA &amp; Queries'!$L$31</c:f>
              <c:strCache>
                <c:ptCount val="1"/>
                <c:pt idx="0">
                  <c:v>1</c:v>
                </c:pt>
              </c:strCache>
            </c:strRef>
          </c:tx>
          <c:spPr>
            <a:solidFill>
              <a:schemeClr val="accent1"/>
            </a:solidFill>
            <a:ln>
              <a:solidFill>
                <a:schemeClr val="bg1"/>
              </a:solidFill>
            </a:ln>
            <a:effectLst/>
          </c:spPr>
          <c:invertIfNegative val="0"/>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136,62.96&amp;</a:t>
                    </a: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80,37.04%</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('EDA &amp; Queries'!$N$30,'EDA &amp; Queries'!$P$30)</c:f>
              <c:strCache>
                <c:ptCount val="2"/>
                <c:pt idx="0">
                  <c:v>Survived</c:v>
                </c:pt>
                <c:pt idx="1">
                  <c:v>Not_Survived</c:v>
                </c:pt>
              </c:strCache>
            </c:strRef>
          </c:cat>
          <c:val>
            <c:numRef>
              <c:f>('EDA &amp; Queries'!$N$31,'EDA &amp; Queries'!$P$31)</c:f>
              <c:numCache>
                <c:formatCode>General</c:formatCode>
                <c:ptCount val="2"/>
                <c:pt idx="0">
                  <c:v>136</c:v>
                </c:pt>
                <c:pt idx="1">
                  <c:v>80</c:v>
                </c:pt>
              </c:numCache>
            </c:numRef>
          </c:val>
        </c:ser>
        <c:ser>
          <c:idx val="1"/>
          <c:order val="1"/>
          <c:tx>
            <c:strRef>
              <c:f>'EDA &amp; Queries'!$L$32</c:f>
              <c:strCache>
                <c:ptCount val="1"/>
                <c:pt idx="0">
                  <c:v>2</c:v>
                </c:pt>
              </c:strCache>
            </c:strRef>
          </c:tx>
          <c:spPr>
            <a:solidFill>
              <a:schemeClr val="accent2"/>
            </a:solidFill>
            <a:ln>
              <a:solidFill>
                <a:schemeClr val="bg1"/>
              </a:solidFill>
            </a:ln>
            <a:effectLst/>
          </c:spPr>
          <c:invertIfNegative val="0"/>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87,47.28%</a:t>
                    </a: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97,52.72%</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('EDA &amp; Queries'!$N$30,'EDA &amp; Queries'!$P$30)</c:f>
              <c:strCache>
                <c:ptCount val="2"/>
                <c:pt idx="0">
                  <c:v>Survived</c:v>
                </c:pt>
                <c:pt idx="1">
                  <c:v>Not_Survived</c:v>
                </c:pt>
              </c:strCache>
            </c:strRef>
          </c:cat>
          <c:val>
            <c:numRef>
              <c:f>('EDA &amp; Queries'!$N$32,'EDA &amp; Queries'!$P$32)</c:f>
              <c:numCache>
                <c:formatCode>General</c:formatCode>
                <c:ptCount val="2"/>
                <c:pt idx="0">
                  <c:v>87</c:v>
                </c:pt>
                <c:pt idx="1">
                  <c:v>97</c:v>
                </c:pt>
              </c:numCache>
            </c:numRef>
          </c:val>
        </c:ser>
        <c:ser>
          <c:idx val="2"/>
          <c:order val="2"/>
          <c:tx>
            <c:strRef>
              <c:f>'EDA &amp; Queries'!$L$33</c:f>
              <c:strCache>
                <c:ptCount val="1"/>
                <c:pt idx="0">
                  <c:v>3</c:v>
                </c:pt>
              </c:strCache>
            </c:strRef>
          </c:tx>
          <c:spPr>
            <a:solidFill>
              <a:schemeClr val="accent3"/>
            </a:solidFill>
            <a:ln>
              <a:solidFill>
                <a:schemeClr val="bg1"/>
              </a:solidFill>
            </a:ln>
            <a:effectLst/>
          </c:spPr>
          <c:invertIfNegative val="0"/>
          <c:dLbls>
            <c:dLbl>
              <c:idx val="0"/>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119,24.24%</a:t>
                    </a:r>
                  </a:p>
                </c:rich>
              </c:tx>
              <c:dLblPos val="ctr"/>
              <c:showLegendKey val="0"/>
              <c:showVal val="1"/>
              <c:showCatName val="0"/>
              <c:showSerName val="0"/>
              <c:showPercent val="0"/>
              <c:showBubbleSize val="0"/>
              <c:extLst>
                <c:ext xmlns:c15="http://schemas.microsoft.com/office/drawing/2012/chart" uri="{CE6537A1-D6FC-4f65-9D91-7224C49458BB}"/>
              </c:extLst>
            </c:dLbl>
            <c:dLbl>
              <c:idx val="1"/>
              <c:layout/>
              <c:tx>
                <c:rich>
                  <a:bodyPr rot="0" spcFirstLastPara="0" vertOverflow="ellipsis" vert="horz" wrap="square" lIns="38100" tIns="19050" rIns="38100" bIns="19050" anchor="ctr" anchorCtr="1"/>
                  <a:lstStyle/>
                  <a:p>
                    <a:pPr defTabSz="914400">
                      <a:defRPr lang="en-US" sz="1000" b="0" i="0" u="none" strike="noStrike" kern="1200" baseline="0">
                        <a:solidFill>
                          <a:schemeClr val="tx1">
                            <a:lumMod val="75000"/>
                            <a:lumOff val="25000"/>
                          </a:schemeClr>
                        </a:solidFill>
                        <a:latin typeface="+mn-lt"/>
                        <a:ea typeface="+mn-ea"/>
                        <a:cs typeface="+mn-cs"/>
                      </a:defRPr>
                    </a:pPr>
                    <a:r>
                      <a:t>372,75.76%</a:t>
                    </a:r>
                  </a:p>
                </c:rich>
              </c:tx>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('EDA &amp; Queries'!$N$30,'EDA &amp; Queries'!$P$30)</c:f>
              <c:strCache>
                <c:ptCount val="2"/>
                <c:pt idx="0">
                  <c:v>Survived</c:v>
                </c:pt>
                <c:pt idx="1">
                  <c:v>Not_Survived</c:v>
                </c:pt>
              </c:strCache>
            </c:strRef>
          </c:cat>
          <c:val>
            <c:numRef>
              <c:f>('EDA &amp; Queries'!$N$33,'EDA &amp; Queries'!$P$33)</c:f>
              <c:numCache>
                <c:formatCode>General</c:formatCode>
                <c:ptCount val="2"/>
                <c:pt idx="0">
                  <c:v>119</c:v>
                </c:pt>
                <c:pt idx="1">
                  <c:v>372</c:v>
                </c:pt>
              </c:numCache>
            </c:numRef>
          </c:val>
        </c:ser>
        <c:dLbls>
          <c:showLegendKey val="0"/>
          <c:showVal val="1"/>
          <c:showCatName val="0"/>
          <c:showSerName val="0"/>
          <c:showPercent val="0"/>
          <c:showBubbleSize val="0"/>
        </c:dLbls>
        <c:gapWidth val="75"/>
        <c:overlap val="100"/>
        <c:axId val="382431738"/>
        <c:axId val="281877967"/>
      </c:barChart>
      <c:catAx>
        <c:axId val="382431738"/>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Survival Status</a:t>
                </a:r>
                <a:endParaRPr b="1"/>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81877967"/>
        <c:crosses val="autoZero"/>
        <c:auto val="1"/>
        <c:lblAlgn val="ctr"/>
        <c:lblOffset val="100"/>
        <c:noMultiLvlLbl val="0"/>
      </c:catAx>
      <c:valAx>
        <c:axId val="281877967"/>
        <c:scaling>
          <c:orientation val="minMax"/>
          <c:max val="400"/>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b="1"/>
                  <a:t>Survival Count</a:t>
                </a:r>
                <a:endParaRPr b="1"/>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8243173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ecc3287-a06a-414b-9c86-0f03d57ef9af}"/>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Survival Rate By Family Size</a:t>
            </a:r>
          </a:p>
        </c:rich>
      </c:tx>
      <c:layout/>
      <c:overlay val="0"/>
      <c:spPr>
        <a:noFill/>
        <a:ln>
          <a:noFill/>
        </a:ln>
        <a:effectLst/>
      </c:spPr>
    </c:title>
    <c:autoTitleDeleted val="0"/>
    <c:plotArea>
      <c:layout/>
      <c:lineChart>
        <c:grouping val="standard"/>
        <c:varyColors val="0"/>
        <c:ser>
          <c:idx val="0"/>
          <c:order val="0"/>
          <c:tx>
            <c:strRef>
              <c:f>'EDA &amp; Queries'!$L$42</c:f>
              <c:strCache>
                <c:ptCount val="1"/>
                <c:pt idx="0">
                  <c:v>Family_Size</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'EDA &amp; Queries'!$L$43:$L$51</c:f>
              <c:numCache>
                <c:formatCode>General</c:formatCode>
                <c:ptCount val="9"/>
                <c:pt idx="0">
                  <c:v>1</c:v>
                </c:pt>
                <c:pt idx="1">
                  <c:v>2</c:v>
                </c:pt>
                <c:pt idx="2">
                  <c:v>3</c:v>
                </c:pt>
                <c:pt idx="3">
                  <c:v>4</c:v>
                </c:pt>
                <c:pt idx="4">
                  <c:v>5</c:v>
                </c:pt>
                <c:pt idx="5">
                  <c:v>6</c:v>
                </c:pt>
                <c:pt idx="6">
                  <c:v>7</c:v>
                </c:pt>
                <c:pt idx="7">
                  <c:v>8</c:v>
                </c:pt>
                <c:pt idx="8">
                  <c:v>11</c:v>
                </c:pt>
              </c:numCache>
            </c:numRef>
          </c:val>
          <c:smooth val="0"/>
        </c:ser>
        <c:ser>
          <c:idx val="1"/>
          <c:order val="1"/>
          <c:tx>
            <c:strRef>
              <c:f>'EDA &amp; Queries'!$O$42</c:f>
              <c:strCache>
                <c:ptCount val="1"/>
                <c:pt idx="0">
                  <c:v>Survival_Rate</c:v>
                </c:pt>
              </c:strCache>
            </c:strRef>
          </c:tx>
          <c:spPr>
            <a:ln w="28575" cap="rnd">
              <a:solidFill>
                <a:schemeClr val="accent2"/>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'EDA &amp; Queries'!$O$43:$O$51</c:f>
              <c:numCache>
                <c:formatCode>0.00"%"</c:formatCode>
                <c:ptCount val="9"/>
                <c:pt idx="0">
                  <c:v>30.35</c:v>
                </c:pt>
                <c:pt idx="1">
                  <c:v>55.28</c:v>
                </c:pt>
                <c:pt idx="2">
                  <c:v>57.84</c:v>
                </c:pt>
                <c:pt idx="3">
                  <c:v>72.41</c:v>
                </c:pt>
                <c:pt idx="4">
                  <c:v>20</c:v>
                </c:pt>
                <c:pt idx="5">
                  <c:v>13.64</c:v>
                </c:pt>
                <c:pt idx="6">
                  <c:v>33.33</c:v>
                </c:pt>
                <c:pt idx="7">
                  <c:v>0</c:v>
                </c:pt>
                <c:pt idx="8">
                  <c:v>0</c:v>
                </c:pt>
              </c:numCache>
            </c:numRef>
          </c:val>
          <c:smooth val="0"/>
        </c:ser>
        <c:dLbls>
          <c:showLegendKey val="0"/>
          <c:showVal val="1"/>
          <c:showCatName val="0"/>
          <c:showSerName val="0"/>
          <c:showPercent val="0"/>
          <c:showBubbleSize val="0"/>
        </c:dLbls>
        <c:marker val="0"/>
        <c:smooth val="0"/>
        <c:axId val="253264006"/>
        <c:axId val="337137517"/>
      </c:lineChart>
      <c:catAx>
        <c:axId val="2532640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7137517"/>
        <c:crosses val="autoZero"/>
        <c:auto val="1"/>
        <c:lblAlgn val="ctr"/>
        <c:lblOffset val="100"/>
        <c:noMultiLvlLbl val="0"/>
      </c:catAx>
      <c:valAx>
        <c:axId val="337137517"/>
        <c:scaling>
          <c:orientation val="minMax"/>
        </c:scaling>
        <c:delete val="0"/>
        <c:axPos val="l"/>
        <c:majorGridlines>
          <c:spPr>
            <a:ln w="9525" cap="flat" cmpd="sng" algn="ctr">
              <a:solidFill>
                <a:schemeClr val="lt1">
                  <a:lumMod val="90200"/>
                </a:schemeClr>
              </a:solidFill>
              <a:round/>
            </a:ln>
            <a:effectLst/>
          </c:spPr>
        </c:majorGridlines>
        <c:numFmt formatCode="0&quot;%&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326400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d6aa2c5-ea7b-4df9-9a36-0b24d881165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[SQL_Titanic_eda.xlsx]EDA &amp; Queries!PivotTable6</c:name>
    <c:fmtId val="2"/>
  </c:pivotSource>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Survival Rate Based on Embarkation Point, Sex &amp; Passenger Class</a:t>
            </a:r>
            <a:endParaRPr b="1"/>
          </a:p>
        </c:rich>
      </c:tx>
      <c:layout/>
      <c:overlay val="0"/>
      <c:spPr>
        <a:noFill/>
        <a:ln>
          <a:noFill/>
        </a:ln>
        <a:effectLst/>
      </c:spPr>
    </c:title>
    <c:autoTitleDeleted val="0"/>
    <c:plotArea>
      <c:layout/>
      <c:barChart>
        <c:barDir val="col"/>
        <c:grouping val="clustered"/>
        <c:varyColors val="0"/>
        <c:ser>
          <c:idx val="0"/>
          <c:order val="0"/>
          <c:tx>
            <c:strRef>
              <c:f>'EDA &amp; Queries'!$U$72</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dPt>
          <c:dPt>
            <c:idx val="2"/>
            <c:invertIfNegative val="0"/>
            <c:bubble3D val="0"/>
            <c:spPr>
              <a:solidFill>
                <a:schemeClr val="accent2"/>
              </a:solidFill>
              <a:ln>
                <a:noFill/>
              </a:ln>
              <a:effectLst/>
            </c:spPr>
          </c:dPt>
          <c:dPt>
            <c:idx val="4"/>
            <c:invertIfNegative val="0"/>
            <c:bubble3D val="0"/>
            <c:spPr>
              <a:solidFill>
                <a:schemeClr val="accent2"/>
              </a:solidFill>
              <a:ln>
                <a:noFill/>
              </a:ln>
              <a:effectLst/>
            </c:spPr>
          </c:dPt>
          <c:dPt>
            <c:idx val="6"/>
            <c:invertIfNegative val="0"/>
            <c:bubble3D val="0"/>
            <c:spPr>
              <a:solidFill>
                <a:schemeClr val="accent2"/>
              </a:solidFill>
              <a:ln>
                <a:noFill/>
              </a:ln>
              <a:effectLst/>
            </c:spPr>
          </c:dPt>
          <c:dLbls>
            <c:dLbl>
              <c:idx val="0"/>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97.67%</a:t>
                    </a:r>
                  </a:p>
                </c:rich>
              </c:tx>
              <c:dLblPos val="outEnd"/>
              <c:showLegendKey val="0"/>
              <c:showVal val="1"/>
              <c:showCatName val="0"/>
              <c:showSerName val="0"/>
              <c:showPercent val="1"/>
              <c:showBubbleSize val="1"/>
              <c:extLst>
                <c:ext xmlns:c15="http://schemas.microsoft.com/office/drawing/2012/chart" uri="{CE6537A1-D6FC-4f65-9D91-7224C49458BB}"/>
              </c:extLst>
            </c:dLbl>
            <c:dLbl>
              <c:idx val="1"/>
              <c:layout>
                <c:manualLayout>
                  <c:x val="-0.00121614151464898"/>
                  <c:y val="0"/>
                </c:manualLayout>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40.48%</a:t>
                    </a:r>
                  </a:p>
                </c:rich>
              </c:tx>
              <c:dLblPos val="outEnd"/>
              <c:showLegendKey val="0"/>
              <c:showVal val="1"/>
              <c:showCatName val="0"/>
              <c:showSerName val="0"/>
              <c:showPercent val="1"/>
              <c:showBubbleSize val="1"/>
              <c:extLst>
                <c:ext xmlns:c15="http://schemas.microsoft.com/office/drawing/2012/chart" uri="{CE6537A1-D6FC-4f65-9D91-7224C49458BB}">
                  <c15:layout/>
                </c:ext>
              </c:extLst>
            </c:dLbl>
            <c:dLbl>
              <c:idx val="2"/>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100%</a:t>
                    </a:r>
                  </a:p>
                </c:rich>
              </c:tx>
              <c:dLblPos val="outEnd"/>
              <c:showLegendKey val="0"/>
              <c:showVal val="1"/>
              <c:showCatName val="0"/>
              <c:showSerName val="0"/>
              <c:showPercent val="1"/>
              <c:showBubbleSize val="1"/>
              <c:extLst>
                <c:ext xmlns:c15="http://schemas.microsoft.com/office/drawing/2012/chart" uri="{CE6537A1-D6FC-4f65-9D91-7224C49458BB}"/>
              </c:extLst>
            </c:dLbl>
            <c:dLbl>
              <c:idx val="3"/>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0%</a:t>
                    </a:r>
                  </a:p>
                </c:rich>
              </c:tx>
              <c:dLblPos val="outEnd"/>
              <c:showLegendKey val="0"/>
              <c:showVal val="1"/>
              <c:showCatName val="0"/>
              <c:showSerName val="0"/>
              <c:showPercent val="1"/>
              <c:showBubbleSize val="1"/>
              <c:extLst>
                <c:ext xmlns:c15="http://schemas.microsoft.com/office/drawing/2012/chart" uri="{CE6537A1-D6FC-4f65-9D91-7224C49458BB}"/>
              </c:extLst>
            </c:dLbl>
            <c:dLbl>
              <c:idx val="4"/>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95.83%</a:t>
                    </a:r>
                  </a:p>
                </c:rich>
              </c:tx>
              <c:dLblPos val="outEnd"/>
              <c:showLegendKey val="0"/>
              <c:showVal val="1"/>
              <c:showCatName val="0"/>
              <c:showSerName val="0"/>
              <c:showPercent val="1"/>
              <c:showBubbleSize val="1"/>
              <c:extLst>
                <c:ext xmlns:c15="http://schemas.microsoft.com/office/drawing/2012/chart" uri="{CE6537A1-D6FC-4f65-9D91-7224C49458BB}"/>
              </c:extLst>
            </c:dLbl>
            <c:dLbl>
              <c:idx val="5"/>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35.44%</a:t>
                    </a:r>
                  </a:p>
                </c:rich>
              </c:tx>
              <c:dLblPos val="outEnd"/>
              <c:showLegendKey val="0"/>
              <c:showVal val="1"/>
              <c:showCatName val="0"/>
              <c:showSerName val="0"/>
              <c:showPercent val="1"/>
              <c:showBubbleSize val="1"/>
              <c:extLst>
                <c:ext xmlns:c15="http://schemas.microsoft.com/office/drawing/2012/chart" uri="{CE6537A1-D6FC-4f65-9D91-7224C49458BB}"/>
              </c:extLst>
            </c:dLbl>
            <c:dLbl>
              <c:idx val="6"/>
              <c:layout/>
              <c:tx>
                <c:rich>
                  <a:bodyPr rot="0" spcFirstLastPara="0" vertOverflow="ellipsis" vert="horz" wrap="square" lIns="38100" tIns="19050" rIns="38100" bIns="19050" anchor="ctr" anchorCtr="1"/>
                  <a:lstStyle/>
                  <a:p>
                    <a:pPr defTabSz="914400">
                      <a:defRPr lang="en-US" sz="900" b="0" i="0" u="none" strike="noStrike" kern="1200" baseline="0">
                        <a:solidFill>
                          <a:schemeClr val="tx1">
                            <a:lumMod val="75000"/>
                            <a:lumOff val="25000"/>
                          </a:schemeClr>
                        </a:solidFill>
                        <a:latin typeface="+mn-lt"/>
                        <a:ea typeface="+mn-ea"/>
                        <a:cs typeface="+mn-cs"/>
                      </a:defRPr>
                    </a:pPr>
                    <a:r>
                      <a:t>100%</a:t>
                    </a:r>
                  </a:p>
                </c:rich>
              </c:tx>
              <c:dLblPos val="outEnd"/>
              <c:showLegendKey val="0"/>
              <c:showVal val="1"/>
              <c:showCatName val="0"/>
              <c:showSerName val="0"/>
              <c:showPercent val="1"/>
              <c:showBubbleSize val="1"/>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multiLvlStrRef>
              <c:f>'EDA &amp; Queries'!$S$73:$T$84</c:f>
              <c:multiLvlStrCache>
                <c:ptCount val="7"/>
                <c:lvl>
                  <c:pt idx="0">
                    <c:v>Female</c:v>
                  </c:pt>
                  <c:pt idx="1">
                    <c:v>Male</c:v>
                  </c:pt>
                  <c:pt idx="2">
                    <c:v>Female</c:v>
                  </c:pt>
                  <c:pt idx="3">
                    <c:v>Male</c:v>
                  </c:pt>
                  <c:pt idx="4">
                    <c:v>Female</c:v>
                  </c:pt>
                  <c:pt idx="5">
                    <c:v>Male</c:v>
                  </c:pt>
                  <c:pt idx="6">
                    <c:v>Female</c:v>
                  </c:pt>
                </c:lvl>
                <c:lvl>
                  <c:pt idx="0">
                    <c:v>C</c:v>
                  </c:pt>
                  <c:pt idx="2">
                    <c:v>Q</c:v>
                  </c:pt>
                  <c:pt idx="4">
                    <c:v>S</c:v>
                  </c:pt>
                  <c:pt idx="6">
                    <c:v>(blank)</c:v>
                  </c:pt>
                </c:lvl>
              </c:multiLvlStrCache>
            </c:multiLvlStrRef>
          </c:cat>
          <c:val>
            <c:numRef>
              <c:f>'EDA &amp; Queries'!$U$73:$U$84</c:f>
              <c:numCache>
                <c:formatCode>General</c:formatCode>
                <c:ptCount val="7"/>
                <c:pt idx="0">
                  <c:v>97.67</c:v>
                </c:pt>
                <c:pt idx="1">
                  <c:v>40.48</c:v>
                </c:pt>
                <c:pt idx="2">
                  <c:v>100</c:v>
                </c:pt>
                <c:pt idx="3">
                  <c:v>0</c:v>
                </c:pt>
                <c:pt idx="4">
                  <c:v>95.83</c:v>
                </c:pt>
                <c:pt idx="5">
                  <c:v>35.44</c:v>
                </c:pt>
                <c:pt idx="6">
                  <c:v>100</c:v>
                </c:pt>
              </c:numCache>
            </c:numRef>
          </c:val>
        </c:ser>
        <c:dLbls>
          <c:showLegendKey val="0"/>
          <c:showVal val="1"/>
          <c:showCatName val="0"/>
          <c:showSerName val="0"/>
          <c:showPercent val="1"/>
          <c:showBubbleSize val="1"/>
        </c:dLbls>
        <c:gapWidth val="219"/>
        <c:overlap val="-27"/>
        <c:axId val="967652115"/>
        <c:axId val="684515937"/>
      </c:barChart>
      <c:catAx>
        <c:axId val="9676521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84515937"/>
        <c:crosses val="autoZero"/>
        <c:auto val="1"/>
        <c:lblAlgn val="ctr"/>
        <c:lblOffset val="100"/>
        <c:noMultiLvlLbl val="0"/>
      </c:catAx>
      <c:valAx>
        <c:axId val="684515937"/>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6765211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dfe1cd0-aaa7-4977-b390-5a6917511f4a}"/>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0</xdr:colOff>
      <xdr:row>8</xdr:row>
      <xdr:rowOff>5080</xdr:rowOff>
    </xdr:from>
    <xdr:to>
      <xdr:col>16</xdr:col>
      <xdr:colOff>29845</xdr:colOff>
      <xdr:row>13</xdr:row>
      <xdr:rowOff>90170</xdr:rowOff>
    </xdr:to>
    <xdr:pic>
      <xdr:nvPicPr>
        <xdr:cNvPr id="2" name="Picture 1"/>
        <xdr:cNvPicPr>
          <a:picLocks noChangeAspect="1"/>
        </xdr:cNvPicPr>
      </xdr:nvPicPr>
      <xdr:blipFill>
        <a:blip r:embed="rId1"/>
        <a:stretch>
          <a:fillRect/>
        </a:stretch>
      </xdr:blipFill>
      <xdr:spPr>
        <a:xfrm>
          <a:off x="9735185" y="1821180"/>
          <a:ext cx="6768465" cy="1228090"/>
        </a:xfrm>
        <a:prstGeom prst="rect">
          <a:avLst/>
        </a:prstGeom>
        <a:noFill/>
        <a:ln w="9525">
          <a:noFill/>
        </a:ln>
      </xdr:spPr>
    </xdr:pic>
    <xdr:clientData/>
  </xdr:twoCellAnchor>
  <xdr:twoCellAnchor editAs="oneCell">
    <xdr:from>
      <xdr:col>11</xdr:col>
      <xdr:colOff>0</xdr:colOff>
      <xdr:row>21</xdr:row>
      <xdr:rowOff>182880</xdr:rowOff>
    </xdr:from>
    <xdr:to>
      <xdr:col>14</xdr:col>
      <xdr:colOff>33020</xdr:colOff>
      <xdr:row>26</xdr:row>
      <xdr:rowOff>387350</xdr:rowOff>
    </xdr:to>
    <xdr:pic>
      <xdr:nvPicPr>
        <xdr:cNvPr id="3" name="Picture 2"/>
        <xdr:cNvPicPr>
          <a:picLocks noChangeAspect="1"/>
        </xdr:cNvPicPr>
      </xdr:nvPicPr>
      <xdr:blipFill>
        <a:blip r:embed="rId2"/>
        <a:stretch>
          <a:fillRect/>
        </a:stretch>
      </xdr:blipFill>
      <xdr:spPr>
        <a:xfrm>
          <a:off x="9735185" y="4888230"/>
          <a:ext cx="4223385" cy="1125220"/>
        </a:xfrm>
        <a:prstGeom prst="rect">
          <a:avLst/>
        </a:prstGeom>
        <a:noFill/>
        <a:ln w="9525">
          <a:noFill/>
        </a:ln>
      </xdr:spPr>
    </xdr:pic>
    <xdr:clientData/>
  </xdr:twoCellAnchor>
  <xdr:twoCellAnchor editAs="oneCell">
    <xdr:from>
      <xdr:col>11</xdr:col>
      <xdr:colOff>0</xdr:colOff>
      <xdr:row>33</xdr:row>
      <xdr:rowOff>180975</xdr:rowOff>
    </xdr:from>
    <xdr:to>
      <xdr:col>14</xdr:col>
      <xdr:colOff>17145</xdr:colOff>
      <xdr:row>39</xdr:row>
      <xdr:rowOff>70485</xdr:rowOff>
    </xdr:to>
    <xdr:pic>
      <xdr:nvPicPr>
        <xdr:cNvPr id="4" name="Picture 3"/>
        <xdr:cNvPicPr>
          <a:picLocks noChangeAspect="1"/>
        </xdr:cNvPicPr>
      </xdr:nvPicPr>
      <xdr:blipFill>
        <a:blip r:embed="rId3"/>
        <a:stretch>
          <a:fillRect/>
        </a:stretch>
      </xdr:blipFill>
      <xdr:spPr>
        <a:xfrm>
          <a:off x="9735185" y="7978775"/>
          <a:ext cx="4207510" cy="994410"/>
        </a:xfrm>
        <a:prstGeom prst="rect">
          <a:avLst/>
        </a:prstGeom>
        <a:noFill/>
        <a:ln w="9525">
          <a:noFill/>
        </a:ln>
      </xdr:spPr>
    </xdr:pic>
    <xdr:clientData/>
  </xdr:twoCellAnchor>
  <xdr:twoCellAnchor editAs="oneCell">
    <xdr:from>
      <xdr:col>15</xdr:col>
      <xdr:colOff>0</xdr:colOff>
      <xdr:row>41</xdr:row>
      <xdr:rowOff>0</xdr:rowOff>
    </xdr:from>
    <xdr:to>
      <xdr:col>16</xdr:col>
      <xdr:colOff>1529715</xdr:colOff>
      <xdr:row>51</xdr:row>
      <xdr:rowOff>22225</xdr:rowOff>
    </xdr:to>
    <xdr:pic>
      <xdr:nvPicPr>
        <xdr:cNvPr id="5" name="Picture 4"/>
        <xdr:cNvPicPr>
          <a:picLocks noChangeAspect="1"/>
        </xdr:cNvPicPr>
      </xdr:nvPicPr>
      <xdr:blipFill>
        <a:blip r:embed="rId4"/>
        <a:stretch>
          <a:fillRect/>
        </a:stretch>
      </xdr:blipFill>
      <xdr:spPr>
        <a:xfrm>
          <a:off x="15093950" y="9321800"/>
          <a:ext cx="2909570" cy="1863725"/>
        </a:xfrm>
        <a:prstGeom prst="rect">
          <a:avLst/>
        </a:prstGeom>
        <a:noFill/>
        <a:ln w="9525">
          <a:noFill/>
        </a:ln>
      </xdr:spPr>
    </xdr:pic>
    <xdr:clientData/>
  </xdr:twoCellAnchor>
  <xdr:twoCellAnchor editAs="oneCell">
    <xdr:from>
      <xdr:col>16</xdr:col>
      <xdr:colOff>1542415</xdr:colOff>
      <xdr:row>56</xdr:row>
      <xdr:rowOff>0</xdr:rowOff>
    </xdr:from>
    <xdr:to>
      <xdr:col>21</xdr:col>
      <xdr:colOff>36830</xdr:colOff>
      <xdr:row>66</xdr:row>
      <xdr:rowOff>161290</xdr:rowOff>
    </xdr:to>
    <xdr:pic>
      <xdr:nvPicPr>
        <xdr:cNvPr id="7" name="Picture 6"/>
        <xdr:cNvPicPr>
          <a:picLocks noChangeAspect="1"/>
        </xdr:cNvPicPr>
      </xdr:nvPicPr>
      <xdr:blipFill>
        <a:blip r:embed="rId5"/>
        <a:stretch>
          <a:fillRect/>
        </a:stretch>
      </xdr:blipFill>
      <xdr:spPr>
        <a:xfrm>
          <a:off x="18016220" y="12134850"/>
          <a:ext cx="4628515" cy="2002790"/>
        </a:xfrm>
        <a:prstGeom prst="rect">
          <a:avLst/>
        </a:prstGeom>
        <a:noFill/>
        <a:ln w="9525">
          <a:noFill/>
        </a:ln>
      </xdr:spPr>
    </xdr:pic>
    <xdr:clientData/>
  </xdr:twoCellAnchor>
  <xdr:twoCellAnchor editAs="oneCell">
    <xdr:from>
      <xdr:col>21</xdr:col>
      <xdr:colOff>0</xdr:colOff>
      <xdr:row>68</xdr:row>
      <xdr:rowOff>454025</xdr:rowOff>
    </xdr:from>
    <xdr:to>
      <xdr:col>24</xdr:col>
      <xdr:colOff>48260</xdr:colOff>
      <xdr:row>85</xdr:row>
      <xdr:rowOff>1270</xdr:rowOff>
    </xdr:to>
    <xdr:pic>
      <xdr:nvPicPr>
        <xdr:cNvPr id="8" name="Picture 7"/>
        <xdr:cNvPicPr>
          <a:picLocks noChangeAspect="1"/>
        </xdr:cNvPicPr>
      </xdr:nvPicPr>
      <xdr:blipFill>
        <a:blip r:embed="rId6"/>
        <a:stretch>
          <a:fillRect/>
        </a:stretch>
      </xdr:blipFill>
      <xdr:spPr>
        <a:xfrm>
          <a:off x="22607905" y="14798675"/>
          <a:ext cx="3864610" cy="32492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15</xdr:col>
      <xdr:colOff>123190</xdr:colOff>
      <xdr:row>28</xdr:row>
      <xdr:rowOff>98425</xdr:rowOff>
    </xdr:from>
    <xdr:to>
      <xdr:col>25</xdr:col>
      <xdr:colOff>582930</xdr:colOff>
      <xdr:row>43</xdr:row>
      <xdr:rowOff>150495</xdr:rowOff>
    </xdr:to>
    <xdr:graphicFrame>
      <xdr:nvGraphicFramePr>
        <xdr:cNvPr id="6" name="Chart 5" descr="7b0a202020202263686172745265734964223a202234353536333835220a7d0a"/>
        <xdr:cNvGraphicFramePr/>
      </xdr:nvGraphicFramePr>
      <xdr:xfrm>
        <a:off x="9267190" y="6540500"/>
        <a:ext cx="6555740" cy="2814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131445</xdr:colOff>
      <xdr:row>43</xdr:row>
      <xdr:rowOff>163830</xdr:rowOff>
    </xdr:from>
    <xdr:to>
      <xdr:col>27</xdr:col>
      <xdr:colOff>607060</xdr:colOff>
      <xdr:row>58</xdr:row>
      <xdr:rowOff>149860</xdr:rowOff>
    </xdr:to>
    <xdr:graphicFrame>
      <xdr:nvGraphicFramePr>
        <xdr:cNvPr id="8" name="Chart 7"/>
        <xdr:cNvGraphicFramePr/>
      </xdr:nvGraphicFramePr>
      <xdr:xfrm>
        <a:off x="9275445" y="9368155"/>
        <a:ext cx="7790815" cy="2748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13</xdr:row>
      <xdr:rowOff>179705</xdr:rowOff>
    </xdr:from>
    <xdr:to>
      <xdr:col>9</xdr:col>
      <xdr:colOff>594360</xdr:colOff>
      <xdr:row>28</xdr:row>
      <xdr:rowOff>123825</xdr:rowOff>
    </xdr:to>
    <xdr:graphicFrame>
      <xdr:nvGraphicFramePr>
        <xdr:cNvPr id="9" name="Chart 8"/>
        <xdr:cNvGraphicFramePr/>
      </xdr:nvGraphicFramePr>
      <xdr:xfrm>
        <a:off x="609600" y="3859530"/>
        <a:ext cx="5471160" cy="27063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13</xdr:row>
      <xdr:rowOff>180975</xdr:rowOff>
    </xdr:from>
    <xdr:to>
      <xdr:col>19</xdr:col>
      <xdr:colOff>19685</xdr:colOff>
      <xdr:row>28</xdr:row>
      <xdr:rowOff>73025</xdr:rowOff>
    </xdr:to>
    <xdr:graphicFrame>
      <xdr:nvGraphicFramePr>
        <xdr:cNvPr id="11" name="Chart 10"/>
        <xdr:cNvGraphicFramePr/>
      </xdr:nvGraphicFramePr>
      <xdr:xfrm>
        <a:off x="6096000" y="3860800"/>
        <a:ext cx="5506085" cy="26543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41910</xdr:colOff>
      <xdr:row>14</xdr:row>
      <xdr:rowOff>2540</xdr:rowOff>
    </xdr:from>
    <xdr:to>
      <xdr:col>27</xdr:col>
      <xdr:colOff>21590</xdr:colOff>
      <xdr:row>28</xdr:row>
      <xdr:rowOff>81280</xdr:rowOff>
    </xdr:to>
    <xdr:graphicFrame>
      <xdr:nvGraphicFramePr>
        <xdr:cNvPr id="12" name="Chart 11"/>
        <xdr:cNvGraphicFramePr/>
      </xdr:nvGraphicFramePr>
      <xdr:xfrm>
        <a:off x="11624310" y="3866515"/>
        <a:ext cx="4856480" cy="2656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562610</xdr:colOff>
      <xdr:row>28</xdr:row>
      <xdr:rowOff>92710</xdr:rowOff>
    </xdr:from>
    <xdr:to>
      <xdr:col>15</xdr:col>
      <xdr:colOff>99695</xdr:colOff>
      <xdr:row>43</xdr:row>
      <xdr:rowOff>146050</xdr:rowOff>
    </xdr:to>
    <xdr:graphicFrame>
      <xdr:nvGraphicFramePr>
        <xdr:cNvPr id="13" name="Chart 12"/>
        <xdr:cNvGraphicFramePr/>
      </xdr:nvGraphicFramePr>
      <xdr:xfrm>
        <a:off x="2391410" y="6534785"/>
        <a:ext cx="6852285" cy="281559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43</xdr:row>
      <xdr:rowOff>144780</xdr:rowOff>
    </xdr:from>
    <xdr:to>
      <xdr:col>15</xdr:col>
      <xdr:colOff>126365</xdr:colOff>
      <xdr:row>58</xdr:row>
      <xdr:rowOff>141605</xdr:rowOff>
    </xdr:to>
    <xdr:graphicFrame>
      <xdr:nvGraphicFramePr>
        <xdr:cNvPr id="14" name="Chart 13"/>
        <xdr:cNvGraphicFramePr/>
      </xdr:nvGraphicFramePr>
      <xdr:xfrm>
        <a:off x="609600" y="9349105"/>
        <a:ext cx="8660765" cy="27590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14.6793865741" refreshedBy="Chahat" recordCount="19">
  <cacheSource type="worksheet">
    <worksheetSource ref="L72:Q91" sheet="EDA &amp; Queries"/>
  </cacheSource>
  <cacheFields count="6">
    <cacheField name="Embarked" numFmtId="0">
      <sharedItems containsBlank="1" count="4">
        <m/>
        <s v="C"/>
        <s v="Q"/>
        <s v="S"/>
      </sharedItems>
    </cacheField>
    <cacheField name="Total_Count" numFmtId="0">
      <sharedItems containsSemiMixedTypes="0" containsString="0" containsNumber="1" containsInteger="1" minValue="0" maxValue="265" count="15">
        <n v="2"/>
        <n v="43"/>
        <n v="42"/>
        <n v="7"/>
        <n v="10"/>
        <n v="23"/>
        <n v="1"/>
        <n v="33"/>
        <n v="39"/>
        <n v="48"/>
        <n v="79"/>
        <n v="67"/>
        <n v="97"/>
        <n v="88"/>
        <n v="265"/>
      </sharedItems>
    </cacheField>
    <cacheField name="Pclass" numFmtId="0">
      <sharedItems containsSemiMixedTypes="0" containsString="0" containsNumber="1" containsInteger="1" minValue="0" maxValue="3" count="3">
        <n v="1"/>
        <n v="2"/>
        <n v="3"/>
      </sharedItems>
    </cacheField>
    <cacheField name="Sex" numFmtId="0">
      <sharedItems count="2">
        <s v="Female"/>
        <s v="Male"/>
      </sharedItems>
    </cacheField>
    <cacheField name="Survival_Count" numFmtId="0">
      <sharedItems containsSemiMixedTypes="0" containsString="0" containsNumber="1" containsInteger="1" minValue="0" maxValue="61" count="15">
        <n v="2"/>
        <n v="42"/>
        <n v="17"/>
        <n v="7"/>
        <n v="15"/>
        <n v="10"/>
        <n v="1"/>
        <n v="0"/>
        <n v="24"/>
        <n v="3"/>
        <n v="46"/>
        <n v="28"/>
        <n v="61"/>
        <n v="33"/>
        <n v="34"/>
      </sharedItems>
    </cacheField>
    <cacheField name="Survival_Rate" numFmtId="178">
      <sharedItems containsSemiMixedTypes="0" containsString="0" containsNumber="1" minValue="0" maxValue="100" count="15">
        <n v="100"/>
        <n v="97.67"/>
        <n v="40.48"/>
        <n v="20"/>
        <n v="65.22"/>
        <n v="23.26"/>
        <n v="0"/>
        <n v="72.73"/>
        <n v="7.69"/>
        <n v="95.83"/>
        <n v="35.44"/>
        <n v="91.04"/>
        <n v="15.46"/>
        <n v="37.5"/>
        <n v="12.83"/>
      </sharedItems>
    </cacheField>
  </cacheFields>
</pivotCacheDefinition>
</file>

<file path=xl/pivotCache/pivotCacheRecords1.xml><?xml version="1.0" encoding="utf-8"?>
<pivotCacheRecords xmlns="http://schemas.openxmlformats.org/spreadsheetml/2006/main" xmlns:r="http://schemas.openxmlformats.org/officeDocument/2006/relationships" count="19">
  <r>
    <x v="0"/>
    <x v="0"/>
    <x v="0"/>
    <x v="0"/>
    <x v="0"/>
    <x v="0"/>
  </r>
  <r>
    <x v="1"/>
    <x v="1"/>
    <x v="0"/>
    <x v="0"/>
    <x v="1"/>
    <x v="1"/>
  </r>
  <r>
    <x v="1"/>
    <x v="2"/>
    <x v="0"/>
    <x v="1"/>
    <x v="2"/>
    <x v="2"/>
  </r>
  <r>
    <x v="1"/>
    <x v="3"/>
    <x v="1"/>
    <x v="0"/>
    <x v="3"/>
    <x v="0"/>
  </r>
  <r>
    <x v="1"/>
    <x v="4"/>
    <x v="1"/>
    <x v="1"/>
    <x v="0"/>
    <x v="3"/>
  </r>
  <r>
    <x v="1"/>
    <x v="5"/>
    <x v="2"/>
    <x v="0"/>
    <x v="4"/>
    <x v="4"/>
  </r>
  <r>
    <x v="1"/>
    <x v="1"/>
    <x v="2"/>
    <x v="1"/>
    <x v="5"/>
    <x v="5"/>
  </r>
  <r>
    <x v="2"/>
    <x v="6"/>
    <x v="0"/>
    <x v="0"/>
    <x v="6"/>
    <x v="0"/>
  </r>
  <r>
    <x v="2"/>
    <x v="6"/>
    <x v="0"/>
    <x v="1"/>
    <x v="7"/>
    <x v="6"/>
  </r>
  <r>
    <x v="2"/>
    <x v="0"/>
    <x v="1"/>
    <x v="0"/>
    <x v="0"/>
    <x v="0"/>
  </r>
  <r>
    <x v="2"/>
    <x v="6"/>
    <x v="1"/>
    <x v="1"/>
    <x v="7"/>
    <x v="6"/>
  </r>
  <r>
    <x v="2"/>
    <x v="7"/>
    <x v="2"/>
    <x v="0"/>
    <x v="8"/>
    <x v="7"/>
  </r>
  <r>
    <x v="2"/>
    <x v="8"/>
    <x v="2"/>
    <x v="1"/>
    <x v="9"/>
    <x v="8"/>
  </r>
  <r>
    <x v="3"/>
    <x v="9"/>
    <x v="0"/>
    <x v="0"/>
    <x v="10"/>
    <x v="9"/>
  </r>
  <r>
    <x v="3"/>
    <x v="10"/>
    <x v="0"/>
    <x v="1"/>
    <x v="11"/>
    <x v="10"/>
  </r>
  <r>
    <x v="3"/>
    <x v="11"/>
    <x v="1"/>
    <x v="0"/>
    <x v="12"/>
    <x v="11"/>
  </r>
  <r>
    <x v="3"/>
    <x v="12"/>
    <x v="1"/>
    <x v="1"/>
    <x v="4"/>
    <x v="12"/>
  </r>
  <r>
    <x v="3"/>
    <x v="13"/>
    <x v="2"/>
    <x v="0"/>
    <x v="13"/>
    <x v="13"/>
  </r>
  <r>
    <x v="3"/>
    <x v="14"/>
    <x v="2"/>
    <x v="1"/>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S72:U84" firstHeaderRow="1" firstDataRow="1" firstDataCol="2" rowPageCount="1" colPageCount="1"/>
  <pivotFields count="6">
    <pivotField axis="axisRow" compact="0" showAll="0">
      <items count="5">
        <item x="1"/>
        <item x="2"/>
        <item x="3"/>
        <item x="0"/>
        <item t="default"/>
      </items>
    </pivotField>
    <pivotField compact="0" showAll="0"/>
    <pivotField axis="axisPage" compact="0" multipleItemSelectionAllowed="1" showAll="0">
      <items count="4">
        <item x="0"/>
        <item h="1" x="1"/>
        <item h="1" x="2"/>
        <item t="default"/>
      </items>
    </pivotField>
    <pivotField axis="axisRow" compact="0" showAll="0">
      <items count="3">
        <item x="0"/>
        <item x="1"/>
        <item t="default"/>
      </items>
    </pivotField>
    <pivotField compact="0" showAll="0"/>
    <pivotField dataField="1" compact="0" numFmtId="178" showAll="0">
      <items count="16">
        <item x="6"/>
        <item x="8"/>
        <item x="14"/>
        <item x="12"/>
        <item x="3"/>
        <item x="5"/>
        <item x="10"/>
        <item x="13"/>
        <item x="2"/>
        <item x="4"/>
        <item x="7"/>
        <item x="11"/>
        <item x="9"/>
        <item x="1"/>
        <item x="0"/>
        <item t="default"/>
      </items>
    </pivotField>
  </pivotFields>
  <rowFields count="2">
    <field x="0"/>
    <field x="3"/>
  </rowFields>
  <rowItems count="12">
    <i>
      <x/>
    </i>
    <i r="1">
      <x/>
    </i>
    <i r="1">
      <x v="1"/>
    </i>
    <i>
      <x v="1"/>
    </i>
    <i r="1">
      <x/>
    </i>
    <i r="1">
      <x v="1"/>
    </i>
    <i>
      <x v="2"/>
    </i>
    <i r="1">
      <x/>
    </i>
    <i r="1">
      <x v="1"/>
    </i>
    <i>
      <x v="3"/>
    </i>
    <i r="1">
      <x/>
    </i>
    <i t="grand">
      <x/>
    </i>
  </rowItems>
  <colItems count="1">
    <i/>
  </colItems>
  <pageFields count="1">
    <pageField fld="2"/>
  </pageFields>
  <dataFields count="1">
    <dataField name="Average of Survival_Rate" fld="5" subtotal="average"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21" displayName="Table21" ref="A39:B43" totalsRowShown="0">
  <autoFilter xmlns:etc="http://www.wps.cn/officeDocument/2017/etCustomData" ref="A39:B43" etc:filterBottomFollowUsedRange="0"/>
  <tableColumns count="2">
    <tableColumn id="1" name="Metric"/>
    <tableColumn id="2" name="Description"/>
  </tableColumns>
  <tableStyleInfo name="TableStylePreset3_Accent1" showFirstColumn="0" showLastColumn="0" showRowStripes="1" showColumnStripes="0"/>
</table>
</file>

<file path=xl/tables/table2.xml><?xml version="1.0" encoding="utf-8"?>
<table xmlns="http://schemas.openxmlformats.org/spreadsheetml/2006/main" id="11" name="Table11" displayName="Table11" ref="A23:B35" totalsRowShown="0">
  <autoFilter xmlns:etc="http://www.wps.cn/officeDocument/2017/etCustomData" ref="A23:B35" etc:filterBottomFollowUsedRange="0"/>
  <tableColumns count="2">
    <tableColumn id="1" name="Column1" dataDxfId="0"/>
    <tableColumn id="2" name="Column2" dataDxfId="1"/>
  </tableColumns>
  <tableStyleInfo name="TableStylePreset3_Accent1" showFirstColumn="0" showLastColumn="0" showRowStripes="1" showColumnStripes="0"/>
</table>
</file>

<file path=xl/tables/table3.xml><?xml version="1.0" encoding="utf-8"?>
<table xmlns="http://schemas.openxmlformats.org/spreadsheetml/2006/main" id="12" name="Table1_13" displayName="Table1_13" ref="L6:P7" totalsRowShown="0">
  <autoFilter xmlns:etc="http://www.wps.cn/officeDocument/2017/etCustomData" ref="L6:P7" etc:filterBottomFollowUsedRange="0"/>
  <tableColumns count="5">
    <tableColumn id="1" name="Total_Passengers"/>
    <tableColumn id="2" name="Survived"/>
    <tableColumn id="3" name="Not_Survived"/>
    <tableColumn id="4" name="Survival_Rate" dataDxfId="2"/>
    <tableColumn id="5" name="Non_Survival_Rate" dataDxfId="3"/>
  </tableColumns>
  <tableStyleInfo name="TableStylePreset3_Accent1" showFirstColumn="0" showLastColumn="0" showRowStripes="1" showColumnStripes="0"/>
</table>
</file>

<file path=xl/tables/table4.xml><?xml version="1.0" encoding="utf-8"?>
<table xmlns="http://schemas.openxmlformats.org/spreadsheetml/2006/main" id="13" name="Table2_414" displayName="Table2_414" ref="L19:O21" totalsRowShown="0">
  <autoFilter xmlns:etc="http://www.wps.cn/officeDocument/2017/etCustomData" ref="L19:O21" etc:filterBottomFollowUsedRange="0"/>
  <tableColumns count="4">
    <tableColumn id="1" name="Sex"/>
    <tableColumn id="2" name="Total"/>
    <tableColumn id="3" name="Survivors"/>
    <tableColumn id="4" name="Survival_Rate"/>
  </tableColumns>
  <tableStyleInfo name="TableStylePreset3_Accent1" showFirstColumn="0" showLastColumn="0" showRowStripes="1" showColumnStripes="0"/>
</table>
</file>

<file path=xl/tables/table5.xml><?xml version="1.0" encoding="utf-8"?>
<table xmlns="http://schemas.openxmlformats.org/spreadsheetml/2006/main" id="14" name="Table6_15" displayName="Table6_15" ref="L30:Q33" totalsRowShown="0">
  <autoFilter xmlns:etc="http://www.wps.cn/officeDocument/2017/etCustomData" ref="L30:Q33" etc:filterBottomFollowUsedRange="0"/>
  <tableColumns count="6">
    <tableColumn id="1" name="Pclass"/>
    <tableColumn id="2" name="COUNT(*)"/>
    <tableColumn id="3" name="Survived"/>
    <tableColumn id="4" name="Survival_Rate" dataDxfId="4"/>
    <tableColumn id="5" name="Not_Survived" dataDxfId="5">
      <calculatedColumnFormula>M31-N31</calculatedColumnFormula>
    </tableColumn>
    <tableColumn id="6" name="Non_Survival_Rate" dataDxfId="6">
      <calculatedColumnFormula>(P31/M31)*100</calculatedColumnFormula>
    </tableColumn>
  </tableColumns>
  <tableStyleInfo name="TableStylePreset3_Accent1" showFirstColumn="0" showLastColumn="0" showRowStripes="1" showColumnStripes="0"/>
</table>
</file>

<file path=xl/tables/table6.xml><?xml version="1.0" encoding="utf-8"?>
<table xmlns="http://schemas.openxmlformats.org/spreadsheetml/2006/main" id="16" name="Table7_17" displayName="Table7_17" ref="L42:P51" totalsRowShown="0">
  <autoFilter xmlns:etc="http://www.wps.cn/officeDocument/2017/etCustomData" ref="L42:P51" etc:filterBottomFollowUsedRange="0"/>
  <tableColumns count="5">
    <tableColumn id="1" name="Family_Size"/>
    <tableColumn id="2" name="Total_Passengers"/>
    <tableColumn id="3" name="Survived"/>
    <tableColumn id="4" name="Survival_Rate" dataDxfId="7"/>
    <tableColumn id="5" name="Column1"/>
  </tableColumns>
  <tableStyleInfo name="TableStylePreset3_Accent1" showFirstColumn="0" showLastColumn="0" showRowStripes="1" showColumnStripes="0"/>
</table>
</file>

<file path=xl/tables/table7.xml><?xml version="1.0" encoding="utf-8"?>
<table xmlns="http://schemas.openxmlformats.org/spreadsheetml/2006/main" id="17" name="Table8_18" displayName="Table8_18" ref="L57:R67" totalsRowShown="0">
  <autoFilter xmlns:etc="http://www.wps.cn/officeDocument/2017/etCustomData" ref="L57:R67" etc:filterBottomFollowUsedRange="0"/>
  <tableColumns count="7">
    <tableColumn id="1" name="Age_Group"/>
    <tableColumn id="2" name="Sex"/>
    <tableColumn id="3" name="Count(*)"/>
    <tableColumn id="4" name="Survival_Count"/>
    <tableColumn id="5" name="Survival_Rate" dataDxfId="8"/>
    <tableColumn id="6" name="Column1"/>
    <tableColumn id="7" name="Column2"/>
  </tableColumns>
  <tableStyleInfo name="TableStylePreset3_Accent1" showFirstColumn="0" showLastColumn="0" showRowStripes="1" showColumnStripes="0"/>
</table>
</file>

<file path=xl/tables/table8.xml><?xml version="1.0" encoding="utf-8"?>
<table xmlns="http://schemas.openxmlformats.org/spreadsheetml/2006/main" id="18" name="Table9_19" displayName="Table9_19" ref="L72:Q91" totalsRowShown="0">
  <autoFilter xmlns:etc="http://www.wps.cn/officeDocument/2017/etCustomData" ref="L72:Q91" etc:filterBottomFollowUsedRange="0"/>
  <tableColumns count="6">
    <tableColumn id="1" name="Embarked"/>
    <tableColumn id="2" name="Total_Count"/>
    <tableColumn id="3" name="Pclass"/>
    <tableColumn id="4" name="Sex"/>
    <tableColumn id="5" name="Survival_Count"/>
    <tableColumn id="6" name="Survival_Rate" dataDxfId="9"/>
  </tableColumns>
  <tableStyleInfo name="TableStylePreset3_Accent1" showFirstColumn="0" showLastColumn="0" showRowStripes="1" showColumnStripes="0"/>
</table>
</file>

<file path=xl/tables/table9.xml><?xml version="1.0" encoding="utf-8"?>
<table xmlns="http://schemas.openxmlformats.org/spreadsheetml/2006/main" id="19" name="Table10_20" displayName="Table10_20" ref="L106:P115" totalsRowShown="0">
  <autoFilter xmlns:etc="http://www.wps.cn/officeDocument/2017/etCustomData" ref="L106:P115" etc:filterBottomFollowUsedRange="0"/>
  <tableColumns count="5">
    <tableColumn id="1" name="Fare_Range"/>
    <tableColumn id="2" name="Embarked"/>
    <tableColumn id="3" name="COUNT(*)"/>
    <tableColumn id="4" name="Survival_Count"/>
    <tableColumn id="5" name="Survival_Rate" dataDxfId="10"/>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9"/>
  <sheetViews>
    <sheetView topLeftCell="A6" workbookViewId="0">
      <selection activeCell="B13" sqref="B13"/>
    </sheetView>
  </sheetViews>
  <sheetFormatPr defaultColWidth="8.72727272727273" defaultRowHeight="14.5" outlineLevelCol="5"/>
  <cols>
    <col min="1" max="1" width="26.6363636363636" customWidth="1"/>
    <col min="2" max="2" width="67.0909090909091" customWidth="1"/>
    <col min="6" max="6" width="40.8181818181818" customWidth="1"/>
  </cols>
  <sheetData>
    <row r="1" ht="21" spans="1:6">
      <c r="A1" s="145" t="s">
        <v>0</v>
      </c>
      <c r="B1" s="146"/>
      <c r="C1" s="147"/>
      <c r="D1" s="147"/>
      <c r="E1" s="147"/>
      <c r="F1" s="147"/>
    </row>
    <row r="2" ht="21" spans="1:6">
      <c r="A2" s="148"/>
      <c r="B2" s="149"/>
      <c r="C2" s="147"/>
      <c r="D2" s="147"/>
      <c r="E2" s="147"/>
      <c r="F2" s="147"/>
    </row>
    <row r="3" spans="1:6">
      <c r="A3" s="150"/>
      <c r="B3" s="150"/>
      <c r="C3" s="150"/>
      <c r="D3" s="150"/>
      <c r="E3" s="150"/>
      <c r="F3" s="150"/>
    </row>
    <row r="4" customFormat="1" ht="15.5" spans="1:6">
      <c r="A4" s="115" t="s">
        <v>1</v>
      </c>
      <c r="B4" s="115"/>
      <c r="C4" s="150"/>
      <c r="D4" s="150"/>
      <c r="E4" s="150"/>
      <c r="F4" s="150"/>
    </row>
    <row r="5" customFormat="1" spans="1:6">
      <c r="A5" s="9" t="s">
        <v>2</v>
      </c>
      <c r="B5" s="9"/>
      <c r="C5" s="62"/>
      <c r="D5" s="62"/>
      <c r="E5" s="62"/>
      <c r="F5" s="62"/>
    </row>
    <row r="6" customFormat="1" ht="26" customHeight="1" spans="1:6">
      <c r="A6" s="9"/>
      <c r="B6" s="9"/>
      <c r="C6" s="62"/>
      <c r="D6" s="62"/>
      <c r="E6" s="62"/>
      <c r="F6" s="62"/>
    </row>
    <row r="7" customFormat="1" ht="26" customHeight="1" spans="1:6">
      <c r="A7" s="9"/>
      <c r="B7" s="9"/>
      <c r="C7" s="62"/>
      <c r="D7" s="62"/>
      <c r="E7" s="62"/>
      <c r="F7" s="62"/>
    </row>
    <row r="8" customFormat="1" ht="25" customHeight="1" spans="1:6">
      <c r="A8" s="151" t="s">
        <v>3</v>
      </c>
      <c r="B8" s="9"/>
      <c r="C8" s="62"/>
      <c r="D8" s="62"/>
      <c r="E8" s="62"/>
      <c r="F8" s="62"/>
    </row>
    <row r="9" customFormat="1" ht="26" hidden="1" customHeight="1" spans="1:6">
      <c r="B9" s="9"/>
      <c r="C9" s="62"/>
      <c r="D9" s="62"/>
      <c r="E9" s="62"/>
      <c r="F9" s="62"/>
    </row>
    <row r="10" customFormat="1" ht="15" customHeight="1" spans="1:6">
      <c r="A10" s="152" t="s">
        <v>4</v>
      </c>
      <c r="B10" s="152"/>
      <c r="C10" s="62"/>
      <c r="D10" s="62"/>
      <c r="E10" s="62"/>
      <c r="F10" s="62"/>
    </row>
    <row r="11" customFormat="1" ht="22" customHeight="1" spans="1:6">
      <c r="A11" s="9"/>
      <c r="B11" s="9"/>
      <c r="C11" s="62"/>
      <c r="D11" s="62"/>
      <c r="E11" s="62"/>
      <c r="F11" s="62"/>
    </row>
    <row r="12" customFormat="1" ht="26" customHeight="1" spans="1:6">
      <c r="A12" s="151" t="s">
        <v>5</v>
      </c>
      <c r="B12" s="9"/>
      <c r="C12" s="62"/>
      <c r="D12" s="62"/>
      <c r="E12" s="62"/>
      <c r="F12" s="62"/>
    </row>
    <row r="13" customFormat="1" ht="51" customHeight="1" spans="1:6">
      <c r="A13" s="153" t="s">
        <v>6</v>
      </c>
      <c r="B13" s="9"/>
      <c r="C13" s="62"/>
      <c r="D13" s="62"/>
      <c r="E13" s="62"/>
      <c r="F13" s="62"/>
    </row>
    <row r="14" customFormat="1" spans="1:6">
      <c r="A14" s="154"/>
      <c r="B14" s="150"/>
      <c r="C14" s="150"/>
      <c r="D14" s="150"/>
      <c r="E14" s="150"/>
      <c r="F14" s="150"/>
    </row>
    <row r="15" customFormat="1" ht="15.5" spans="1:6">
      <c r="A15" s="115" t="s">
        <v>7</v>
      </c>
      <c r="B15" s="115"/>
    </row>
    <row r="16" spans="1:6">
      <c r="A16" s="9" t="s">
        <v>8</v>
      </c>
      <c r="B16" s="9"/>
      <c r="C16" s="62"/>
      <c r="D16" s="62"/>
      <c r="E16" s="62"/>
      <c r="F16" s="62"/>
    </row>
    <row r="17" ht="34" customHeight="1" spans="1:6">
      <c r="A17" s="9"/>
      <c r="B17" s="9"/>
      <c r="C17" s="62"/>
      <c r="D17" s="62"/>
      <c r="E17" s="62"/>
      <c r="F17" s="62"/>
    </row>
    <row r="18" ht="29" customHeight="1" spans="1:6">
      <c r="A18" s="9"/>
      <c r="B18" s="9"/>
      <c r="C18" s="62"/>
      <c r="D18" s="62"/>
      <c r="E18" s="62"/>
      <c r="F18" s="62"/>
    </row>
    <row r="19" spans="1:6">
      <c r="A19" s="155"/>
      <c r="B19" s="155"/>
      <c r="C19" s="155"/>
      <c r="D19" s="155"/>
      <c r="E19" s="155"/>
      <c r="F19" s="155"/>
    </row>
    <row r="21" customFormat="1" ht="15.5" spans="1:6">
      <c r="A21" s="115" t="s">
        <v>9</v>
      </c>
      <c r="B21" s="115"/>
    </row>
    <row r="22" customFormat="1" ht="29" customHeight="1" spans="1:6">
      <c r="A22" s="9" t="s">
        <v>10</v>
      </c>
      <c r="B22" s="9"/>
      <c r="D22" s="5"/>
    </row>
    <row r="23" customFormat="1" spans="1:6">
      <c r="A23" t="s">
        <v>11</v>
      </c>
      <c r="B23" t="s">
        <v>12</v>
      </c>
      <c r="C23" s="68"/>
      <c r="D23" s="68"/>
    </row>
    <row r="24" customFormat="1" ht="22" customHeight="1" spans="1:6">
      <c r="A24" s="156" t="s">
        <v>13</v>
      </c>
      <c r="B24" s="68" t="s">
        <v>14</v>
      </c>
      <c r="C24" s="68"/>
      <c r="D24" s="68"/>
    </row>
    <row r="25" customFormat="1" ht="18" customHeight="1" spans="1:6">
      <c r="A25" s="156" t="s">
        <v>15</v>
      </c>
      <c r="B25" s="68" t="s">
        <v>16</v>
      </c>
      <c r="C25" s="68"/>
      <c r="D25" s="68"/>
    </row>
    <row r="26" customFormat="1" spans="1:6">
      <c r="A26" s="156" t="s">
        <v>17</v>
      </c>
      <c r="B26" s="68" t="s">
        <v>18</v>
      </c>
    </row>
    <row r="27" customFormat="1" spans="1:6">
      <c r="A27" s="156" t="s">
        <v>19</v>
      </c>
      <c r="B27" s="68" t="s">
        <v>20</v>
      </c>
    </row>
    <row r="28" customFormat="1" spans="1:6">
      <c r="A28" s="156" t="s">
        <v>21</v>
      </c>
      <c r="B28" s="68" t="s">
        <v>22</v>
      </c>
    </row>
    <row r="29" customFormat="1" spans="1:6">
      <c r="A29" s="156" t="s">
        <v>23</v>
      </c>
      <c r="B29" s="68" t="s">
        <v>24</v>
      </c>
    </row>
    <row r="30" customFormat="1" ht="21" customHeight="1" spans="1:6">
      <c r="A30" s="156" t="s">
        <v>25</v>
      </c>
      <c r="B30" s="68" t="s">
        <v>26</v>
      </c>
    </row>
    <row r="31" customFormat="1" ht="37" customHeight="1" spans="1:6">
      <c r="A31" s="156" t="s">
        <v>27</v>
      </c>
      <c r="B31" s="68" t="s">
        <v>28</v>
      </c>
    </row>
    <row r="32" customFormat="1" spans="1:6">
      <c r="A32" s="156" t="s">
        <v>29</v>
      </c>
      <c r="B32" s="62" t="s">
        <v>30</v>
      </c>
    </row>
    <row r="33" customFormat="1" spans="1:6">
      <c r="A33" s="156" t="s">
        <v>31</v>
      </c>
      <c r="B33" s="68" t="s">
        <v>32</v>
      </c>
    </row>
    <row r="34" customFormat="1" spans="1:6">
      <c r="A34" s="156" t="s">
        <v>33</v>
      </c>
      <c r="B34" s="68" t="s">
        <v>34</v>
      </c>
    </row>
    <row r="35" customFormat="1" spans="1:6">
      <c r="A35" s="156" t="s">
        <v>35</v>
      </c>
      <c r="B35" s="68" t="s">
        <v>36</v>
      </c>
    </row>
    <row r="36" customFormat="1" spans="1:6">
      <c r="A36" s="68"/>
      <c r="B36" s="68"/>
    </row>
    <row r="38" customFormat="1" ht="15.5" spans="1:6">
      <c r="A38" s="115" t="s">
        <v>37</v>
      </c>
      <c r="B38" s="115"/>
    </row>
    <row r="39" customFormat="1" spans="1:6">
      <c r="A39" s="157" t="s">
        <v>38</v>
      </c>
      <c r="B39" s="157" t="s">
        <v>39</v>
      </c>
    </row>
    <row r="40" customFormat="1" ht="16" customHeight="1" spans="1:6">
      <c r="A40" s="62" t="s">
        <v>40</v>
      </c>
      <c r="B40" s="9">
        <v>891</v>
      </c>
    </row>
    <row r="41" customFormat="1" spans="1:6">
      <c r="A41" t="s">
        <v>41</v>
      </c>
      <c r="B41" t="s">
        <v>42</v>
      </c>
    </row>
    <row r="42" customFormat="1" spans="1:6">
      <c r="A42" t="s">
        <v>43</v>
      </c>
      <c r="B42" s="62" t="s">
        <v>44</v>
      </c>
    </row>
    <row r="43" customFormat="1" ht="19" customHeight="1" spans="1:6">
      <c r="A43" t="s">
        <v>45</v>
      </c>
      <c r="B43" t="s">
        <v>46</v>
      </c>
    </row>
    <row r="46" customFormat="1" spans="1:6">
      <c r="A46" s="156"/>
      <c r="B46" s="156"/>
    </row>
    <row r="47" spans="1:6">
      <c r="A47" s="62"/>
      <c r="B47" s="62"/>
      <c r="C47" s="5"/>
      <c r="D47" s="5"/>
      <c r="E47" s="5"/>
      <c r="F47" s="5"/>
    </row>
    <row r="48" spans="1:6">
      <c r="A48" s="62"/>
      <c r="B48" s="62"/>
      <c r="C48" s="5"/>
      <c r="D48" s="5"/>
      <c r="E48" s="5"/>
      <c r="F48" s="5"/>
    </row>
    <row r="49" ht="28" customHeight="1" spans="1:2">
      <c r="A49" s="62"/>
      <c r="B49" s="62"/>
    </row>
  </sheetData>
  <mergeCells count="10">
    <mergeCell ref="A4:B4"/>
    <mergeCell ref="A10:B10"/>
    <mergeCell ref="A15:B15"/>
    <mergeCell ref="A19:F19"/>
    <mergeCell ref="A21:B21"/>
    <mergeCell ref="A22:B22"/>
    <mergeCell ref="A38:B38"/>
    <mergeCell ref="A5:B6"/>
    <mergeCell ref="A1:B2"/>
    <mergeCell ref="A16:B18"/>
  </mergeCells>
  <pageMargins left="0.75" right="0.75" top="1" bottom="1" header="0.5" footer="0.5"/>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5"/>
  <sheetViews>
    <sheetView topLeftCell="A16" workbookViewId="0">
      <selection activeCell="H14" sqref="H14"/>
    </sheetView>
  </sheetViews>
  <sheetFormatPr defaultColWidth="8.72727272727273" defaultRowHeight="14.5"/>
  <cols>
    <col min="1" max="1" width="3.45454545454545" customWidth="1"/>
    <col min="4" max="4" width="21.1818181818182" customWidth="1"/>
  </cols>
  <sheetData>
    <row r="1" ht="21" spans="1:9">
      <c r="A1" s="57" t="s">
        <v>47</v>
      </c>
      <c r="B1" s="58"/>
      <c r="C1" s="58"/>
      <c r="D1" s="58"/>
      <c r="E1" s="58"/>
      <c r="F1" s="59"/>
    </row>
    <row r="3" spans="1:9">
      <c r="A3" s="9" t="s">
        <v>48</v>
      </c>
      <c r="B3" s="9"/>
      <c r="C3" s="9"/>
      <c r="D3" s="9"/>
      <c r="E3" s="9"/>
      <c r="F3" s="9"/>
      <c r="G3" s="62"/>
      <c r="H3" s="62"/>
      <c r="I3" s="62"/>
    </row>
    <row r="4" spans="1:9">
      <c r="A4" s="9"/>
      <c r="B4" s="9"/>
      <c r="C4" s="9"/>
      <c r="D4" s="9"/>
      <c r="E4" s="9"/>
      <c r="F4" s="9"/>
      <c r="G4" s="62"/>
      <c r="H4" s="62"/>
      <c r="I4" s="62"/>
    </row>
    <row r="5" spans="1:9">
      <c r="A5" s="9"/>
      <c r="B5" s="9"/>
      <c r="C5" s="9"/>
      <c r="D5" s="9"/>
      <c r="E5" s="9"/>
      <c r="F5" s="9"/>
      <c r="G5" s="62"/>
      <c r="H5" s="62"/>
      <c r="I5" s="62"/>
    </row>
    <row r="6" spans="1:9">
      <c r="A6" s="9"/>
      <c r="B6" s="9"/>
      <c r="C6" s="9"/>
      <c r="D6" s="9"/>
      <c r="E6" s="9"/>
      <c r="F6" s="9"/>
      <c r="G6" s="62"/>
      <c r="H6" s="62"/>
      <c r="I6" s="62"/>
    </row>
    <row r="7" ht="36" customHeight="1" spans="1:9">
      <c r="A7" s="9"/>
      <c r="B7" s="9"/>
      <c r="C7" s="9"/>
      <c r="D7" s="9"/>
      <c r="E7" s="9"/>
      <c r="F7" s="9"/>
      <c r="G7" s="62"/>
      <c r="H7" s="62"/>
      <c r="I7" s="62"/>
    </row>
    <row r="8" ht="7" hidden="1" customHeight="1" spans="1:9">
      <c r="A8" s="62"/>
      <c r="B8" s="62"/>
      <c r="C8" s="62"/>
      <c r="D8" s="62"/>
      <c r="E8" s="62"/>
      <c r="F8" s="62"/>
      <c r="G8" s="62"/>
      <c r="H8" s="62"/>
      <c r="I8" s="62"/>
    </row>
    <row r="9" ht="25" customHeight="1"/>
    <row r="10" ht="25" customHeight="1" spans="1:9">
      <c r="A10" s="115" t="s">
        <v>49</v>
      </c>
      <c r="B10" s="115"/>
      <c r="C10" s="115"/>
      <c r="D10" s="115"/>
      <c r="E10" s="115"/>
      <c r="F10" s="5"/>
    </row>
    <row r="11" spans="1:9">
      <c r="A11" s="6">
        <v>1</v>
      </c>
      <c r="B11" s="116" t="s">
        <v>50</v>
      </c>
      <c r="C11" s="117"/>
      <c r="D11" s="117"/>
      <c r="E11" s="117"/>
      <c r="F11" s="118"/>
    </row>
    <row r="12" spans="1:9">
      <c r="A12" s="119"/>
      <c r="B12" s="120" t="s">
        <v>51</v>
      </c>
      <c r="C12" s="121"/>
      <c r="D12" s="121"/>
      <c r="E12" s="121"/>
      <c r="F12" s="122"/>
    </row>
    <row r="13" spans="1:9">
      <c r="A13" s="5"/>
      <c r="B13" s="120"/>
      <c r="C13" s="121"/>
      <c r="D13" s="121"/>
      <c r="E13" s="121"/>
      <c r="F13" s="122"/>
    </row>
    <row r="14" ht="32" customHeight="1" spans="1:9">
      <c r="A14" s="119"/>
      <c r="B14" s="123"/>
      <c r="C14" s="124"/>
      <c r="D14" s="124"/>
      <c r="E14" s="124"/>
      <c r="F14" s="125"/>
    </row>
    <row r="15" spans="1:9">
      <c r="A15" s="5"/>
      <c r="B15" s="5"/>
      <c r="C15" s="5"/>
      <c r="D15" s="5"/>
      <c r="E15" s="5"/>
      <c r="F15" s="5"/>
    </row>
    <row r="16" spans="1:9">
      <c r="A16" s="6">
        <v>2</v>
      </c>
      <c r="B16" s="116" t="s">
        <v>52</v>
      </c>
      <c r="C16" s="117"/>
      <c r="D16" s="117"/>
      <c r="E16" s="117"/>
      <c r="F16" s="118"/>
    </row>
    <row r="17" spans="1:6">
      <c r="A17" s="5"/>
      <c r="B17" s="120" t="s">
        <v>53</v>
      </c>
      <c r="C17" s="121"/>
      <c r="D17" s="121"/>
      <c r="E17" s="121"/>
      <c r="F17" s="122"/>
    </row>
    <row r="18" spans="1:6">
      <c r="A18" s="126"/>
      <c r="B18" s="120"/>
      <c r="C18" s="121"/>
      <c r="D18" s="121"/>
      <c r="E18" s="121"/>
      <c r="F18" s="122"/>
    </row>
    <row r="19" spans="1:6">
      <c r="A19" s="5"/>
      <c r="B19" s="123"/>
      <c r="C19" s="124"/>
      <c r="D19" s="124"/>
      <c r="E19" s="124"/>
      <c r="F19" s="125"/>
    </row>
    <row r="20" spans="1:6">
      <c r="A20" s="119"/>
      <c r="B20" s="5"/>
      <c r="C20" s="5"/>
      <c r="D20" s="5"/>
      <c r="E20" s="5"/>
      <c r="F20" s="5"/>
    </row>
    <row r="21" ht="39" customHeight="1" spans="1:6">
      <c r="A21" s="5">
        <v>3</v>
      </c>
      <c r="B21" s="127" t="s">
        <v>54</v>
      </c>
      <c r="C21" s="128"/>
      <c r="D21" s="128"/>
      <c r="E21" s="128"/>
      <c r="F21" s="129"/>
    </row>
    <row r="22" spans="1:6">
      <c r="A22" s="119"/>
      <c r="B22" s="120" t="s">
        <v>55</v>
      </c>
      <c r="C22" s="121"/>
      <c r="D22" s="121"/>
      <c r="E22" s="121"/>
      <c r="F22" s="122"/>
    </row>
    <row r="23" spans="1:6">
      <c r="A23" s="119"/>
      <c r="B23" s="120"/>
      <c r="C23" s="121"/>
      <c r="D23" s="121"/>
      <c r="E23" s="121"/>
      <c r="F23" s="122"/>
    </row>
    <row r="24" spans="1:6">
      <c r="A24" s="119"/>
      <c r="B24" s="120"/>
      <c r="C24" s="121"/>
      <c r="D24" s="121"/>
      <c r="E24" s="121"/>
      <c r="F24" s="122"/>
    </row>
    <row r="25" spans="1:6">
      <c r="A25" s="5"/>
      <c r="B25" s="120"/>
      <c r="C25" s="121"/>
      <c r="D25" s="121"/>
      <c r="E25" s="121"/>
      <c r="F25" s="122"/>
    </row>
    <row r="26" spans="1:6">
      <c r="A26" s="5"/>
      <c r="B26" s="120"/>
      <c r="C26" s="121"/>
      <c r="D26" s="121"/>
      <c r="E26" s="121"/>
      <c r="F26" s="122"/>
    </row>
    <row r="27" spans="1:6">
      <c r="A27" s="5"/>
      <c r="B27" s="120"/>
      <c r="C27" s="121"/>
      <c r="D27" s="121"/>
      <c r="E27" s="121"/>
      <c r="F27" s="122"/>
    </row>
    <row r="28" spans="1:6">
      <c r="A28" s="5"/>
      <c r="B28" s="120"/>
      <c r="C28" s="121"/>
      <c r="D28" s="121"/>
      <c r="E28" s="121"/>
      <c r="F28" s="122"/>
    </row>
    <row r="29" spans="1:6">
      <c r="A29" s="5"/>
      <c r="B29" s="120"/>
      <c r="C29" s="121"/>
      <c r="D29" s="121"/>
      <c r="E29" s="121"/>
      <c r="F29" s="122"/>
    </row>
    <row r="30" spans="1:6">
      <c r="A30" s="5"/>
      <c r="B30" s="123"/>
      <c r="C30" s="124"/>
      <c r="D30" s="124"/>
      <c r="E30" s="124"/>
      <c r="F30" s="125"/>
    </row>
    <row r="31" spans="1:6">
      <c r="A31" s="5"/>
      <c r="B31" s="5"/>
      <c r="C31" s="5"/>
      <c r="D31" s="5"/>
      <c r="E31" s="5"/>
      <c r="F31" s="5"/>
    </row>
    <row r="32" spans="1:6">
      <c r="A32" s="6">
        <v>4</v>
      </c>
      <c r="B32" s="116" t="s">
        <v>56</v>
      </c>
      <c r="C32" s="130"/>
      <c r="D32" s="130"/>
      <c r="E32" s="130"/>
      <c r="F32" s="131"/>
    </row>
    <row r="33" spans="1:6">
      <c r="A33" s="126"/>
      <c r="B33" s="132" t="s">
        <v>57</v>
      </c>
      <c r="C33" s="133"/>
      <c r="D33" s="133"/>
      <c r="E33" s="133"/>
      <c r="F33" s="134"/>
    </row>
    <row r="34" spans="1:6">
      <c r="A34" s="5"/>
      <c r="B34" s="135"/>
      <c r="C34" s="133"/>
      <c r="D34" s="133"/>
      <c r="E34" s="133"/>
      <c r="F34" s="134"/>
    </row>
    <row r="35" ht="29" customHeight="1" spans="1:6">
      <c r="A35" s="119"/>
      <c r="B35" s="136"/>
      <c r="C35" s="137"/>
      <c r="D35" s="137"/>
      <c r="E35" s="137"/>
      <c r="F35" s="138"/>
    </row>
    <row r="36" spans="1:6">
      <c r="A36" s="5"/>
      <c r="B36" s="5"/>
      <c r="C36" s="5"/>
      <c r="D36" s="5"/>
      <c r="E36" s="5"/>
      <c r="F36" s="5"/>
    </row>
    <row r="37" spans="1:6">
      <c r="A37" s="6">
        <v>5</v>
      </c>
      <c r="B37" s="116" t="s">
        <v>58</v>
      </c>
      <c r="C37" s="130"/>
      <c r="D37" s="130"/>
      <c r="E37" s="130"/>
      <c r="F37" s="131"/>
    </row>
    <row r="38" spans="1:6">
      <c r="A38" s="5"/>
      <c r="B38" s="120" t="s">
        <v>59</v>
      </c>
      <c r="C38" s="139"/>
      <c r="D38" s="139"/>
      <c r="E38" s="139"/>
      <c r="F38" s="140"/>
    </row>
    <row r="39" spans="1:6">
      <c r="A39" s="119"/>
      <c r="B39" s="141"/>
      <c r="C39" s="139"/>
      <c r="D39" s="139"/>
      <c r="E39" s="139"/>
      <c r="F39" s="140"/>
    </row>
    <row r="40" spans="1:6">
      <c r="A40" s="5"/>
      <c r="B40" s="141"/>
      <c r="C40" s="139"/>
      <c r="D40" s="139"/>
      <c r="E40" s="139"/>
      <c r="F40" s="140"/>
    </row>
    <row r="41" spans="1:6">
      <c r="A41" s="126"/>
      <c r="B41" s="141"/>
      <c r="C41" s="139"/>
      <c r="D41" s="139"/>
      <c r="E41" s="139"/>
      <c r="F41" s="140"/>
    </row>
    <row r="42" spans="1:6">
      <c r="A42" s="5"/>
      <c r="B42" s="141"/>
      <c r="C42" s="139"/>
      <c r="D42" s="139"/>
      <c r="E42" s="139"/>
      <c r="F42" s="140"/>
    </row>
    <row r="43" spans="1:6">
      <c r="A43" s="119"/>
      <c r="B43" s="141"/>
      <c r="C43" s="139"/>
      <c r="D43" s="139"/>
      <c r="E43" s="139"/>
      <c r="F43" s="140"/>
    </row>
    <row r="44" spans="1:6">
      <c r="A44" s="5"/>
      <c r="B44" s="141"/>
      <c r="C44" s="139"/>
      <c r="D44" s="139"/>
      <c r="E44" s="139"/>
      <c r="F44" s="140"/>
    </row>
    <row r="45" spans="1:6">
      <c r="A45" s="119"/>
      <c r="B45" s="141"/>
      <c r="C45" s="139"/>
      <c r="D45" s="139"/>
      <c r="E45" s="139"/>
      <c r="F45" s="140"/>
    </row>
    <row r="46" spans="1:6">
      <c r="A46" s="5"/>
      <c r="B46" s="142"/>
      <c r="C46" s="143"/>
      <c r="D46" s="143"/>
      <c r="E46" s="143"/>
      <c r="F46" s="144"/>
    </row>
    <row r="47" spans="1:6">
      <c r="A47" s="126"/>
    </row>
    <row r="49" spans="1:1">
      <c r="A49" s="119"/>
    </row>
    <row r="51" spans="1:1">
      <c r="A51" s="126"/>
    </row>
    <row r="53" spans="1:1">
      <c r="A53" s="119"/>
    </row>
    <row r="55" spans="1:1">
      <c r="A55" s="119"/>
    </row>
  </sheetData>
  <mergeCells count="13">
    <mergeCell ref="A1:F1"/>
    <mergeCell ref="A10:E10"/>
    <mergeCell ref="B11:F11"/>
    <mergeCell ref="B16:F16"/>
    <mergeCell ref="B21:F21"/>
    <mergeCell ref="B32:F32"/>
    <mergeCell ref="B37:F37"/>
    <mergeCell ref="B22:F30"/>
    <mergeCell ref="B12:F14"/>
    <mergeCell ref="B17:F19"/>
    <mergeCell ref="B33:F35"/>
    <mergeCell ref="B38:F46"/>
    <mergeCell ref="A3:F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6"/>
  <sheetViews>
    <sheetView zoomScale="85" zoomScaleNormal="85" topLeftCell="A14" workbookViewId="0">
      <selection activeCell="B15" sqref="B15:J16"/>
    </sheetView>
  </sheetViews>
  <sheetFormatPr defaultColWidth="8.72727272727273" defaultRowHeight="14.5"/>
  <cols>
    <col min="2" max="2" width="10.2727272727273" customWidth="1"/>
    <col min="4" max="4" width="12.5818181818182" customWidth="1"/>
    <col min="8" max="8" width="10.7545454545455" customWidth="1"/>
    <col min="9" max="9" width="9.72727272727273" customWidth="1"/>
    <col min="10" max="10" width="43.6727272727273" customWidth="1"/>
    <col min="12" max="12" width="23.7272727272727"/>
    <col min="13" max="13" width="16.9090909090909" customWidth="1"/>
    <col min="14" max="14" width="19.3545454545455" customWidth="1"/>
    <col min="15" max="15" width="16.7272727272727" customWidth="1"/>
    <col min="16" max="16" width="19.7545454545455" customWidth="1"/>
    <col min="17" max="18" width="22.1818181818182" customWidth="1"/>
    <col min="19" max="19" width="12.1818181818182"/>
    <col min="20" max="20" width="7.54545454545455"/>
    <col min="21" max="21" width="23.7272727272727"/>
    <col min="22" max="22" width="25.0909090909091"/>
    <col min="23" max="23" width="13.9090909090909"/>
    <col min="24" max="24" width="15.6363636363636"/>
    <col min="25" max="25" width="13.0909090909091"/>
    <col min="26" max="29" width="13.9090909090909"/>
    <col min="30" max="30" width="16"/>
    <col min="31" max="31" width="13.4545454545455"/>
    <col min="32" max="35" width="13.9090909090909"/>
    <col min="36" max="36" width="15.4545454545455"/>
    <col min="37" max="37" width="12.9090909090909"/>
    <col min="38" max="39" width="13.9090909090909"/>
    <col min="40" max="40" width="21"/>
    <col min="41" max="41" width="18.4545454545455"/>
    <col min="42" max="42" width="19.1818181818182"/>
    <col min="43" max="43" width="16.5454545454545"/>
    <col min="44" max="44" width="28.3636363636364"/>
  </cols>
  <sheetData>
    <row r="1" ht="26" spans="1:21">
      <c r="B1" s="57" t="s">
        <v>60</v>
      </c>
      <c r="C1" s="58"/>
      <c r="D1" s="58"/>
      <c r="E1" s="58"/>
      <c r="F1" s="58"/>
      <c r="G1" s="58"/>
      <c r="H1" s="58"/>
      <c r="I1" s="58"/>
      <c r="J1" s="59"/>
      <c r="M1" s="60"/>
      <c r="N1" s="60"/>
      <c r="O1" s="60"/>
      <c r="P1" s="60"/>
      <c r="Q1" s="60"/>
      <c r="R1" s="61"/>
    </row>
    <row r="2" ht="26" spans="1:21">
      <c r="M2" s="60"/>
      <c r="N2" s="60"/>
      <c r="O2" s="60"/>
      <c r="P2" s="60"/>
      <c r="Q2" s="60"/>
      <c r="R2" s="61"/>
    </row>
    <row r="3" spans="1:21">
      <c r="B3" s="62"/>
    </row>
    <row r="5" ht="18.5" spans="1:21">
      <c r="A5" s="63" t="s">
        <v>61</v>
      </c>
      <c r="B5" s="63" t="s">
        <v>62</v>
      </c>
      <c r="C5" s="63"/>
      <c r="D5" s="63"/>
      <c r="L5" s="64" t="s">
        <v>63</v>
      </c>
      <c r="M5" s="64"/>
      <c r="N5" s="64"/>
      <c r="O5" s="64"/>
      <c r="P5" s="64"/>
    </row>
    <row r="6" spans="1:21">
      <c r="B6" s="65" t="s">
        <v>64</v>
      </c>
      <c r="C6" s="66"/>
      <c r="D6" s="66"/>
      <c r="E6" s="66"/>
      <c r="F6" s="66"/>
      <c r="G6" s="66"/>
      <c r="H6" s="66"/>
      <c r="I6" s="66"/>
      <c r="J6" s="67"/>
      <c r="L6" s="68" t="s">
        <v>65</v>
      </c>
      <c r="M6" s="68" t="s">
        <v>15</v>
      </c>
      <c r="N6" s="68" t="s">
        <v>66</v>
      </c>
      <c r="O6" s="68" t="s">
        <v>67</v>
      </c>
      <c r="P6" s="68" t="s">
        <v>68</v>
      </c>
      <c r="S6" s="69"/>
      <c r="T6" s="69"/>
      <c r="U6" s="69"/>
    </row>
    <row r="7" spans="1:21">
      <c r="B7" s="70"/>
      <c r="C7" s="71"/>
      <c r="D7" s="71"/>
      <c r="E7" s="71"/>
      <c r="F7" s="71"/>
      <c r="G7" s="71"/>
      <c r="H7" s="71"/>
      <c r="I7" s="71"/>
      <c r="J7" s="72"/>
      <c r="L7">
        <v>891</v>
      </c>
      <c r="M7">
        <v>342</v>
      </c>
      <c r="N7">
        <v>549</v>
      </c>
      <c r="O7" s="73">
        <v>38.38</v>
      </c>
      <c r="P7" s="73">
        <v>61.62</v>
      </c>
      <c r="S7" s="69"/>
      <c r="T7" s="69"/>
      <c r="U7" s="69"/>
    </row>
    <row r="8" spans="1:21">
      <c r="B8" s="70"/>
      <c r="C8" s="71"/>
      <c r="D8" s="71"/>
      <c r="E8" s="71"/>
      <c r="F8" s="71"/>
      <c r="G8" s="71"/>
      <c r="H8" s="71"/>
      <c r="I8" s="71"/>
      <c r="J8" s="72"/>
      <c r="S8" s="69"/>
      <c r="T8" s="69"/>
      <c r="U8" s="69"/>
    </row>
    <row r="9" spans="1:21">
      <c r="B9" s="70"/>
      <c r="C9" s="71"/>
      <c r="D9" s="71"/>
      <c r="E9" s="71"/>
      <c r="F9" s="71"/>
      <c r="G9" s="71"/>
      <c r="H9" s="71"/>
      <c r="I9" s="71"/>
      <c r="J9" s="72"/>
      <c r="S9" s="69"/>
      <c r="T9" s="69"/>
      <c r="U9" s="69"/>
    </row>
    <row r="10" spans="1:21">
      <c r="B10" s="70"/>
      <c r="C10" s="71"/>
      <c r="D10" s="71"/>
      <c r="E10" s="71"/>
      <c r="F10" s="71"/>
      <c r="G10" s="71"/>
      <c r="H10" s="71"/>
      <c r="I10" s="71"/>
      <c r="J10" s="72"/>
      <c r="S10" s="69"/>
      <c r="T10" s="69"/>
      <c r="U10" s="69"/>
    </row>
    <row r="11" spans="1:21">
      <c r="B11" s="70"/>
      <c r="C11" s="71"/>
      <c r="D11" s="71"/>
      <c r="E11" s="71"/>
      <c r="F11" s="71"/>
      <c r="G11" s="71"/>
      <c r="H11" s="71"/>
      <c r="I11" s="71"/>
      <c r="J11" s="72"/>
      <c r="S11" s="69"/>
      <c r="T11" s="69"/>
      <c r="U11" s="69"/>
    </row>
    <row r="12" ht="32" customHeight="1" spans="1:21">
      <c r="B12" s="70"/>
      <c r="C12" s="71"/>
      <c r="D12" s="71"/>
      <c r="E12" s="71"/>
      <c r="F12" s="71"/>
      <c r="G12" s="71"/>
      <c r="H12" s="71"/>
      <c r="I12" s="71"/>
      <c r="J12" s="72"/>
      <c r="S12" s="69"/>
      <c r="T12" s="69"/>
      <c r="U12" s="69"/>
    </row>
    <row r="13" spans="1:21">
      <c r="B13" s="74"/>
      <c r="C13" s="75"/>
      <c r="D13" s="75"/>
      <c r="E13" s="75"/>
      <c r="F13" s="75"/>
      <c r="G13" s="75"/>
      <c r="H13" s="75"/>
      <c r="I13" s="75"/>
      <c r="J13" s="76"/>
      <c r="S13" s="69"/>
      <c r="T13" s="69"/>
      <c r="U13" s="69"/>
    </row>
    <row r="14" spans="1:21">
      <c r="B14" s="77"/>
      <c r="C14" s="77"/>
      <c r="D14" s="77"/>
      <c r="E14" s="77"/>
      <c r="F14" s="77"/>
      <c r="G14" s="77"/>
      <c r="H14" s="77"/>
      <c r="I14" s="77"/>
      <c r="J14" s="77"/>
      <c r="S14" s="69"/>
      <c r="T14" s="69"/>
      <c r="U14" s="69"/>
    </row>
    <row r="15" spans="1:21">
      <c r="B15" s="78" t="s">
        <v>69</v>
      </c>
      <c r="C15" s="78"/>
      <c r="D15" s="78"/>
      <c r="E15" s="78"/>
      <c r="F15" s="78"/>
      <c r="G15" s="78"/>
      <c r="H15" s="78"/>
      <c r="I15" s="78"/>
      <c r="J15" s="78"/>
      <c r="S15" s="69"/>
      <c r="T15" s="69"/>
      <c r="U15" s="69"/>
    </row>
    <row r="16" ht="32" customHeight="1" spans="1:21">
      <c r="B16" s="78"/>
      <c r="C16" s="78"/>
      <c r="D16" s="78"/>
      <c r="E16" s="78"/>
      <c r="F16" s="78"/>
      <c r="G16" s="78"/>
      <c r="H16" s="78"/>
      <c r="I16" s="78"/>
      <c r="J16" s="78"/>
      <c r="S16" s="69"/>
      <c r="T16" s="69"/>
      <c r="U16" s="69"/>
    </row>
    <row r="17" spans="1:25">
      <c r="S17" s="69"/>
      <c r="T17" s="69"/>
      <c r="U17" s="69"/>
    </row>
    <row r="18" ht="18.5" spans="1:25">
      <c r="A18" s="63" t="s">
        <v>70</v>
      </c>
      <c r="B18" s="63" t="s">
        <v>71</v>
      </c>
      <c r="C18" s="63"/>
      <c r="D18" s="63"/>
      <c r="L18" s="79" t="s">
        <v>72</v>
      </c>
      <c r="M18" s="79"/>
      <c r="N18" s="79"/>
      <c r="O18" s="79"/>
      <c r="S18" s="69"/>
      <c r="T18" s="69"/>
      <c r="U18" s="69"/>
    </row>
    <row r="19" spans="1:25">
      <c r="B19" s="65" t="s">
        <v>73</v>
      </c>
      <c r="C19" s="80"/>
      <c r="D19" s="80"/>
      <c r="E19" s="80"/>
      <c r="F19" s="80"/>
      <c r="G19" s="80"/>
      <c r="H19" s="80"/>
      <c r="I19" s="80"/>
      <c r="J19" s="81"/>
      <c r="L19" s="5" t="s">
        <v>21</v>
      </c>
      <c r="M19" s="5" t="s">
        <v>74</v>
      </c>
      <c r="N19" s="5" t="s">
        <v>75</v>
      </c>
      <c r="O19" s="5" t="s">
        <v>67</v>
      </c>
      <c r="S19" s="69"/>
      <c r="T19" s="69"/>
      <c r="U19" s="69"/>
      <c r="V19" s="82"/>
      <c r="W19" s="82"/>
      <c r="X19" s="82"/>
      <c r="Y19" s="82"/>
    </row>
    <row r="20" spans="1:25">
      <c r="B20" s="83"/>
      <c r="C20" s="84"/>
      <c r="D20" s="84"/>
      <c r="E20" s="84"/>
      <c r="F20" s="84"/>
      <c r="G20" s="84"/>
      <c r="H20" s="84"/>
      <c r="I20" s="84"/>
      <c r="J20" s="85"/>
      <c r="L20" t="s">
        <v>76</v>
      </c>
      <c r="M20">
        <v>577</v>
      </c>
      <c r="N20">
        <v>109</v>
      </c>
      <c r="O20" s="73">
        <v>18.89</v>
      </c>
      <c r="S20" s="69"/>
      <c r="T20" s="69"/>
      <c r="U20" s="69"/>
      <c r="V20" s="69"/>
      <c r="W20" s="69"/>
      <c r="X20" s="69"/>
      <c r="Y20" s="69"/>
    </row>
    <row r="21" spans="1:25">
      <c r="B21" s="83"/>
      <c r="C21" s="84"/>
      <c r="D21" s="84"/>
      <c r="E21" s="84"/>
      <c r="F21" s="84"/>
      <c r="G21" s="84"/>
      <c r="H21" s="84"/>
      <c r="I21" s="84"/>
      <c r="J21" s="85"/>
      <c r="L21" t="s">
        <v>77</v>
      </c>
      <c r="M21">
        <v>314</v>
      </c>
      <c r="N21">
        <v>233</v>
      </c>
      <c r="O21" s="73">
        <v>74.2</v>
      </c>
      <c r="S21" s="69"/>
      <c r="T21" s="69"/>
      <c r="U21" s="69"/>
      <c r="V21" s="86"/>
      <c r="W21" s="86"/>
      <c r="X21" s="86"/>
      <c r="Y21" s="86"/>
    </row>
    <row r="22" spans="1:25">
      <c r="B22" s="83"/>
      <c r="C22" s="84"/>
      <c r="D22" s="84"/>
      <c r="E22" s="84"/>
      <c r="F22" s="84"/>
      <c r="G22" s="84"/>
      <c r="H22" s="84"/>
      <c r="I22" s="84"/>
      <c r="J22" s="85"/>
      <c r="S22" s="69"/>
      <c r="T22" s="69"/>
      <c r="U22" s="69"/>
      <c r="V22" s="86"/>
      <c r="W22" s="86"/>
      <c r="X22" s="86"/>
      <c r="Y22" s="86"/>
    </row>
    <row r="23" spans="1:25">
      <c r="B23" s="83"/>
      <c r="C23" s="84"/>
      <c r="D23" s="84"/>
      <c r="E23" s="84"/>
      <c r="F23" s="84"/>
      <c r="G23" s="84"/>
      <c r="H23" s="84"/>
      <c r="I23" s="84"/>
      <c r="J23" s="85"/>
      <c r="S23" s="69"/>
      <c r="T23" s="69"/>
      <c r="U23" s="69"/>
      <c r="V23" s="86"/>
      <c r="W23" s="86"/>
      <c r="X23" s="86"/>
      <c r="Y23" s="86"/>
    </row>
    <row r="24" spans="1:25">
      <c r="B24" s="87"/>
      <c r="C24" s="88"/>
      <c r="D24" s="88"/>
      <c r="E24" s="88"/>
      <c r="F24" s="88"/>
      <c r="G24" s="88"/>
      <c r="H24" s="88"/>
      <c r="I24" s="88"/>
      <c r="J24" s="89"/>
      <c r="T24" s="69"/>
      <c r="U24" s="69"/>
      <c r="V24" s="69"/>
      <c r="W24" s="69"/>
      <c r="X24" s="69"/>
      <c r="Y24" s="69"/>
    </row>
    <row r="25" spans="1:25">
      <c r="T25" s="86"/>
      <c r="U25" s="86"/>
      <c r="V25" s="86"/>
      <c r="W25" s="86"/>
      <c r="X25" s="86"/>
      <c r="Y25" s="86"/>
    </row>
    <row r="26" spans="1:25">
      <c r="B26" s="10" t="s">
        <v>78</v>
      </c>
      <c r="C26" s="10"/>
      <c r="D26" s="10"/>
      <c r="E26" s="10"/>
      <c r="F26" s="10"/>
      <c r="G26" s="10"/>
      <c r="H26" s="10"/>
      <c r="I26" s="10"/>
      <c r="J26" s="10"/>
      <c r="T26" s="86"/>
      <c r="U26" s="86"/>
      <c r="V26" s="86"/>
      <c r="W26" s="86"/>
      <c r="X26" s="86"/>
      <c r="Y26" s="86"/>
    </row>
    <row r="27" ht="76" customHeight="1" spans="1:25">
      <c r="B27" s="10"/>
      <c r="C27" s="10"/>
      <c r="D27" s="10"/>
      <c r="E27" s="10"/>
      <c r="F27" s="10"/>
      <c r="G27" s="10"/>
      <c r="H27" s="10"/>
      <c r="I27" s="10"/>
      <c r="J27" s="10"/>
      <c r="T27" s="86"/>
      <c r="U27" s="86"/>
      <c r="V27" s="86"/>
      <c r="W27" s="86"/>
      <c r="X27" s="86"/>
      <c r="Y27" s="86"/>
    </row>
    <row r="28" spans="1:25">
      <c r="T28" s="86"/>
      <c r="U28" s="86"/>
      <c r="V28" s="86"/>
      <c r="W28" s="86"/>
      <c r="X28" s="86"/>
      <c r="Y28" s="86"/>
    </row>
    <row r="29" ht="18.5" spans="1:25">
      <c r="A29" s="63" t="s">
        <v>79</v>
      </c>
      <c r="B29" s="63" t="s">
        <v>17</v>
      </c>
      <c r="C29" s="90"/>
      <c r="L29" s="64" t="s">
        <v>80</v>
      </c>
      <c r="M29" s="64"/>
      <c r="N29" s="64"/>
      <c r="O29" s="64"/>
      <c r="P29" s="64"/>
      <c r="Q29" s="64"/>
      <c r="R29" s="64"/>
      <c r="S29" s="91"/>
      <c r="T29" s="86"/>
      <c r="U29" s="86"/>
      <c r="V29" s="86"/>
      <c r="W29" s="86"/>
      <c r="X29" s="86"/>
      <c r="Y29" s="86"/>
    </row>
    <row r="30" ht="18.5" spans="1:25">
      <c r="B30" s="92" t="s">
        <v>81</v>
      </c>
      <c r="C30" s="93"/>
      <c r="D30" s="93"/>
      <c r="E30" s="93"/>
      <c r="F30" s="93"/>
      <c r="G30" s="93"/>
      <c r="H30" s="93"/>
      <c r="I30" s="93"/>
      <c r="J30" s="94"/>
      <c r="L30" s="5" t="s">
        <v>17</v>
      </c>
      <c r="M30" s="5" t="s">
        <v>82</v>
      </c>
      <c r="N30" s="5" t="s">
        <v>15</v>
      </c>
      <c r="O30" s="5" t="s">
        <v>67</v>
      </c>
      <c r="P30" s="5" t="s">
        <v>66</v>
      </c>
      <c r="Q30" t="s">
        <v>68</v>
      </c>
      <c r="S30" s="64"/>
      <c r="T30" s="82"/>
      <c r="U30" s="82"/>
      <c r="V30" s="82"/>
      <c r="W30" s="82"/>
    </row>
    <row r="31" spans="1:25">
      <c r="B31" s="95"/>
      <c r="C31" s="96"/>
      <c r="D31" s="96"/>
      <c r="E31" s="96"/>
      <c r="F31" s="96"/>
      <c r="G31" s="96"/>
      <c r="H31" s="96"/>
      <c r="I31" s="96"/>
      <c r="J31" s="97"/>
      <c r="L31" s="98">
        <v>1</v>
      </c>
      <c r="M31" s="98">
        <v>216</v>
      </c>
      <c r="N31" s="98">
        <v>136</v>
      </c>
      <c r="O31" s="99">
        <v>62.96</v>
      </c>
      <c r="P31" s="100">
        <f>M31-N31</f>
        <v>80</v>
      </c>
      <c r="Q31" s="73">
        <f>(P31/M31)*100</f>
        <v>37.037037037037</v>
      </c>
      <c r="R31" s="73"/>
      <c r="T31" s="69"/>
      <c r="U31" s="69"/>
      <c r="V31" s="69"/>
      <c r="W31" s="69"/>
    </row>
    <row r="32" spans="1:25">
      <c r="B32" s="95"/>
      <c r="C32" s="96"/>
      <c r="D32" s="96"/>
      <c r="E32" s="96"/>
      <c r="F32" s="96"/>
      <c r="G32" s="96"/>
      <c r="H32" s="96"/>
      <c r="I32" s="96"/>
      <c r="J32" s="97"/>
      <c r="L32" s="98">
        <v>2</v>
      </c>
      <c r="M32" s="98">
        <v>184</v>
      </c>
      <c r="N32" s="98">
        <v>87</v>
      </c>
      <c r="O32" s="99">
        <v>47.28</v>
      </c>
      <c r="P32" s="100">
        <f>M32-N32</f>
        <v>97</v>
      </c>
      <c r="Q32" s="73">
        <f>(P32/M32)*100</f>
        <v>52.7173913043478</v>
      </c>
      <c r="R32" s="73"/>
      <c r="T32" s="86"/>
      <c r="U32" s="86"/>
      <c r="V32" s="86"/>
      <c r="W32" s="86"/>
    </row>
    <row r="33" spans="1:23">
      <c r="B33" s="95"/>
      <c r="C33" s="96"/>
      <c r="D33" s="96"/>
      <c r="E33" s="96"/>
      <c r="F33" s="96"/>
      <c r="G33" s="96"/>
      <c r="H33" s="96"/>
      <c r="I33" s="96"/>
      <c r="J33" s="97"/>
      <c r="L33" s="98">
        <v>3</v>
      </c>
      <c r="M33" s="98">
        <v>491</v>
      </c>
      <c r="N33" s="98">
        <v>119</v>
      </c>
      <c r="O33" s="99">
        <v>24.24</v>
      </c>
      <c r="P33" s="100">
        <f>M33-N33</f>
        <v>372</v>
      </c>
      <c r="Q33" s="73">
        <f>(P33/M33)*100</f>
        <v>75.7637474541752</v>
      </c>
      <c r="R33" s="73"/>
      <c r="S33" s="101"/>
      <c r="T33" s="86"/>
      <c r="U33" s="86"/>
      <c r="V33" s="86"/>
      <c r="W33" s="86"/>
    </row>
    <row r="34" spans="1:23">
      <c r="B34" s="95"/>
      <c r="C34" s="96"/>
      <c r="D34" s="96"/>
      <c r="E34" s="96"/>
      <c r="F34" s="96"/>
      <c r="G34" s="96"/>
      <c r="H34" s="96"/>
      <c r="I34" s="96"/>
      <c r="J34" s="97"/>
      <c r="S34" s="101"/>
      <c r="T34" s="86"/>
      <c r="U34" s="86"/>
      <c r="V34" s="86"/>
      <c r="W34" s="86"/>
    </row>
    <row r="35" spans="1:23">
      <c r="B35" s="95"/>
      <c r="C35" s="96"/>
      <c r="D35" s="96"/>
      <c r="E35" s="96"/>
      <c r="F35" s="96"/>
      <c r="G35" s="96"/>
      <c r="H35" s="96"/>
      <c r="I35" s="96"/>
      <c r="J35" s="97"/>
      <c r="S35" s="101"/>
      <c r="T35" s="86"/>
      <c r="U35" s="86"/>
      <c r="V35" s="86"/>
      <c r="W35" s="86"/>
    </row>
    <row r="36" spans="1:23">
      <c r="B36" s="102"/>
      <c r="C36" s="103"/>
      <c r="D36" s="103"/>
      <c r="E36" s="103"/>
      <c r="F36" s="103"/>
      <c r="G36" s="103"/>
      <c r="H36" s="103"/>
      <c r="I36" s="103"/>
      <c r="J36" s="104"/>
      <c r="T36" s="86"/>
      <c r="U36" s="86"/>
      <c r="V36" s="86"/>
      <c r="W36" s="86"/>
    </row>
    <row r="37" spans="1:23">
      <c r="T37" s="86"/>
      <c r="U37" s="86"/>
      <c r="V37" s="86"/>
      <c r="W37" s="86"/>
    </row>
    <row r="38" spans="1:23">
      <c r="B38" s="10" t="s">
        <v>83</v>
      </c>
      <c r="C38" s="10"/>
      <c r="D38" s="10"/>
      <c r="E38" s="10"/>
      <c r="F38" s="10"/>
      <c r="G38" s="10"/>
      <c r="H38" s="10"/>
      <c r="I38" s="10"/>
      <c r="J38" s="10"/>
      <c r="T38" s="62"/>
      <c r="U38" s="62"/>
      <c r="V38" s="62"/>
      <c r="W38" s="62"/>
    </row>
    <row r="39" spans="1:23">
      <c r="B39" s="10"/>
      <c r="C39" s="10"/>
      <c r="D39" s="10"/>
      <c r="E39" s="10"/>
      <c r="F39" s="10"/>
      <c r="G39" s="10"/>
      <c r="H39" s="10"/>
      <c r="I39" s="10"/>
      <c r="J39" s="10"/>
      <c r="T39" s="62"/>
      <c r="U39" s="62"/>
      <c r="V39" s="62"/>
      <c r="W39" s="62"/>
    </row>
    <row r="40" spans="1:23">
      <c r="T40" s="62"/>
      <c r="U40" s="62"/>
      <c r="V40" s="62"/>
      <c r="W40" s="62"/>
    </row>
    <row r="41" ht="18.5" spans="1:23">
      <c r="A41" s="63" t="s">
        <v>84</v>
      </c>
      <c r="B41" s="63" t="s">
        <v>85</v>
      </c>
      <c r="C41" s="63"/>
      <c r="L41" s="64" t="s">
        <v>85</v>
      </c>
      <c r="M41" s="64"/>
      <c r="N41" s="64"/>
      <c r="O41" s="64"/>
    </row>
    <row r="42" spans="1:23">
      <c r="B42" s="92" t="s">
        <v>86</v>
      </c>
      <c r="C42" s="93"/>
      <c r="D42" s="93"/>
      <c r="E42" s="93"/>
      <c r="F42" s="93"/>
      <c r="G42" s="93"/>
      <c r="H42" s="93"/>
      <c r="I42" s="93"/>
      <c r="J42" s="94"/>
      <c r="L42" s="105" t="s">
        <v>87</v>
      </c>
      <c r="M42" s="105" t="s">
        <v>65</v>
      </c>
      <c r="N42" s="105" t="s">
        <v>15</v>
      </c>
      <c r="O42" s="105" t="s">
        <v>67</v>
      </c>
      <c r="P42" t="s">
        <v>11</v>
      </c>
      <c r="T42" s="82"/>
      <c r="U42" s="82"/>
      <c r="V42" s="82"/>
    </row>
    <row r="43" spans="1:23">
      <c r="B43" s="95"/>
      <c r="C43" s="96"/>
      <c r="D43" s="96"/>
      <c r="E43" s="96"/>
      <c r="F43" s="96"/>
      <c r="G43" s="96"/>
      <c r="H43" s="96"/>
      <c r="I43" s="96"/>
      <c r="J43" s="97"/>
      <c r="L43" s="105">
        <v>1</v>
      </c>
      <c r="M43" s="105">
        <v>537</v>
      </c>
      <c r="N43" s="105">
        <v>163</v>
      </c>
      <c r="O43" s="106">
        <v>30.35</v>
      </c>
      <c r="T43" s="69"/>
      <c r="U43" s="69"/>
      <c r="V43" s="69"/>
    </row>
    <row r="44" spans="1:23">
      <c r="B44" s="95"/>
      <c r="C44" s="96"/>
      <c r="D44" s="96"/>
      <c r="E44" s="96"/>
      <c r="F44" s="96"/>
      <c r="G44" s="96"/>
      <c r="H44" s="96"/>
      <c r="I44" s="96"/>
      <c r="J44" s="97"/>
      <c r="L44" s="105">
        <v>2</v>
      </c>
      <c r="M44" s="105">
        <v>161</v>
      </c>
      <c r="N44" s="105">
        <v>89</v>
      </c>
      <c r="O44" s="106">
        <v>55.28</v>
      </c>
      <c r="T44" s="86"/>
      <c r="U44" s="86"/>
      <c r="V44" s="86"/>
    </row>
    <row r="45" spans="1:23">
      <c r="B45" s="95"/>
      <c r="C45" s="96"/>
      <c r="D45" s="96"/>
      <c r="E45" s="96"/>
      <c r="F45" s="96"/>
      <c r="G45" s="96"/>
      <c r="H45" s="96"/>
      <c r="I45" s="96"/>
      <c r="J45" s="97"/>
      <c r="L45" s="105">
        <v>3</v>
      </c>
      <c r="M45" s="105">
        <v>102</v>
      </c>
      <c r="N45" s="105">
        <v>59</v>
      </c>
      <c r="O45" s="106">
        <v>57.84</v>
      </c>
      <c r="T45" s="86"/>
      <c r="U45" s="86"/>
      <c r="V45" s="86"/>
    </row>
    <row r="46" spans="1:23">
      <c r="B46" s="95"/>
      <c r="C46" s="96"/>
      <c r="D46" s="96"/>
      <c r="E46" s="96"/>
      <c r="F46" s="96"/>
      <c r="G46" s="96"/>
      <c r="H46" s="96"/>
      <c r="I46" s="96"/>
      <c r="J46" s="97"/>
      <c r="L46" s="105">
        <v>4</v>
      </c>
      <c r="M46" s="105">
        <v>29</v>
      </c>
      <c r="N46" s="105">
        <v>21</v>
      </c>
      <c r="O46" s="106">
        <v>72.41</v>
      </c>
      <c r="T46" s="86"/>
      <c r="U46" s="86"/>
      <c r="V46" s="86"/>
    </row>
    <row r="47" spans="1:23">
      <c r="B47" s="102"/>
      <c r="C47" s="103"/>
      <c r="D47" s="103"/>
      <c r="E47" s="103"/>
      <c r="F47" s="103"/>
      <c r="G47" s="103"/>
      <c r="H47" s="103"/>
      <c r="I47" s="103"/>
      <c r="J47" s="104"/>
      <c r="L47" s="105">
        <v>5</v>
      </c>
      <c r="M47" s="105">
        <v>15</v>
      </c>
      <c r="N47" s="105">
        <v>3</v>
      </c>
      <c r="O47" s="106">
        <v>20</v>
      </c>
      <c r="T47" s="86"/>
      <c r="U47" s="86"/>
      <c r="V47" s="86"/>
    </row>
    <row r="48" spans="1:23">
      <c r="B48" s="107"/>
      <c r="C48" s="107"/>
      <c r="D48" s="107"/>
      <c r="E48" s="107"/>
      <c r="F48" s="107"/>
      <c r="G48" s="107"/>
      <c r="H48" s="107"/>
      <c r="I48" s="107"/>
      <c r="J48" s="107"/>
      <c r="L48" s="105">
        <v>6</v>
      </c>
      <c r="M48" s="105">
        <v>22</v>
      </c>
      <c r="N48" s="105">
        <v>3</v>
      </c>
      <c r="O48" s="106">
        <v>13.64</v>
      </c>
      <c r="T48" s="86"/>
      <c r="U48" s="86"/>
      <c r="V48" s="86"/>
    </row>
    <row r="49" spans="1:23">
      <c r="B49" s="78" t="s">
        <v>88</v>
      </c>
      <c r="C49" s="108"/>
      <c r="D49" s="108"/>
      <c r="E49" s="108"/>
      <c r="F49" s="108"/>
      <c r="G49" s="108"/>
      <c r="H49" s="108"/>
      <c r="I49" s="108"/>
      <c r="J49" s="108"/>
      <c r="L49" s="105">
        <v>7</v>
      </c>
      <c r="M49" s="105">
        <v>12</v>
      </c>
      <c r="N49" s="105">
        <v>4</v>
      </c>
      <c r="O49" s="106">
        <v>33.33</v>
      </c>
      <c r="T49" s="86"/>
      <c r="U49" s="86"/>
      <c r="V49" s="86"/>
    </row>
    <row r="50" spans="1:23">
      <c r="B50" s="108"/>
      <c r="C50" s="108"/>
      <c r="D50" s="108"/>
      <c r="E50" s="108"/>
      <c r="F50" s="108"/>
      <c r="G50" s="108"/>
      <c r="H50" s="108"/>
      <c r="I50" s="108"/>
      <c r="J50" s="108"/>
      <c r="L50" s="105">
        <v>8</v>
      </c>
      <c r="M50" s="105">
        <v>6</v>
      </c>
      <c r="N50" s="105">
        <v>0</v>
      </c>
      <c r="O50" s="106">
        <v>0</v>
      </c>
      <c r="T50" s="86"/>
      <c r="U50" s="86"/>
      <c r="V50" s="86"/>
    </row>
    <row r="51" spans="1:23">
      <c r="B51" s="108"/>
      <c r="C51" s="108"/>
      <c r="D51" s="108"/>
      <c r="E51" s="108"/>
      <c r="F51" s="108"/>
      <c r="G51" s="108"/>
      <c r="H51" s="108"/>
      <c r="I51" s="108"/>
      <c r="J51" s="108"/>
      <c r="L51" s="105">
        <v>11</v>
      </c>
      <c r="M51" s="105">
        <v>7</v>
      </c>
      <c r="N51" s="105">
        <v>0</v>
      </c>
      <c r="O51" s="106">
        <v>0</v>
      </c>
    </row>
    <row r="52" spans="1:23">
      <c r="B52" s="107"/>
      <c r="C52" s="107"/>
      <c r="D52" s="107"/>
      <c r="E52" s="107"/>
      <c r="F52" s="107"/>
      <c r="G52" s="107"/>
      <c r="H52" s="107"/>
      <c r="I52" s="107"/>
      <c r="J52" s="107"/>
    </row>
    <row r="54" ht="18.5" spans="1:23">
      <c r="A54" s="63" t="s">
        <v>89</v>
      </c>
      <c r="B54" s="63" t="s">
        <v>90</v>
      </c>
      <c r="C54" s="63"/>
      <c r="L54" s="64" t="s">
        <v>91</v>
      </c>
      <c r="M54" s="64"/>
      <c r="N54" s="64"/>
      <c r="O54" s="64"/>
      <c r="P54" s="64"/>
    </row>
    <row r="55" spans="1:23">
      <c r="B55" s="65" t="s">
        <v>92</v>
      </c>
      <c r="C55" s="80"/>
      <c r="D55" s="80"/>
      <c r="E55" s="80"/>
      <c r="F55" s="80"/>
      <c r="G55" s="80"/>
      <c r="H55" s="80"/>
      <c r="I55" s="80"/>
      <c r="J55" s="81"/>
    </row>
    <row r="56" spans="1:23">
      <c r="B56" s="83"/>
      <c r="C56" s="84"/>
      <c r="D56" s="84"/>
      <c r="E56" s="84"/>
      <c r="F56" s="84"/>
      <c r="G56" s="84"/>
      <c r="H56" s="84"/>
      <c r="I56" s="84"/>
      <c r="J56" s="85"/>
    </row>
    <row r="57" spans="1:23">
      <c r="B57" s="83"/>
      <c r="C57" s="84"/>
      <c r="D57" s="84"/>
      <c r="E57" s="84"/>
      <c r="F57" s="84"/>
      <c r="G57" s="84"/>
      <c r="H57" s="84"/>
      <c r="I57" s="84"/>
      <c r="J57" s="85"/>
      <c r="L57" s="105" t="s">
        <v>93</v>
      </c>
      <c r="M57" s="105" t="s">
        <v>21</v>
      </c>
      <c r="N57" s="105" t="s">
        <v>94</v>
      </c>
      <c r="O57" s="105" t="s">
        <v>95</v>
      </c>
      <c r="P57" s="105" t="s">
        <v>67</v>
      </c>
      <c r="Q57" t="s">
        <v>11</v>
      </c>
      <c r="R57" t="s">
        <v>12</v>
      </c>
      <c r="T57" s="82"/>
      <c r="U57" s="82"/>
      <c r="V57" s="82"/>
      <c r="W57" s="82"/>
    </row>
    <row r="58" spans="1:23">
      <c r="B58" s="83"/>
      <c r="C58" s="84"/>
      <c r="D58" s="84"/>
      <c r="E58" s="84"/>
      <c r="F58" s="84"/>
      <c r="G58" s="84"/>
      <c r="H58" s="84"/>
      <c r="I58" s="84"/>
      <c r="J58" s="85"/>
      <c r="L58" s="105" t="s">
        <v>96</v>
      </c>
      <c r="M58" s="105" t="s">
        <v>77</v>
      </c>
      <c r="N58" s="105">
        <v>189</v>
      </c>
      <c r="O58" s="105">
        <v>147</v>
      </c>
      <c r="P58" s="106">
        <v>77.78</v>
      </c>
      <c r="T58" s="69"/>
      <c r="U58" s="69"/>
      <c r="V58" s="69"/>
      <c r="W58" s="69"/>
    </row>
    <row r="59" spans="1:23">
      <c r="B59" s="83"/>
      <c r="C59" s="84"/>
      <c r="D59" s="84"/>
      <c r="E59" s="84"/>
      <c r="F59" s="84"/>
      <c r="G59" s="84"/>
      <c r="H59" s="84"/>
      <c r="I59" s="84"/>
      <c r="J59" s="85"/>
      <c r="L59" s="105" t="s">
        <v>96</v>
      </c>
      <c r="M59" s="105" t="s">
        <v>76</v>
      </c>
      <c r="N59" s="105">
        <v>360</v>
      </c>
      <c r="O59" s="105">
        <v>66</v>
      </c>
      <c r="P59" s="106">
        <v>18.33</v>
      </c>
      <c r="T59" s="86"/>
      <c r="U59" s="86"/>
      <c r="V59" s="86"/>
      <c r="W59" s="86"/>
    </row>
    <row r="60" spans="1:23">
      <c r="B60" s="83"/>
      <c r="C60" s="84"/>
      <c r="D60" s="84"/>
      <c r="E60" s="84"/>
      <c r="F60" s="84"/>
      <c r="G60" s="84"/>
      <c r="H60" s="84"/>
      <c r="I60" s="84"/>
      <c r="J60" s="85"/>
      <c r="L60" s="105" t="s">
        <v>97</v>
      </c>
      <c r="M60" s="105" t="s">
        <v>77</v>
      </c>
      <c r="N60" s="105">
        <v>4</v>
      </c>
      <c r="O60" s="105">
        <v>4</v>
      </c>
      <c r="P60" s="106">
        <v>100</v>
      </c>
      <c r="T60" s="86"/>
      <c r="U60" s="86"/>
      <c r="V60" s="86"/>
      <c r="W60" s="86"/>
    </row>
    <row r="61" spans="1:23">
      <c r="B61" s="83"/>
      <c r="C61" s="84"/>
      <c r="D61" s="84"/>
      <c r="E61" s="84"/>
      <c r="F61" s="84"/>
      <c r="G61" s="84"/>
      <c r="H61" s="84"/>
      <c r="I61" s="84"/>
      <c r="J61" s="85"/>
      <c r="L61" s="105" t="s">
        <v>97</v>
      </c>
      <c r="M61" s="105" t="s">
        <v>76</v>
      </c>
      <c r="N61" s="105">
        <v>22</v>
      </c>
      <c r="O61" s="105">
        <v>3</v>
      </c>
      <c r="P61" s="106">
        <v>13.64</v>
      </c>
      <c r="T61" s="86"/>
      <c r="U61" s="86"/>
      <c r="V61" s="86"/>
      <c r="W61" s="86"/>
    </row>
    <row r="62" spans="1:23">
      <c r="B62" s="83"/>
      <c r="C62" s="84"/>
      <c r="D62" s="84"/>
      <c r="E62" s="84"/>
      <c r="F62" s="84"/>
      <c r="G62" s="84"/>
      <c r="H62" s="84"/>
      <c r="I62" s="84"/>
      <c r="J62" s="85"/>
      <c r="L62" s="62" t="s">
        <v>98</v>
      </c>
      <c r="M62" s="62" t="s">
        <v>99</v>
      </c>
      <c r="N62" s="62">
        <v>32</v>
      </c>
      <c r="O62" s="62">
        <v>19</v>
      </c>
      <c r="P62" s="109">
        <v>59.38</v>
      </c>
      <c r="T62" s="86"/>
      <c r="U62" s="86"/>
      <c r="V62" s="86"/>
      <c r="W62" s="86"/>
    </row>
    <row r="63" spans="1:23">
      <c r="B63" s="83"/>
      <c r="C63" s="84"/>
      <c r="D63" s="84"/>
      <c r="E63" s="84"/>
      <c r="F63" s="84"/>
      <c r="G63" s="84"/>
      <c r="H63" s="84"/>
      <c r="I63" s="84"/>
      <c r="J63" s="85"/>
      <c r="L63" s="62" t="s">
        <v>98</v>
      </c>
      <c r="M63" s="62" t="s">
        <v>100</v>
      </c>
      <c r="N63" s="62">
        <v>36</v>
      </c>
      <c r="O63" s="62">
        <v>20</v>
      </c>
      <c r="P63" s="109">
        <v>55.56</v>
      </c>
    </row>
    <row r="64" spans="1:23">
      <c r="B64" s="83"/>
      <c r="C64" s="84"/>
      <c r="D64" s="84"/>
      <c r="E64" s="84"/>
      <c r="F64" s="84"/>
      <c r="G64" s="84"/>
      <c r="H64" s="84"/>
      <c r="I64" s="84"/>
      <c r="J64" s="85"/>
      <c r="L64" s="62" t="s">
        <v>101</v>
      </c>
      <c r="M64" s="62" t="s">
        <v>99</v>
      </c>
      <c r="N64" s="62">
        <v>36</v>
      </c>
      <c r="O64" s="62">
        <v>27</v>
      </c>
      <c r="P64" s="109">
        <v>75</v>
      </c>
    </row>
    <row r="65" spans="1:21">
      <c r="B65" s="83"/>
      <c r="C65" s="84"/>
      <c r="D65" s="84"/>
      <c r="E65" s="84"/>
      <c r="F65" s="84"/>
      <c r="G65" s="84"/>
      <c r="H65" s="84"/>
      <c r="I65" s="84"/>
      <c r="J65" s="85"/>
      <c r="L65" s="62" t="s">
        <v>101</v>
      </c>
      <c r="M65" s="62" t="s">
        <v>100</v>
      </c>
      <c r="N65" s="62">
        <v>34</v>
      </c>
      <c r="O65" s="62">
        <v>3</v>
      </c>
      <c r="P65" s="109">
        <v>8.82</v>
      </c>
    </row>
    <row r="66" spans="1:21">
      <c r="B66" s="87"/>
      <c r="C66" s="88"/>
      <c r="D66" s="88"/>
      <c r="E66" s="88"/>
      <c r="F66" s="88"/>
      <c r="G66" s="88"/>
      <c r="H66" s="88"/>
      <c r="I66" s="88"/>
      <c r="J66" s="89"/>
      <c r="L66" s="62" t="s">
        <v>102</v>
      </c>
      <c r="M66" s="62" t="s">
        <v>99</v>
      </c>
      <c r="N66" s="62">
        <v>53</v>
      </c>
      <c r="O66" s="62">
        <v>36</v>
      </c>
      <c r="P66" s="109">
        <v>67.92</v>
      </c>
    </row>
    <row r="67" spans="1:21">
      <c r="L67" s="62" t="s">
        <v>102</v>
      </c>
      <c r="M67" s="62" t="s">
        <v>100</v>
      </c>
      <c r="N67" s="62">
        <v>125</v>
      </c>
      <c r="O67" s="62">
        <v>17</v>
      </c>
      <c r="P67" s="109">
        <v>13.6</v>
      </c>
    </row>
    <row r="68" spans="1:21">
      <c r="B68" s="10" t="s">
        <v>103</v>
      </c>
      <c r="C68" s="9"/>
      <c r="D68" s="9"/>
      <c r="E68" s="9"/>
      <c r="F68" s="9"/>
      <c r="G68" s="9"/>
      <c r="H68" s="9"/>
      <c r="I68" s="9"/>
      <c r="J68" s="9"/>
      <c r="L68" s="62"/>
      <c r="M68" s="62"/>
      <c r="N68" s="62"/>
      <c r="O68" s="62"/>
      <c r="P68" s="62"/>
    </row>
    <row r="69" ht="36" customHeight="1" spans="1:21">
      <c r="B69" s="9"/>
      <c r="C69" s="9"/>
      <c r="D69" s="9"/>
      <c r="E69" s="9"/>
      <c r="F69" s="9"/>
      <c r="G69" s="9"/>
      <c r="H69" s="9"/>
      <c r="I69" s="9"/>
      <c r="J69" s="9"/>
      <c r="L69" s="62"/>
      <c r="M69" s="62"/>
      <c r="N69" s="62"/>
      <c r="O69" s="62"/>
      <c r="P69" s="62"/>
    </row>
    <row r="70" spans="1:21">
      <c r="L70" s="62"/>
      <c r="S70" t="s">
        <v>17</v>
      </c>
      <c r="T70" s="5">
        <v>1</v>
      </c>
    </row>
    <row r="71" ht="18.5" spans="1:21">
      <c r="A71" s="63" t="s">
        <v>104</v>
      </c>
      <c r="B71" s="63" t="s">
        <v>35</v>
      </c>
      <c r="C71" s="110"/>
      <c r="L71" s="64" t="s">
        <v>105</v>
      </c>
      <c r="M71" s="64"/>
      <c r="N71" s="64"/>
      <c r="O71" s="64"/>
      <c r="P71" s="64"/>
      <c r="Q71" s="64"/>
      <c r="R71" s="64"/>
    </row>
    <row r="72" spans="1:21">
      <c r="B72" s="92" t="s">
        <v>106</v>
      </c>
      <c r="C72" s="93"/>
      <c r="D72" s="93"/>
      <c r="E72" s="93"/>
      <c r="F72" s="93"/>
      <c r="G72" s="93"/>
      <c r="H72" s="93"/>
      <c r="I72" s="93"/>
      <c r="J72" s="94"/>
      <c r="L72" s="105" t="s">
        <v>35</v>
      </c>
      <c r="M72" s="105" t="s">
        <v>107</v>
      </c>
      <c r="N72" s="105" t="s">
        <v>17</v>
      </c>
      <c r="O72" s="105" t="s">
        <v>21</v>
      </c>
      <c r="P72" s="105" t="s">
        <v>95</v>
      </c>
      <c r="Q72" s="105" t="s">
        <v>67</v>
      </c>
      <c r="R72" s="105"/>
      <c r="S72" t="s">
        <v>35</v>
      </c>
      <c r="T72" t="s">
        <v>21</v>
      </c>
      <c r="U72" t="s">
        <v>108</v>
      </c>
    </row>
    <row r="73" spans="1:21">
      <c r="B73" s="95"/>
      <c r="C73" s="96"/>
      <c r="D73" s="96"/>
      <c r="E73" s="96"/>
      <c r="F73" s="96"/>
      <c r="G73" s="96"/>
      <c r="H73" s="96"/>
      <c r="I73" s="96"/>
      <c r="J73" s="97"/>
      <c r="L73" s="105"/>
      <c r="M73" s="105">
        <v>2</v>
      </c>
      <c r="N73" s="105">
        <v>1</v>
      </c>
      <c r="O73" s="105" t="s">
        <v>77</v>
      </c>
      <c r="P73" s="105">
        <v>2</v>
      </c>
      <c r="Q73" s="106">
        <v>100</v>
      </c>
      <c r="R73" s="106"/>
      <c r="S73" t="s">
        <v>109</v>
      </c>
      <c r="U73">
        <v>69.075</v>
      </c>
    </row>
    <row r="74" spans="1:21">
      <c r="B74" s="95"/>
      <c r="C74" s="96"/>
      <c r="D74" s="96"/>
      <c r="E74" s="96"/>
      <c r="F74" s="96"/>
      <c r="G74" s="96"/>
      <c r="H74" s="96"/>
      <c r="I74" s="96"/>
      <c r="J74" s="97"/>
      <c r="L74" s="105" t="s">
        <v>109</v>
      </c>
      <c r="M74" s="105">
        <v>43</v>
      </c>
      <c r="N74" s="105">
        <v>1</v>
      </c>
      <c r="O74" s="105" t="s">
        <v>77</v>
      </c>
      <c r="P74" s="105">
        <v>42</v>
      </c>
      <c r="Q74" s="106">
        <v>97.67</v>
      </c>
      <c r="R74" s="106"/>
      <c r="T74" t="s">
        <v>77</v>
      </c>
      <c r="U74">
        <v>97.67</v>
      </c>
    </row>
    <row r="75" spans="1:21">
      <c r="B75" s="95"/>
      <c r="C75" s="96"/>
      <c r="D75" s="96"/>
      <c r="E75" s="96"/>
      <c r="F75" s="96"/>
      <c r="G75" s="96"/>
      <c r="H75" s="96"/>
      <c r="I75" s="96"/>
      <c r="J75" s="97"/>
      <c r="L75" s="105" t="s">
        <v>109</v>
      </c>
      <c r="M75" s="105">
        <v>42</v>
      </c>
      <c r="N75" s="105">
        <v>1</v>
      </c>
      <c r="O75" s="105" t="s">
        <v>76</v>
      </c>
      <c r="P75" s="105">
        <v>17</v>
      </c>
      <c r="Q75" s="106">
        <v>40.48</v>
      </c>
      <c r="R75" s="106"/>
      <c r="T75" t="s">
        <v>76</v>
      </c>
      <c r="U75">
        <v>40.48</v>
      </c>
    </row>
    <row r="76" spans="1:21">
      <c r="B76" s="95"/>
      <c r="C76" s="96"/>
      <c r="D76" s="96"/>
      <c r="E76" s="96"/>
      <c r="F76" s="96"/>
      <c r="G76" s="96"/>
      <c r="H76" s="96"/>
      <c r="I76" s="96"/>
      <c r="J76" s="97"/>
      <c r="L76" s="105" t="s">
        <v>109</v>
      </c>
      <c r="M76" s="105">
        <v>7</v>
      </c>
      <c r="N76" s="105">
        <v>2</v>
      </c>
      <c r="O76" s="105" t="s">
        <v>77</v>
      </c>
      <c r="P76" s="105">
        <v>7</v>
      </c>
      <c r="Q76" s="106">
        <v>100</v>
      </c>
      <c r="R76" s="106"/>
      <c r="S76" t="s">
        <v>110</v>
      </c>
      <c r="U76">
        <v>50</v>
      </c>
    </row>
    <row r="77" spans="1:21">
      <c r="B77" s="102"/>
      <c r="C77" s="103"/>
      <c r="D77" s="103"/>
      <c r="E77" s="103"/>
      <c r="F77" s="103"/>
      <c r="G77" s="103"/>
      <c r="H77" s="103"/>
      <c r="I77" s="103"/>
      <c r="J77" s="104"/>
      <c r="L77" s="105" t="s">
        <v>109</v>
      </c>
      <c r="M77" s="105">
        <v>10</v>
      </c>
      <c r="N77" s="105">
        <v>2</v>
      </c>
      <c r="O77" s="105" t="s">
        <v>76</v>
      </c>
      <c r="P77" s="105">
        <v>2</v>
      </c>
      <c r="Q77" s="106">
        <v>20</v>
      </c>
      <c r="R77" s="106"/>
      <c r="T77" t="s">
        <v>77</v>
      </c>
      <c r="U77">
        <v>100</v>
      </c>
    </row>
    <row r="78" spans="1:21">
      <c r="B78" s="111"/>
      <c r="C78" s="111"/>
      <c r="D78" s="111"/>
      <c r="E78" s="111"/>
      <c r="F78" s="111"/>
      <c r="G78" s="111"/>
      <c r="H78" s="111"/>
      <c r="I78" s="111"/>
      <c r="J78" s="111"/>
      <c r="L78" s="105" t="s">
        <v>109</v>
      </c>
      <c r="M78" s="105">
        <v>23</v>
      </c>
      <c r="N78" s="105">
        <v>3</v>
      </c>
      <c r="O78" s="105" t="s">
        <v>77</v>
      </c>
      <c r="P78" s="105">
        <v>15</v>
      </c>
      <c r="Q78" s="106">
        <v>65.22</v>
      </c>
      <c r="R78" s="106"/>
      <c r="T78" t="s">
        <v>76</v>
      </c>
      <c r="U78">
        <v>0</v>
      </c>
    </row>
    <row r="79" spans="1:21">
      <c r="B79" s="78" t="s">
        <v>111</v>
      </c>
      <c r="C79" s="108"/>
      <c r="D79" s="108"/>
      <c r="E79" s="108"/>
      <c r="F79" s="108"/>
      <c r="G79" s="108"/>
      <c r="H79" s="108"/>
      <c r="I79" s="108"/>
      <c r="J79" s="108"/>
      <c r="L79" s="105" t="s">
        <v>109</v>
      </c>
      <c r="M79" s="105">
        <v>43</v>
      </c>
      <c r="N79" s="105">
        <v>3</v>
      </c>
      <c r="O79" s="105" t="s">
        <v>76</v>
      </c>
      <c r="P79" s="105">
        <v>10</v>
      </c>
      <c r="Q79" s="106">
        <v>23.26</v>
      </c>
      <c r="R79" s="106"/>
      <c r="S79" t="s">
        <v>112</v>
      </c>
      <c r="U79">
        <v>65.635</v>
      </c>
    </row>
    <row r="80" ht="34" customHeight="1" spans="1:21">
      <c r="B80" s="108"/>
      <c r="C80" s="108"/>
      <c r="D80" s="108"/>
      <c r="E80" s="108"/>
      <c r="F80" s="108"/>
      <c r="G80" s="108"/>
      <c r="H80" s="108"/>
      <c r="I80" s="108"/>
      <c r="J80" s="108"/>
      <c r="L80" s="105" t="s">
        <v>110</v>
      </c>
      <c r="M80" s="105">
        <v>1</v>
      </c>
      <c r="N80" s="105">
        <v>1</v>
      </c>
      <c r="O80" s="105" t="s">
        <v>77</v>
      </c>
      <c r="P80" s="105">
        <v>1</v>
      </c>
      <c r="Q80" s="106">
        <v>100</v>
      </c>
      <c r="R80" s="106"/>
      <c r="T80" t="s">
        <v>77</v>
      </c>
      <c r="U80">
        <v>95.83</v>
      </c>
    </row>
    <row r="81" spans="2:21">
      <c r="B81" s="111"/>
      <c r="C81" s="111"/>
      <c r="D81" s="111"/>
      <c r="E81" s="111"/>
      <c r="F81" s="111"/>
      <c r="G81" s="111"/>
      <c r="H81" s="111"/>
      <c r="I81" s="111"/>
      <c r="J81" s="111"/>
      <c r="L81" s="105" t="s">
        <v>110</v>
      </c>
      <c r="M81" s="105">
        <v>1</v>
      </c>
      <c r="N81" s="105">
        <v>1</v>
      </c>
      <c r="O81" s="105" t="s">
        <v>76</v>
      </c>
      <c r="P81" s="105">
        <v>0</v>
      </c>
      <c r="Q81" s="106">
        <v>0</v>
      </c>
      <c r="R81" s="106"/>
      <c r="T81" t="s">
        <v>76</v>
      </c>
      <c r="U81">
        <v>35.44</v>
      </c>
    </row>
    <row r="82" spans="2:21">
      <c r="B82" s="111"/>
      <c r="C82" s="111"/>
      <c r="D82" s="111"/>
      <c r="E82" s="111"/>
      <c r="F82" s="111"/>
      <c r="G82" s="111"/>
      <c r="H82" s="111"/>
      <c r="I82" s="111"/>
      <c r="J82" s="111"/>
      <c r="L82" s="105" t="s">
        <v>110</v>
      </c>
      <c r="M82" s="105">
        <v>2</v>
      </c>
      <c r="N82" s="105">
        <v>2</v>
      </c>
      <c r="O82" s="105" t="s">
        <v>77</v>
      </c>
      <c r="P82" s="105">
        <v>2</v>
      </c>
      <c r="Q82" s="106">
        <v>100</v>
      </c>
      <c r="R82" s="106"/>
      <c r="S82" t="s">
        <v>113</v>
      </c>
      <c r="U82">
        <v>100</v>
      </c>
    </row>
    <row r="83" spans="2:21">
      <c r="B83" s="111"/>
      <c r="C83" s="111"/>
      <c r="D83" s="111"/>
      <c r="E83" s="111"/>
      <c r="F83" s="111"/>
      <c r="G83" s="111"/>
      <c r="H83" s="111"/>
      <c r="I83" s="111"/>
      <c r="J83" s="111"/>
      <c r="L83" s="105" t="s">
        <v>110</v>
      </c>
      <c r="M83" s="105">
        <v>1</v>
      </c>
      <c r="N83" s="105">
        <v>2</v>
      </c>
      <c r="O83" s="105" t="s">
        <v>76</v>
      </c>
      <c r="P83" s="105">
        <v>0</v>
      </c>
      <c r="Q83" s="106">
        <v>0</v>
      </c>
      <c r="R83" s="106"/>
      <c r="T83" t="s">
        <v>77</v>
      </c>
      <c r="U83">
        <v>100</v>
      </c>
    </row>
    <row r="84" spans="2:21">
      <c r="B84" s="111"/>
      <c r="C84" s="111"/>
      <c r="D84" s="111"/>
      <c r="E84" s="111"/>
      <c r="F84" s="111"/>
      <c r="G84" s="111"/>
      <c r="H84" s="111"/>
      <c r="I84" s="111"/>
      <c r="J84" s="111"/>
      <c r="L84" s="105" t="s">
        <v>110</v>
      </c>
      <c r="M84" s="105">
        <v>33</v>
      </c>
      <c r="N84" s="105">
        <v>3</v>
      </c>
      <c r="O84" s="105" t="s">
        <v>77</v>
      </c>
      <c r="P84" s="105">
        <v>24</v>
      </c>
      <c r="Q84" s="106">
        <v>72.73</v>
      </c>
      <c r="R84" s="106"/>
      <c r="S84" t="s">
        <v>114</v>
      </c>
      <c r="U84">
        <v>67.06</v>
      </c>
    </row>
    <row r="85" spans="2:21">
      <c r="B85" s="111"/>
      <c r="C85" s="111"/>
      <c r="D85" s="111"/>
      <c r="E85" s="111"/>
      <c r="F85" s="111"/>
      <c r="G85" s="111"/>
      <c r="H85" s="111"/>
      <c r="I85" s="111"/>
      <c r="J85" s="111"/>
      <c r="L85" s="105" t="s">
        <v>110</v>
      </c>
      <c r="M85" s="105">
        <v>39</v>
      </c>
      <c r="N85" s="105">
        <v>3</v>
      </c>
      <c r="O85" s="105" t="s">
        <v>76</v>
      </c>
      <c r="P85" s="105">
        <v>3</v>
      </c>
      <c r="Q85" s="106">
        <v>7.69</v>
      </c>
      <c r="R85" s="106"/>
    </row>
    <row r="86" spans="2:21">
      <c r="B86" s="111"/>
      <c r="C86" s="111"/>
      <c r="D86" s="111"/>
      <c r="E86" s="111"/>
      <c r="F86" s="111"/>
      <c r="G86" s="111"/>
      <c r="H86" s="111"/>
      <c r="I86" s="111"/>
      <c r="J86" s="111"/>
      <c r="L86" s="105" t="s">
        <v>112</v>
      </c>
      <c r="M86" s="105">
        <v>48</v>
      </c>
      <c r="N86" s="105">
        <v>1</v>
      </c>
      <c r="O86" s="105" t="s">
        <v>77</v>
      </c>
      <c r="P86" s="105">
        <v>46</v>
      </c>
      <c r="Q86" s="106">
        <v>95.83</v>
      </c>
      <c r="R86" s="106"/>
    </row>
    <row r="87" spans="2:21">
      <c r="B87" s="111"/>
      <c r="C87" s="111"/>
      <c r="D87" s="111"/>
      <c r="E87" s="111"/>
      <c r="F87" s="111"/>
      <c r="G87" s="111"/>
      <c r="H87" s="111"/>
      <c r="I87" s="111"/>
      <c r="J87" s="111"/>
      <c r="L87" s="105" t="s">
        <v>112</v>
      </c>
      <c r="M87" s="105">
        <v>79</v>
      </c>
      <c r="N87" s="105">
        <v>1</v>
      </c>
      <c r="O87" s="105" t="s">
        <v>76</v>
      </c>
      <c r="P87" s="105">
        <v>28</v>
      </c>
      <c r="Q87" s="106">
        <v>35.44</v>
      </c>
      <c r="R87" s="106"/>
    </row>
    <row r="88" spans="2:21">
      <c r="B88" s="111"/>
      <c r="C88" s="111"/>
      <c r="D88" s="111"/>
      <c r="E88" s="111"/>
      <c r="F88" s="111"/>
      <c r="G88" s="111"/>
      <c r="H88" s="111"/>
      <c r="I88" s="111"/>
      <c r="J88" s="111"/>
      <c r="L88" s="105" t="s">
        <v>112</v>
      </c>
      <c r="M88" s="105">
        <v>67</v>
      </c>
      <c r="N88" s="105">
        <v>2</v>
      </c>
      <c r="O88" s="105" t="s">
        <v>77</v>
      </c>
      <c r="P88" s="105">
        <v>61</v>
      </c>
      <c r="Q88" s="106">
        <v>91.04</v>
      </c>
      <c r="R88" s="106"/>
    </row>
    <row r="89" spans="2:21">
      <c r="B89" s="111"/>
      <c r="C89" s="111"/>
      <c r="D89" s="111"/>
      <c r="E89" s="111"/>
      <c r="F89" s="111"/>
      <c r="G89" s="111"/>
      <c r="H89" s="111"/>
      <c r="I89" s="111"/>
      <c r="J89" s="111"/>
      <c r="L89" s="105" t="s">
        <v>112</v>
      </c>
      <c r="M89" s="105">
        <v>97</v>
      </c>
      <c r="N89" s="105">
        <v>2</v>
      </c>
      <c r="O89" s="105" t="s">
        <v>76</v>
      </c>
      <c r="P89" s="105">
        <v>15</v>
      </c>
      <c r="Q89" s="106">
        <v>15.46</v>
      </c>
      <c r="R89" s="106"/>
    </row>
    <row r="90" spans="2:21">
      <c r="B90" s="111"/>
      <c r="C90" s="111"/>
      <c r="D90" s="111"/>
      <c r="E90" s="111"/>
      <c r="F90" s="111"/>
      <c r="G90" s="111"/>
      <c r="H90" s="111"/>
      <c r="I90" s="111"/>
      <c r="J90" s="111"/>
      <c r="L90" s="105" t="s">
        <v>112</v>
      </c>
      <c r="M90" s="105">
        <v>88</v>
      </c>
      <c r="N90" s="105">
        <v>3</v>
      </c>
      <c r="O90" s="105" t="s">
        <v>77</v>
      </c>
      <c r="P90" s="105">
        <v>33</v>
      </c>
      <c r="Q90" s="106">
        <v>37.5</v>
      </c>
      <c r="R90" s="106"/>
      <c r="S90" s="105"/>
    </row>
    <row r="91" spans="2:21">
      <c r="B91" s="111"/>
      <c r="C91" s="111"/>
      <c r="D91" s="111"/>
      <c r="E91" s="111"/>
      <c r="F91" s="111"/>
      <c r="G91" s="111"/>
      <c r="H91" s="111"/>
      <c r="I91" s="111"/>
      <c r="J91" s="111"/>
      <c r="L91" s="105" t="s">
        <v>112</v>
      </c>
      <c r="M91" s="105">
        <v>265</v>
      </c>
      <c r="N91" s="105">
        <v>3</v>
      </c>
      <c r="O91" s="105" t="s">
        <v>76</v>
      </c>
      <c r="P91" s="105">
        <v>34</v>
      </c>
      <c r="Q91" s="106">
        <v>12.83</v>
      </c>
      <c r="R91" s="106"/>
      <c r="S91" s="105"/>
    </row>
    <row r="92" spans="2:21">
      <c r="B92" s="111"/>
      <c r="C92" s="111"/>
      <c r="D92" s="111"/>
      <c r="E92" s="111"/>
      <c r="F92" s="111"/>
      <c r="G92" s="111"/>
      <c r="H92" s="111"/>
      <c r="I92" s="111"/>
      <c r="J92" s="111"/>
    </row>
    <row r="93" spans="2:21">
      <c r="B93" s="111"/>
      <c r="C93" s="111"/>
      <c r="D93" s="111"/>
      <c r="E93" s="111"/>
      <c r="F93" s="111"/>
      <c r="G93" s="111"/>
      <c r="H93" s="111"/>
      <c r="I93" s="111"/>
      <c r="J93" s="111"/>
    </row>
    <row r="94" spans="2:21">
      <c r="B94" s="111"/>
      <c r="C94" s="111"/>
      <c r="D94" s="111"/>
      <c r="E94" s="111"/>
      <c r="F94" s="111"/>
      <c r="G94" s="111"/>
      <c r="H94" s="111"/>
      <c r="I94" s="111"/>
      <c r="J94" s="111"/>
    </row>
    <row r="95" spans="2:21">
      <c r="B95" s="111"/>
      <c r="C95" s="111"/>
      <c r="D95" s="111"/>
      <c r="E95" s="111"/>
      <c r="F95" s="111"/>
      <c r="G95" s="111"/>
      <c r="H95" s="111"/>
      <c r="I95" s="111"/>
      <c r="J95" s="111"/>
    </row>
    <row r="96" spans="2:21">
      <c r="B96" s="111"/>
      <c r="C96" s="111"/>
      <c r="D96" s="111"/>
      <c r="E96" s="111"/>
      <c r="F96" s="111"/>
      <c r="G96" s="111"/>
      <c r="H96" s="111"/>
      <c r="I96" s="111"/>
      <c r="J96" s="111"/>
    </row>
    <row r="97" spans="1:23">
      <c r="B97" s="111"/>
      <c r="C97" s="111"/>
      <c r="D97" s="111"/>
      <c r="E97" s="111"/>
      <c r="F97" s="111"/>
      <c r="G97" s="111"/>
      <c r="H97" s="111"/>
      <c r="I97" s="111"/>
      <c r="J97" s="111"/>
      <c r="M97" s="101"/>
    </row>
    <row r="98" spans="1:23">
      <c r="B98" s="111"/>
      <c r="C98" s="111"/>
      <c r="D98" s="111"/>
      <c r="E98" s="111"/>
      <c r="F98" s="111"/>
      <c r="G98" s="111"/>
      <c r="H98" s="111"/>
      <c r="I98" s="111"/>
      <c r="J98" s="111"/>
    </row>
    <row r="99" spans="1:23">
      <c r="B99" s="111"/>
      <c r="C99" s="111"/>
      <c r="D99" s="111"/>
      <c r="E99" s="111"/>
      <c r="F99" s="111"/>
      <c r="G99" s="111"/>
      <c r="H99" s="111"/>
      <c r="I99" s="111"/>
      <c r="J99" s="111"/>
    </row>
    <row r="100" spans="1:23">
      <c r="B100" s="111"/>
      <c r="C100" s="111"/>
      <c r="D100" s="111"/>
      <c r="E100" s="111"/>
      <c r="F100" s="111"/>
      <c r="G100" s="111"/>
      <c r="H100" s="111"/>
      <c r="I100" s="111"/>
      <c r="J100" s="111"/>
    </row>
    <row r="101" spans="1:23">
      <c r="B101" s="111"/>
      <c r="C101" s="111"/>
      <c r="D101" s="111"/>
      <c r="E101" s="111"/>
      <c r="F101" s="111"/>
      <c r="G101" s="111"/>
      <c r="H101" s="111"/>
      <c r="I101" s="111"/>
      <c r="J101" s="111"/>
    </row>
    <row r="102" spans="1:23">
      <c r="B102" s="111"/>
      <c r="C102" s="111"/>
      <c r="D102" s="111"/>
      <c r="E102" s="111"/>
      <c r="F102" s="111"/>
      <c r="G102" s="111"/>
      <c r="H102" s="111"/>
      <c r="I102" s="111"/>
      <c r="J102" s="111"/>
    </row>
    <row r="103" spans="1:23">
      <c r="B103" s="111"/>
      <c r="C103" s="111"/>
      <c r="D103" s="111"/>
      <c r="E103" s="111"/>
      <c r="F103" s="111"/>
      <c r="G103" s="111"/>
      <c r="H103" s="111"/>
      <c r="I103" s="111"/>
      <c r="J103" s="111"/>
    </row>
    <row r="105" ht="18.5" spans="1:23">
      <c r="A105" s="112">
        <v>7</v>
      </c>
      <c r="B105" s="113" t="s">
        <v>115</v>
      </c>
      <c r="C105" s="113"/>
      <c r="L105" s="64" t="s">
        <v>115</v>
      </c>
      <c r="M105" s="64"/>
      <c r="N105" s="64"/>
      <c r="O105" s="64"/>
      <c r="P105" s="64"/>
    </row>
    <row r="106" spans="1:23">
      <c r="B106" s="92" t="s">
        <v>116</v>
      </c>
      <c r="C106" s="93"/>
      <c r="D106" s="93"/>
      <c r="E106" s="93"/>
      <c r="F106" s="93"/>
      <c r="G106" s="93"/>
      <c r="H106" s="93"/>
      <c r="I106" s="93"/>
      <c r="J106" s="94"/>
      <c r="L106" s="105" t="s">
        <v>117</v>
      </c>
      <c r="M106" s="105" t="s">
        <v>35</v>
      </c>
      <c r="N106" s="105" t="s">
        <v>82</v>
      </c>
      <c r="O106" s="105" t="s">
        <v>95</v>
      </c>
      <c r="P106" s="105" t="s">
        <v>67</v>
      </c>
      <c r="T106" s="82"/>
      <c r="U106" s="82"/>
      <c r="V106" s="82"/>
      <c r="W106" s="82"/>
    </row>
    <row r="107" spans="1:23">
      <c r="B107" s="95"/>
      <c r="C107" s="96"/>
      <c r="D107" s="96"/>
      <c r="E107" s="96"/>
      <c r="F107" s="96"/>
      <c r="G107" s="96"/>
      <c r="H107" s="96"/>
      <c r="I107" s="96"/>
      <c r="J107" s="97"/>
      <c r="L107" s="105" t="s">
        <v>118</v>
      </c>
      <c r="M107" s="105" t="s">
        <v>109</v>
      </c>
      <c r="N107" s="105">
        <v>61</v>
      </c>
      <c r="O107" s="105">
        <v>48</v>
      </c>
      <c r="P107" s="106">
        <v>78.69</v>
      </c>
      <c r="T107" s="69"/>
      <c r="U107" s="69"/>
      <c r="V107" s="69"/>
      <c r="W107" s="69"/>
    </row>
    <row r="108" spans="1:23">
      <c r="B108" s="95"/>
      <c r="C108" s="96"/>
      <c r="D108" s="96"/>
      <c r="E108" s="96"/>
      <c r="F108" s="96"/>
      <c r="G108" s="96"/>
      <c r="H108" s="96"/>
      <c r="I108" s="96"/>
      <c r="J108" s="97"/>
      <c r="L108" s="105" t="s">
        <v>119</v>
      </c>
      <c r="M108" s="105" t="s">
        <v>109</v>
      </c>
      <c r="N108" s="105">
        <v>70</v>
      </c>
      <c r="O108" s="105">
        <v>27</v>
      </c>
      <c r="P108" s="106">
        <v>38.57</v>
      </c>
      <c r="T108" s="114"/>
      <c r="U108" s="114"/>
      <c r="V108" s="114"/>
      <c r="W108" s="114"/>
    </row>
    <row r="109" spans="1:23">
      <c r="B109" s="95"/>
      <c r="C109" s="96"/>
      <c r="D109" s="96"/>
      <c r="E109" s="96"/>
      <c r="F109" s="96"/>
      <c r="G109" s="96"/>
      <c r="H109" s="96"/>
      <c r="I109" s="96"/>
      <c r="J109" s="97"/>
      <c r="L109" s="105" t="s">
        <v>120</v>
      </c>
      <c r="M109" s="105" t="s">
        <v>109</v>
      </c>
      <c r="N109" s="105">
        <v>37</v>
      </c>
      <c r="O109" s="105">
        <v>18</v>
      </c>
      <c r="P109" s="106">
        <v>48.65</v>
      </c>
      <c r="T109" s="114"/>
      <c r="U109" s="114"/>
      <c r="V109" s="114"/>
      <c r="W109" s="114"/>
    </row>
    <row r="110" spans="1:23">
      <c r="B110" s="95"/>
      <c r="C110" s="96"/>
      <c r="D110" s="96"/>
      <c r="E110" s="96"/>
      <c r="F110" s="96"/>
      <c r="G110" s="96"/>
      <c r="H110" s="96"/>
      <c r="I110" s="96"/>
      <c r="J110" s="97"/>
      <c r="L110" s="105" t="s">
        <v>118</v>
      </c>
      <c r="M110" s="105" t="s">
        <v>110</v>
      </c>
      <c r="N110" s="105">
        <v>2</v>
      </c>
      <c r="O110" s="105">
        <v>1</v>
      </c>
      <c r="P110" s="106">
        <v>50</v>
      </c>
      <c r="T110" s="114"/>
      <c r="U110" s="114"/>
      <c r="V110" s="114"/>
      <c r="W110" s="114"/>
    </row>
    <row r="111" spans="1:23">
      <c r="B111" s="95"/>
      <c r="C111" s="96"/>
      <c r="D111" s="96"/>
      <c r="E111" s="96"/>
      <c r="F111" s="96"/>
      <c r="G111" s="96"/>
      <c r="H111" s="96"/>
      <c r="I111" s="96"/>
      <c r="J111" s="97"/>
      <c r="L111" s="105" t="s">
        <v>119</v>
      </c>
      <c r="M111" s="105" t="s">
        <v>110</v>
      </c>
      <c r="N111" s="105">
        <v>65</v>
      </c>
      <c r="O111" s="105">
        <v>26</v>
      </c>
      <c r="P111" s="106">
        <v>40</v>
      </c>
      <c r="T111" s="114"/>
      <c r="U111" s="114"/>
      <c r="V111" s="114"/>
      <c r="W111" s="114"/>
    </row>
    <row r="112" spans="1:23">
      <c r="B112" s="95"/>
      <c r="C112" s="96"/>
      <c r="D112" s="96"/>
      <c r="E112" s="96"/>
      <c r="F112" s="96"/>
      <c r="G112" s="96"/>
      <c r="H112" s="96"/>
      <c r="I112" s="96"/>
      <c r="J112" s="97"/>
      <c r="L112" s="105" t="s">
        <v>120</v>
      </c>
      <c r="M112" s="105" t="s">
        <v>110</v>
      </c>
      <c r="N112" s="105">
        <v>10</v>
      </c>
      <c r="O112" s="105">
        <v>3</v>
      </c>
      <c r="P112" s="106">
        <v>30</v>
      </c>
      <c r="T112" s="114"/>
      <c r="U112" s="114"/>
      <c r="V112" s="114"/>
      <c r="W112" s="114"/>
    </row>
    <row r="113" spans="2:23">
      <c r="B113" s="95"/>
      <c r="C113" s="96"/>
      <c r="D113" s="96"/>
      <c r="E113" s="96"/>
      <c r="F113" s="96"/>
      <c r="G113" s="96"/>
      <c r="H113" s="96"/>
      <c r="I113" s="96"/>
      <c r="J113" s="97"/>
      <c r="L113" s="105" t="s">
        <v>118</v>
      </c>
      <c r="M113" s="105" t="s">
        <v>112</v>
      </c>
      <c r="N113" s="105">
        <v>95</v>
      </c>
      <c r="O113" s="105">
        <v>58</v>
      </c>
      <c r="P113" s="106">
        <v>61.05</v>
      </c>
      <c r="T113" s="114"/>
      <c r="U113" s="114"/>
      <c r="V113" s="114"/>
      <c r="W113" s="114"/>
    </row>
    <row r="114" spans="2:23">
      <c r="B114" s="95"/>
      <c r="C114" s="96"/>
      <c r="D114" s="96"/>
      <c r="E114" s="96"/>
      <c r="F114" s="96"/>
      <c r="G114" s="96"/>
      <c r="H114" s="96"/>
      <c r="I114" s="96"/>
      <c r="J114" s="97"/>
      <c r="L114" s="105" t="s">
        <v>119</v>
      </c>
      <c r="M114" s="105" t="s">
        <v>112</v>
      </c>
      <c r="N114" s="105">
        <v>380</v>
      </c>
      <c r="O114" s="105">
        <v>90</v>
      </c>
      <c r="P114" s="106">
        <v>23.68</v>
      </c>
      <c r="T114" s="114"/>
      <c r="U114" s="114"/>
      <c r="V114" s="114"/>
      <c r="W114" s="114"/>
    </row>
    <row r="115" spans="2:23">
      <c r="B115" s="95"/>
      <c r="C115" s="96"/>
      <c r="D115" s="96"/>
      <c r="E115" s="96"/>
      <c r="F115" s="96"/>
      <c r="G115" s="96"/>
      <c r="H115" s="96"/>
      <c r="I115" s="96"/>
      <c r="J115" s="97"/>
      <c r="L115" s="105" t="s">
        <v>120</v>
      </c>
      <c r="M115" s="105" t="s">
        <v>112</v>
      </c>
      <c r="N115" s="105">
        <v>169</v>
      </c>
      <c r="O115" s="105">
        <v>69</v>
      </c>
      <c r="P115" s="106">
        <v>40.83</v>
      </c>
    </row>
    <row r="116" spans="2:23">
      <c r="B116" s="102"/>
      <c r="C116" s="103"/>
      <c r="D116" s="103"/>
      <c r="E116" s="103"/>
      <c r="F116" s="103"/>
      <c r="G116" s="103"/>
      <c r="H116" s="103"/>
      <c r="I116" s="103"/>
      <c r="J116" s="104"/>
    </row>
  </sheetData>
  <mergeCells count="27">
    <mergeCell ref="B1:J1"/>
    <mergeCell ref="B5:D5"/>
    <mergeCell ref="L5:P5"/>
    <mergeCell ref="B18:D18"/>
    <mergeCell ref="L18:O18"/>
    <mergeCell ref="B29:C29"/>
    <mergeCell ref="L29:Q29"/>
    <mergeCell ref="B41:C41"/>
    <mergeCell ref="L41:O41"/>
    <mergeCell ref="B54:C54"/>
    <mergeCell ref="L54:P54"/>
    <mergeCell ref="L71:Q71"/>
    <mergeCell ref="B105:C105"/>
    <mergeCell ref="L105:P105"/>
    <mergeCell ref="B6:J13"/>
    <mergeCell ref="B15:J16"/>
    <mergeCell ref="B19:J24"/>
    <mergeCell ref="B26:J27"/>
    <mergeCell ref="B30:J36"/>
    <mergeCell ref="B38:J39"/>
    <mergeCell ref="B42:J47"/>
    <mergeCell ref="B49:J51"/>
    <mergeCell ref="B55:J66"/>
    <mergeCell ref="B72:J77"/>
    <mergeCell ref="B106:J116"/>
    <mergeCell ref="B68:J69"/>
    <mergeCell ref="B79:J80"/>
  </mergeCells>
  <hyperlinks>
    <hyperlink ref="A105:C105" location="Fare_Fraction!A1" display="7"/>
  </hyperlinks>
  <pageMargins left="0.75" right="0.75" top="1" bottom="1" header="0.5" footer="0.5"/>
  <headerFooter/>
  <drawing r:id="rId2"/>
  <tableParts count="7">
    <tablePart r:id="rId3"/>
    <tablePart r:id="rId4"/>
    <tablePart r:id="rId5"/>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J2:U13"/>
  <sheetViews>
    <sheetView zoomScale="56" zoomScaleNormal="56" topLeftCell="A12" workbookViewId="0">
      <selection activeCell="Y11" sqref="Y11"/>
    </sheetView>
  </sheetViews>
  <sheetFormatPr defaultColWidth="8.72727272727273" defaultRowHeight="14.5"/>
  <sheetData>
    <row r="2" spans="10:21">
      <c r="J2" s="12" t="s">
        <v>121</v>
      </c>
      <c r="K2" s="13"/>
      <c r="L2" s="13"/>
      <c r="M2" s="13"/>
      <c r="N2" s="13"/>
      <c r="O2" s="13"/>
      <c r="P2" s="13"/>
      <c r="Q2" s="13"/>
      <c r="R2" s="13"/>
      <c r="S2" s="13"/>
      <c r="T2" s="14"/>
    </row>
    <row r="3" spans="10:21">
      <c r="J3" s="15"/>
      <c r="K3" s="16"/>
      <c r="L3" s="16"/>
      <c r="M3" s="16"/>
      <c r="N3" s="16"/>
      <c r="O3" s="16"/>
      <c r="P3" s="16"/>
      <c r="Q3" s="16"/>
      <c r="R3" s="16"/>
      <c r="S3" s="16"/>
      <c r="T3" s="17"/>
    </row>
    <row r="4" spans="10:21">
      <c r="J4" s="18"/>
      <c r="K4" s="18"/>
      <c r="L4" s="18"/>
      <c r="M4" s="18"/>
      <c r="N4" s="18"/>
      <c r="O4" s="18"/>
      <c r="P4" s="18"/>
      <c r="Q4" s="18"/>
      <c r="R4" s="18"/>
      <c r="S4" s="18"/>
      <c r="T4" s="18"/>
    </row>
    <row r="5" ht="31.75" spans="10:21">
      <c r="J5" s="19" t="s">
        <v>122</v>
      </c>
      <c r="K5" s="19"/>
      <c r="L5" s="19"/>
      <c r="M5" s="19"/>
      <c r="N5" s="19"/>
      <c r="O5" s="19"/>
      <c r="P5" s="19"/>
      <c r="Q5" s="19"/>
      <c r="R5" s="19"/>
      <c r="S5" s="19"/>
      <c r="T5" s="19"/>
    </row>
    <row r="6" ht="25" customHeight="1" spans="10:21">
      <c r="J6" s="20" t="s">
        <v>123</v>
      </c>
      <c r="K6" s="21"/>
      <c r="L6" s="21"/>
      <c r="M6" s="21"/>
      <c r="N6" s="22"/>
      <c r="O6" s="19"/>
      <c r="P6" s="23" t="s">
        <v>124</v>
      </c>
      <c r="Q6" s="24"/>
      <c r="R6" s="24"/>
      <c r="S6" s="24"/>
      <c r="T6" s="25"/>
    </row>
    <row r="7" ht="25" customHeight="1" spans="10:21">
      <c r="J7" s="26"/>
      <c r="K7" s="27"/>
      <c r="L7" s="27"/>
      <c r="M7" s="27"/>
      <c r="N7" s="28"/>
      <c r="O7" s="29"/>
      <c r="P7" s="30"/>
      <c r="Q7" s="31"/>
      <c r="R7" s="31"/>
      <c r="S7" s="31"/>
      <c r="T7" s="32"/>
    </row>
    <row r="8" ht="25" customHeight="1" spans="10:21">
      <c r="J8" s="33"/>
      <c r="K8" s="34"/>
      <c r="L8" s="34"/>
      <c r="M8" s="34"/>
      <c r="N8" s="35"/>
      <c r="O8" s="29"/>
      <c r="P8" s="36"/>
      <c r="Q8" s="37"/>
      <c r="R8" s="37"/>
      <c r="S8" s="37"/>
      <c r="T8" s="38"/>
    </row>
    <row r="9" ht="25" customHeight="1" spans="10:21">
      <c r="J9" s="29"/>
      <c r="K9" s="29"/>
      <c r="L9" s="29"/>
      <c r="M9" s="29"/>
      <c r="N9" s="29"/>
      <c r="O9" s="29"/>
      <c r="P9" s="29"/>
      <c r="Q9" s="29"/>
      <c r="R9" s="29"/>
      <c r="S9" s="29"/>
      <c r="T9" s="29"/>
    </row>
    <row r="10" ht="25" customHeight="1" spans="10:21">
      <c r="J10" s="39"/>
      <c r="K10" s="40"/>
      <c r="L10" s="41" t="s">
        <v>125</v>
      </c>
      <c r="M10" s="42"/>
      <c r="N10" s="42"/>
      <c r="O10" s="42"/>
      <c r="P10" s="42"/>
      <c r="Q10" s="42"/>
      <c r="R10" s="42"/>
      <c r="S10" s="43"/>
      <c r="T10" s="40"/>
      <c r="U10" s="44"/>
    </row>
    <row r="11" ht="25" customHeight="1" spans="10:21">
      <c r="J11" s="45"/>
      <c r="K11" s="46"/>
      <c r="L11" s="47"/>
      <c r="M11" s="48"/>
      <c r="N11" s="48"/>
      <c r="O11" s="48"/>
      <c r="P11" s="48"/>
      <c r="Q11" s="48"/>
      <c r="R11" s="48"/>
      <c r="S11" s="49"/>
      <c r="T11" s="46"/>
      <c r="U11" s="50"/>
    </row>
    <row r="12" ht="25" customHeight="1" spans="10:21">
      <c r="J12" s="45"/>
      <c r="K12" s="46"/>
      <c r="L12" s="47"/>
      <c r="M12" s="48"/>
      <c r="N12" s="48"/>
      <c r="O12" s="48"/>
      <c r="P12" s="48"/>
      <c r="Q12" s="48"/>
      <c r="R12" s="48"/>
      <c r="S12" s="49"/>
      <c r="T12" s="46"/>
      <c r="U12" s="50"/>
    </row>
    <row r="13" ht="25" customHeight="1" spans="10:21">
      <c r="J13" s="51"/>
      <c r="K13" s="52"/>
      <c r="L13" s="53"/>
      <c r="M13" s="54"/>
      <c r="N13" s="54"/>
      <c r="O13" s="54"/>
      <c r="P13" s="54"/>
      <c r="Q13" s="54"/>
      <c r="R13" s="54"/>
      <c r="S13" s="55"/>
      <c r="T13" s="52"/>
      <c r="U13" s="56"/>
    </row>
  </sheetData>
  <mergeCells count="4">
    <mergeCell ref="J2:T3"/>
    <mergeCell ref="J6:N8"/>
    <mergeCell ref="L10:S13"/>
    <mergeCell ref="P6:T8"/>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1" workbookViewId="0">
      <selection activeCell="I10" sqref="I10"/>
    </sheetView>
  </sheetViews>
  <sheetFormatPr defaultColWidth="8.72727272727273" defaultRowHeight="14.5"/>
  <cols>
    <col min="8" max="8" width="16.8181818181818" customWidth="1"/>
  </cols>
  <sheetData>
    <row r="1" ht="18.5" spans="1:10">
      <c r="A1" s="1" t="s">
        <v>126</v>
      </c>
      <c r="B1" s="2"/>
      <c r="C1" s="2"/>
      <c r="D1" s="2"/>
      <c r="E1" s="2"/>
      <c r="F1" s="2"/>
      <c r="G1" s="2"/>
      <c r="H1" s="3"/>
    </row>
    <row r="3" spans="1:10">
      <c r="A3" s="158" t="s">
        <v>127</v>
      </c>
      <c r="B3" s="5"/>
      <c r="C3" s="5"/>
      <c r="D3" s="5"/>
      <c r="E3" s="5"/>
      <c r="F3" s="5"/>
      <c r="G3" s="5"/>
      <c r="H3" s="5"/>
      <c r="I3" s="5"/>
      <c r="J3" s="5"/>
    </row>
    <row r="4" spans="1:10">
      <c r="A4" s="5"/>
      <c r="B4" s="5"/>
      <c r="C4" s="5"/>
      <c r="D4" s="5"/>
      <c r="E4" s="5"/>
      <c r="F4" s="5"/>
      <c r="G4" s="5"/>
      <c r="H4" s="5"/>
      <c r="I4" s="5"/>
      <c r="J4" s="5"/>
    </row>
    <row r="5" spans="1:10">
      <c r="A5" s="158" t="s">
        <v>128</v>
      </c>
      <c r="B5" s="5"/>
      <c r="C5" s="5"/>
      <c r="D5" s="5"/>
      <c r="E5" s="5"/>
      <c r="F5" s="5"/>
      <c r="G5" s="5"/>
      <c r="H5" s="5"/>
      <c r="I5" s="5"/>
      <c r="J5" s="5"/>
    </row>
    <row r="6" spans="1:10">
      <c r="A6" s="5"/>
      <c r="B6" s="5"/>
      <c r="C6" s="5"/>
      <c r="D6" s="5"/>
      <c r="E6" s="5"/>
      <c r="F6" s="5"/>
      <c r="G6" s="5"/>
      <c r="H6" s="5"/>
      <c r="I6" s="5"/>
      <c r="J6" s="5"/>
    </row>
    <row r="7" spans="1:10">
      <c r="A7" s="159" t="s">
        <v>129</v>
      </c>
      <c r="B7" s="7"/>
      <c r="C7" s="7"/>
      <c r="D7" s="7"/>
      <c r="E7" s="7"/>
      <c r="F7" s="7"/>
      <c r="G7" s="7"/>
      <c r="H7" s="7"/>
      <c r="I7" s="5"/>
      <c r="J7" s="5"/>
    </row>
    <row r="8" spans="1:10">
      <c r="A8" s="8" t="s">
        <v>130</v>
      </c>
      <c r="B8" s="9"/>
      <c r="C8" s="9"/>
      <c r="D8" s="9"/>
      <c r="E8" s="9"/>
      <c r="F8" s="9"/>
      <c r="G8" s="9"/>
      <c r="H8" s="9"/>
      <c r="I8" s="5"/>
      <c r="J8" s="5"/>
    </row>
    <row r="9" spans="1:10">
      <c r="A9" s="9"/>
      <c r="B9" s="9"/>
      <c r="C9" s="9"/>
      <c r="D9" s="9"/>
      <c r="E9" s="9"/>
      <c r="F9" s="9"/>
      <c r="G9" s="9"/>
      <c r="H9" s="9"/>
      <c r="I9" s="5"/>
      <c r="J9" s="5"/>
    </row>
    <row r="10" spans="1:10">
      <c r="A10" s="9"/>
      <c r="B10" s="9"/>
      <c r="C10" s="9"/>
      <c r="D10" s="9"/>
      <c r="E10" s="9"/>
      <c r="F10" s="9"/>
      <c r="G10" s="9"/>
      <c r="H10" s="9"/>
      <c r="I10" s="5"/>
      <c r="J10" s="5"/>
    </row>
    <row r="11" spans="1:10">
      <c r="A11" s="9"/>
      <c r="B11" s="9"/>
      <c r="C11" s="9"/>
      <c r="D11" s="9"/>
      <c r="E11" s="9"/>
      <c r="F11" s="9"/>
      <c r="G11" s="9"/>
      <c r="H11" s="9"/>
      <c r="I11" s="5"/>
      <c r="J11" s="5"/>
    </row>
    <row r="12" ht="31" customHeight="1" spans="1:10">
      <c r="A12" s="9"/>
      <c r="B12" s="9"/>
      <c r="C12" s="9"/>
      <c r="D12" s="9"/>
      <c r="E12" s="9"/>
      <c r="F12" s="9"/>
      <c r="G12" s="9"/>
      <c r="H12" s="9"/>
      <c r="I12" s="5"/>
      <c r="J12" s="5"/>
    </row>
    <row r="13" spans="1:10">
      <c r="A13" s="5"/>
      <c r="B13" s="5"/>
      <c r="C13" s="5"/>
      <c r="D13" s="5"/>
      <c r="E13" s="5"/>
      <c r="F13" s="5"/>
      <c r="G13" s="5"/>
      <c r="H13" s="5"/>
      <c r="I13" s="5"/>
      <c r="J13" s="5"/>
    </row>
    <row r="14" spans="1:10">
      <c r="A14" s="10" t="s">
        <v>131</v>
      </c>
      <c r="B14" s="11"/>
      <c r="C14" s="11"/>
      <c r="D14" s="11"/>
      <c r="E14" s="11"/>
      <c r="F14" s="11"/>
      <c r="G14" s="11"/>
      <c r="H14" s="11"/>
      <c r="I14" s="5"/>
      <c r="J14" s="5"/>
    </row>
    <row r="15" spans="1:10">
      <c r="A15" s="9" t="s">
        <v>132</v>
      </c>
      <c r="B15" s="9"/>
      <c r="C15" s="9"/>
      <c r="D15" s="9"/>
      <c r="E15" s="9"/>
      <c r="F15" s="9"/>
      <c r="G15" s="9"/>
      <c r="H15" s="9"/>
      <c r="I15" s="5"/>
      <c r="J15" s="5"/>
    </row>
    <row r="16" spans="1:10">
      <c r="A16" s="9"/>
      <c r="B16" s="9"/>
      <c r="C16" s="9"/>
      <c r="D16" s="9"/>
      <c r="E16" s="9"/>
      <c r="F16" s="9"/>
      <c r="G16" s="9"/>
      <c r="H16" s="9"/>
      <c r="I16" s="5"/>
      <c r="J16" s="5"/>
    </row>
    <row r="17" ht="16" customHeight="1" spans="1:10">
      <c r="A17" s="9"/>
      <c r="B17" s="9"/>
      <c r="C17" s="9"/>
      <c r="D17" s="9"/>
      <c r="E17" s="9"/>
      <c r="F17" s="9"/>
      <c r="G17" s="9"/>
      <c r="H17" s="9"/>
      <c r="I17" s="5"/>
      <c r="J17" s="5"/>
    </row>
    <row r="18" hidden="1" spans="1:10">
      <c r="A18" s="9"/>
      <c r="B18" s="9"/>
      <c r="C18" s="9"/>
      <c r="D18" s="9"/>
      <c r="E18" s="9"/>
      <c r="F18" s="9"/>
      <c r="G18" s="9"/>
      <c r="H18" s="9"/>
      <c r="I18" s="5"/>
      <c r="J18" s="5"/>
    </row>
    <row r="19" ht="40" hidden="1" customHeight="1" spans="1:10">
      <c r="A19" s="9"/>
      <c r="B19" s="9"/>
      <c r="C19" s="9"/>
      <c r="D19" s="9"/>
      <c r="E19" s="9"/>
      <c r="F19" s="9"/>
      <c r="G19" s="9"/>
      <c r="H19" s="9"/>
      <c r="I19" s="5"/>
      <c r="J19" s="5"/>
    </row>
    <row r="20" ht="16" customHeight="1" spans="1:10">
      <c r="A20" s="9"/>
      <c r="B20" s="9"/>
      <c r="C20" s="9"/>
      <c r="D20" s="9"/>
      <c r="E20" s="9"/>
      <c r="F20" s="9"/>
      <c r="G20" s="9"/>
      <c r="H20" s="9"/>
      <c r="I20" s="5"/>
      <c r="J20" s="5"/>
    </row>
    <row r="21" ht="36" customHeight="1" spans="1:10">
      <c r="A21" s="160" t="s">
        <v>133</v>
      </c>
      <c r="B21" s="9"/>
      <c r="C21" s="9"/>
      <c r="D21" s="9"/>
      <c r="E21" s="9"/>
      <c r="F21" s="9"/>
      <c r="G21" s="9"/>
      <c r="H21" s="9"/>
      <c r="I21" s="5"/>
      <c r="J21" s="5"/>
    </row>
    <row r="23" spans="1:10">
      <c r="A23" s="161" t="s">
        <v>134</v>
      </c>
      <c r="B23" s="5"/>
      <c r="C23" s="5"/>
      <c r="D23" s="5"/>
      <c r="E23" s="5"/>
      <c r="F23" s="5"/>
      <c r="G23" s="5"/>
      <c r="H23" s="5"/>
    </row>
    <row r="25" spans="1:10">
      <c r="A25" s="161" t="s">
        <v>135</v>
      </c>
      <c r="B25" s="5"/>
      <c r="C25" s="5"/>
      <c r="D25" s="5"/>
      <c r="E25" s="5"/>
      <c r="F25" s="5"/>
      <c r="G25" s="5"/>
      <c r="H25" s="5"/>
    </row>
  </sheetData>
  <mergeCells count="10">
    <mergeCell ref="A1:H1"/>
    <mergeCell ref="A3:H3"/>
    <mergeCell ref="A5:H5"/>
    <mergeCell ref="A7:H7"/>
    <mergeCell ref="A14:H14"/>
    <mergeCell ref="A21:H21"/>
    <mergeCell ref="A23:H23"/>
    <mergeCell ref="A25:H25"/>
    <mergeCell ref="A8:H12"/>
    <mergeCell ref="A15:H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Overview</vt:lpstr>
      <vt:lpstr>Data Cleaning</vt:lpstr>
      <vt:lpstr>EDA &amp; Queries</vt:lpstr>
      <vt:lpstr>Dashboard</vt:lpstr>
      <vt:lpstr>Project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WPS_1749218004</cp:lastModifiedBy>
  <dcterms:created xsi:type="dcterms:W3CDTF">2026-02-27T05:36:00Z</dcterms:created>
  <dcterms:modified xsi:type="dcterms:W3CDTF">2026-04-06T05:02:25Z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8B58E415228A4F0DB94F3885EB7FCB55_13</vt:lpwstr>
  </property>
  <property fmtid="{D5CDD505-2E9C-101B-9397-08002B2CF9AE}" pid="3" name="KSOProductBuildVer">
    <vt:lpwstr>1033-12.1.0.25242</vt:lpwstr>
  </property>
  <property fmtid="{D5CDD505-2E9C-101B-9397-08002B2CF9AE}" pid="4" name="CalculationRule">
    <vt:i4>0</vt:i4>
  </property>
</Properties>
</file>